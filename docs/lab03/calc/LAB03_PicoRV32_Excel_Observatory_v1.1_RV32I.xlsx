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6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ДАННЫЕ T3" sheetId="2" state="visible" r:id="rId2"/>
    <sheet xmlns:r="http://schemas.openxmlformats.org/officeDocument/2006/relationships" name="ROM LAB03" sheetId="3" state="visible" r:id="rId3"/>
    <sheet xmlns:r="http://schemas.openxmlformats.org/officeDocument/2006/relationships" name="ЗАХВАТЫ" sheetId="4" state="visible" r:id="rId4"/>
    <sheet xmlns:r="http://schemas.openxmlformats.org/officeDocument/2006/relationships" name="КОМАНДЫ" sheetId="5" state="visible" r:id="rId5"/>
    <sheet xmlns:r="http://schemas.openxmlformats.org/officeDocument/2006/relationships" name="КАТАЛОГ БИТОВ" sheetId="6" state="visible" r:id="rId6"/>
    <sheet xmlns:r="http://schemas.openxmlformats.org/officeDocument/2006/relationships" name="РАЗБОР RV32I" sheetId="7" state="visible" r:id="rId7"/>
    <sheet xmlns:r="http://schemas.openxmlformats.org/officeDocument/2006/relationships" name="10 КАРТОЧЕК" sheetId="8" state="visible" r:id="rId8"/>
    <sheet xmlns:r="http://schemas.openxmlformats.org/officeDocument/2006/relationships" name="ПУЛЬТ" sheetId="9" state="visible" r:id="rId9"/>
    <sheet xmlns:r="http://schemas.openxmlformats.org/officeDocument/2006/relationships" name="СРАВНЕНИЕ" sheetId="10" state="visible" r:id="rId10"/>
    <sheet xmlns:r="http://schemas.openxmlformats.org/officeDocument/2006/relationships" name="МОДЕЛЬ MMIO" sheetId="11" state="visible" r:id="rId11"/>
    <sheet xmlns:r="http://schemas.openxmlformats.org/officeDocument/2006/relationships" name="СЛОВАРЬ" sheetId="12" state="visible" r:id="rId12"/>
    <sheet xmlns:r="http://schemas.openxmlformats.org/officeDocument/2006/relationships" name="ИСТОЧНИКИ" sheetId="13" state="visible" r:id="rId13"/>
    <sheet xmlns:r="http://schemas.openxmlformats.org/officeDocument/2006/relationships" name="КАТАЛОГ ОПИСАНИЙ" sheetId="14" state="hidden" r:id="rId14"/>
  </sheets>
  <definedNames>
    <definedName name="_xlnm._FilterDatabase" localSheetId="1" hidden="1">'ДАННЫЕ T3'!$A$5:$Q$286</definedName>
    <definedName name="_xlnm._FilterDatabase" localSheetId="2" hidden="1">'ROM LAB03'!$A$5:$J$261</definedName>
    <definedName name="_xlnm._FilterDatabase" localSheetId="3" hidden="1">'ЗАХВАТЫ'!$A$5:$M$17</definedName>
    <definedName name="_xlnm._FilterDatabase" localSheetId="4" hidden="1">'КОМАНДЫ'!$A$6:$N$17</definedName>
    <definedName name="_xlnm._FilterDatabase" localSheetId="5" hidden="1">'КАТАЛОГ БИТОВ'!$A$8:$L$210</definedName>
    <definedName name="_xlnm.Print_Titles" localSheetId="5">'КАТАЛОГ БИТОВ'!$1:$8</definedName>
    <definedName name="_xlnm.Print_Area" localSheetId="7">'10 КАРТОЧЕК'!$A$1:$N$115</definedName>
    <definedName name="_xlnm._FilterDatabase" localSheetId="11" hidden="1">'СЛОВАРЬ'!$A$6:$D$30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80">
    <font>
      <name val="Calibri"/>
      <family val="2"/>
      <color theme="1"/>
      <sz val="11"/>
      <scheme val="minor"/>
    </font>
    <font>
      <name val="Aptos"/>
      <b val="1"/>
      <color rgb="00FFFFFF"/>
      <sz val="21"/>
    </font>
    <font>
      <name val="Aptos"/>
      <color rgb="00D6E7F9"/>
      <sz val="10"/>
    </font>
    <font>
      <name val="Aptos"/>
      <b val="1"/>
      <color rgb="00FFFFFF"/>
      <sz val="9"/>
    </font>
    <font>
      <name val="Aptos"/>
      <b val="1"/>
      <color rgb="00FFFFFF"/>
      <sz val="11"/>
    </font>
    <font>
      <name val="Aptos"/>
      <b val="1"/>
      <color rgb="0000A9A5"/>
      <sz val="12"/>
    </font>
    <font>
      <name val="Aptos"/>
      <color rgb="001C2D43"/>
      <sz val="10"/>
    </font>
    <font>
      <name val="Aptos"/>
      <color rgb="001C2D43"/>
      <sz val="11"/>
    </font>
    <font>
      <name val="Aptos"/>
      <b val="1"/>
      <color rgb="00C47B1A"/>
      <sz val="11"/>
    </font>
    <font>
      <name val="Consolas"/>
      <color rgb="005B6B7D"/>
      <sz val="9"/>
    </font>
    <font>
      <name val="Aptos"/>
      <b val="1"/>
      <color rgb="0016744C"/>
      <sz val="10"/>
    </font>
    <font>
      <name val="Consolas"/>
      <color rgb="0016744C"/>
      <sz val="9"/>
    </font>
    <font>
      <name val="Aptos"/>
      <b val="1"/>
      <color rgb="00C47B1A"/>
      <sz val="10"/>
    </font>
    <font>
      <name val="Aptos"/>
      <b val="1"/>
      <color rgb="0016744C"/>
    </font>
    <font>
      <name val="Consolas"/>
      <b val="1"/>
      <color rgb="0000A9A5"/>
      <sz val="12"/>
    </font>
    <font>
      <name val="Consolas"/>
      <b val="1"/>
      <color rgb="005B6B7D"/>
      <sz val="12"/>
    </font>
    <font>
      <name val="Aptos"/>
      <b val="1"/>
      <color rgb="00C47B1A"/>
    </font>
    <font>
      <name val="Aptos"/>
      <b val="1"/>
      <color rgb="005B6B7D"/>
      <sz val="10"/>
    </font>
    <font>
      <name val="Aptos"/>
      <b val="1"/>
      <color rgb="00175AC4"/>
      <sz val="16"/>
    </font>
    <font>
      <name val="Aptos"/>
      <b val="1"/>
      <color rgb="0000A9A5"/>
      <sz val="13"/>
    </font>
    <font>
      <name val="Aptos"/>
      <color rgb="00C47B1A"/>
      <sz val="10"/>
    </font>
    <font>
      <name val="Aptos"/>
      <b val="1"/>
      <color rgb="0000A9A5"/>
      <sz val="14"/>
    </font>
    <font>
      <name val="Aptos"/>
      <b val="1"/>
      <color rgb="005B6B7D"/>
    </font>
    <font>
      <name val="Aptos"/>
      <b val="1"/>
      <color rgb="0000A9A5"/>
      <sz val="24"/>
    </font>
    <font>
      <name val="Aptos"/>
      <i val="1"/>
      <color rgb="005B6B7D"/>
      <sz val="9"/>
    </font>
    <font>
      <name val="Consolas"/>
      <color rgb="001C2D43"/>
      <sz val="9"/>
    </font>
    <font>
      <name val="Aptos"/>
      <b val="1"/>
      <color rgb="0016744C"/>
      <sz val="15"/>
    </font>
    <font>
      <name val="Aptos"/>
      <b val="1"/>
      <color rgb="00175AC4"/>
      <sz val="22"/>
    </font>
    <font>
      <name val="Aptos"/>
      <b val="1"/>
      <color rgb="0000A9A5"/>
      <sz val="18"/>
    </font>
    <font>
      <name val="Aptos"/>
      <b val="1"/>
      <color rgb="0000A9A5"/>
      <sz val="34"/>
    </font>
    <font>
      <name val="Aptos"/>
      <color rgb="001C2D43"/>
      <sz val="12"/>
    </font>
    <font>
      <name val="Aptos"/>
      <b val="1"/>
      <color rgb="0000A9A5"/>
      <sz val="11"/>
    </font>
    <font>
      <name val="Aptos"/>
      <b val="1"/>
      <color rgb="001C2D43"/>
    </font>
    <font>
      <name val="Aptos"/>
      <color rgb="00175AC4"/>
      <sz val="10"/>
      <u val="single"/>
    </font>
    <font>
      <name val="Consolas"/>
      <color rgb="0016744C"/>
      <sz val="10"/>
    </font>
    <font>
      <name val="Aptos"/>
      <b val="1"/>
      <color rgb="00FFFFFF"/>
      <sz val="20"/>
    </font>
    <font>
      <name val="Aptos"/>
      <b val="1"/>
      <color rgb="00FFFFFF"/>
      <sz val="8"/>
    </font>
    <font>
      <name val="Aptos"/>
      <b val="1"/>
      <color rgb="00175AC4"/>
      <sz val="11"/>
    </font>
    <font>
      <name val="Aptos"/>
      <b val="1"/>
      <color rgb="00FFFFFF"/>
      <sz val="10"/>
    </font>
    <font>
      <name val="Aptos"/>
      <color rgb="00175AC4"/>
      <sz val="10"/>
    </font>
    <font>
      <name val="Consolas"/>
      <color rgb="00157552"/>
      <sz val="10"/>
    </font>
    <font>
      <name val="Aptos"/>
      <color rgb="00102039"/>
      <sz val="10"/>
    </font>
    <font>
      <name val="Consolas"/>
      <color rgb="00102039"/>
      <sz val="10"/>
    </font>
    <font>
      <name val="Aptos"/>
      <color rgb="00102039"/>
      <sz val="9"/>
    </font>
    <font>
      <name val="Consolas"/>
      <b val="1"/>
      <color rgb="00415675"/>
      <sz val="9"/>
    </font>
    <font>
      <name val="Consolas"/>
      <b val="1"/>
      <color rgb="00126856"/>
      <sz val="9"/>
    </font>
    <font>
      <name val="Consolas"/>
      <b val="1"/>
      <color rgb="00946518"/>
      <sz val="9"/>
    </font>
    <font>
      <name val="Consolas"/>
      <b val="1"/>
      <color rgb="0064439E"/>
      <sz val="9"/>
    </font>
    <font>
      <name val="Consolas"/>
      <b val="1"/>
      <color rgb="00157552"/>
      <sz val="10"/>
    </font>
    <font>
      <name val="Aptos"/>
      <b val="1"/>
      <color rgb="0000A9A5"/>
      <sz val="10"/>
    </font>
    <font>
      <name val="Consolas"/>
      <b val="1"/>
      <color rgb="001F619F"/>
      <sz val="9"/>
    </font>
    <font>
      <name val="Aptos"/>
      <b val="1"/>
      <color rgb="00FFFFFF"/>
      <sz val="12"/>
    </font>
    <font>
      <name val="Aptos"/>
      <b val="1"/>
      <color rgb="0065768D"/>
      <sz val="10"/>
    </font>
    <font>
      <name val="Aptos"/>
      <b val="1"/>
      <color rgb="00175AC4"/>
      <sz val="17"/>
    </font>
    <font>
      <name val="Aptos"/>
      <b val="1"/>
      <color rgb="00175AC4"/>
      <sz val="14"/>
    </font>
    <font>
      <name val="Consolas"/>
      <color rgb="00157552"/>
      <sz val="11"/>
    </font>
    <font>
      <name val="Consolas"/>
      <b val="1"/>
      <color rgb="00157552"/>
      <sz val="11"/>
    </font>
    <font>
      <name val="Aptos"/>
      <color rgb="00157552"/>
      <sz val="11"/>
    </font>
    <font>
      <name val="Consolas"/>
      <b val="1"/>
      <color rgb="0017528C"/>
      <sz val="12"/>
    </font>
    <font>
      <name val="Consolas"/>
      <color rgb="00175AC4"/>
      <sz val="10"/>
    </font>
    <font>
      <name val="Aptos"/>
      <b val="1"/>
      <color rgb="00102039"/>
      <sz val="12"/>
    </font>
    <font>
      <name val="Aptos"/>
      <b val="1"/>
      <color rgb="00B96C1B"/>
      <sz val="12"/>
    </font>
    <font>
      <name val="Aptos"/>
      <color rgb="00664614"/>
      <sz val="10"/>
    </font>
    <font>
      <name val="Aptos"/>
      <b val="1"/>
      <color rgb="00175AC4"/>
      <sz val="15"/>
    </font>
    <font>
      <name val="Aptos"/>
      <color rgb="00415675"/>
      <sz val="9"/>
    </font>
    <font>
      <name val="Consolas"/>
      <b val="1"/>
      <color rgb="00415675"/>
      <sz val="11"/>
    </font>
    <font>
      <name val="Aptos"/>
      <b val="1"/>
      <color rgb="00415675"/>
      <sz val="9"/>
    </font>
    <font>
      <name val="Aptos"/>
      <color rgb="00126856"/>
      <sz val="9"/>
    </font>
    <font>
      <name val="Consolas"/>
      <b val="1"/>
      <color rgb="00126856"/>
      <sz val="11"/>
    </font>
    <font>
      <name val="Aptos"/>
      <b val="1"/>
      <color rgb="00126856"/>
      <sz val="9"/>
    </font>
    <font>
      <name val="Aptos"/>
      <color rgb="0064439E"/>
      <sz val="9"/>
    </font>
    <font>
      <name val="Consolas"/>
      <b val="1"/>
      <color rgb="0064439E"/>
      <sz val="11"/>
    </font>
    <font>
      <name val="Aptos"/>
      <b val="1"/>
      <color rgb="0064439E"/>
      <sz val="9"/>
    </font>
    <font>
      <name val="Aptos"/>
      <color rgb="00946518"/>
      <sz val="9"/>
    </font>
    <font>
      <name val="Consolas"/>
      <b val="1"/>
      <color rgb="00946518"/>
      <sz val="11"/>
    </font>
    <font>
      <name val="Aptos"/>
      <b val="1"/>
      <color rgb="00946518"/>
      <sz val="9"/>
    </font>
    <font>
      <name val="Aptos"/>
      <color rgb="0065768D"/>
      <sz val="10"/>
    </font>
    <font>
      <name val="Aptos"/>
      <color rgb="001F619F"/>
      <sz val="9"/>
    </font>
    <font>
      <name val="Consolas"/>
      <b val="1"/>
      <color rgb="001F619F"/>
      <sz val="11"/>
    </font>
    <font>
      <name val="Aptos"/>
      <b val="1"/>
      <color rgb="001F619F"/>
      <sz val="9"/>
    </font>
  </fonts>
  <fills count="23">
    <fill>
      <patternFill/>
    </fill>
    <fill>
      <patternFill patternType="gray125"/>
    </fill>
    <fill>
      <patternFill patternType="solid">
        <fgColor rgb="00102039"/>
      </patternFill>
    </fill>
    <fill>
      <patternFill patternType="solid">
        <fgColor rgb="00172B47"/>
      </patternFill>
    </fill>
    <fill>
      <patternFill patternType="solid">
        <fgColor rgb="006744A8"/>
      </patternFill>
    </fill>
    <fill>
      <patternFill patternType="solid">
        <fgColor rgb="005B6B7D"/>
      </patternFill>
    </fill>
    <fill>
      <patternFill patternType="solid">
        <fgColor rgb="00EAF2FA"/>
      </patternFill>
    </fill>
    <fill>
      <patternFill patternType="solid">
        <fgColor rgb="00F5F8FC"/>
      </patternFill>
    </fill>
    <fill>
      <patternFill patternType="solid">
        <fgColor rgb="00FFF0CD"/>
      </patternFill>
    </fill>
    <fill>
      <patternFill patternType="solid">
        <fgColor rgb="00EDE6F7"/>
      </patternFill>
    </fill>
    <fill>
      <patternFill patternType="solid">
        <fgColor rgb="00E2F3F0"/>
      </patternFill>
    </fill>
    <fill>
      <patternFill patternType="solid">
        <fgColor rgb="00E8EDF3"/>
      </patternFill>
    </fill>
    <fill>
      <patternFill patternType="solid">
        <fgColor rgb="0065768D"/>
      </patternFill>
    </fill>
    <fill>
      <patternFill patternType="solid">
        <fgColor rgb="00F5F9FF"/>
      </patternFill>
    </fill>
    <fill>
      <patternFill patternType="solid">
        <fgColor rgb="00FFFFFF"/>
      </patternFill>
    </fill>
    <fill>
      <patternFill patternType="solid">
        <fgColor rgb="00E7EEF8"/>
      </patternFill>
    </fill>
    <fill>
      <patternFill patternType="solid">
        <fgColor rgb="00DDF4F0"/>
      </patternFill>
    </fill>
    <fill>
      <patternFill patternType="solid">
        <fgColor rgb="00EFE8FF"/>
      </patternFill>
    </fill>
    <fill>
      <patternFill patternType="solid">
        <fgColor rgb="00DFEEFE"/>
      </patternFill>
    </fill>
    <fill>
      <patternFill patternType="solid">
        <fgColor rgb="0000A9A5"/>
      </patternFill>
    </fill>
    <fill>
      <patternFill patternType="solid">
        <fgColor rgb="00DDECF8"/>
      </patternFill>
    </fill>
    <fill>
      <patternFill patternType="solid">
        <fgColor rgb="00EAF3F9"/>
      </patternFill>
    </fill>
    <fill>
      <patternFill patternType="solid">
        <fgColor rgb="007257B4"/>
      </patternFill>
    </fill>
  </fills>
  <borders count="2">
    <border>
      <left/>
      <right/>
      <top/>
      <bottom/>
      <diagonal/>
    </border>
    <border>
      <bottom style="medium">
        <color rgb="00175AC4"/>
      </bottom>
    </border>
  </borders>
  <cellStyleXfs count="1">
    <xf numFmtId="0" fontId="0" fillId="0" borderId="0"/>
  </cellStyleXfs>
  <cellXfs count="1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 indent="2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3" borderId="0" applyAlignment="1" pivotButton="0" quotePrefix="0" xfId="0">
      <alignment vertical="center" indent="1"/>
    </xf>
    <xf numFmtId="0" fontId="0" fillId="3" borderId="0" pivotButton="0" quotePrefix="0" xfId="0"/>
    <xf numFmtId="0" fontId="5" fillId="6" borderId="0" pivotButton="0" quotePrefix="0" xfId="0"/>
    <xf numFmtId="0" fontId="6" fillId="0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center" wrapText="1"/>
    </xf>
    <xf numFmtId="0" fontId="8" fillId="8" borderId="0" applyAlignment="1" pivotButton="0" quotePrefix="0" xfId="0">
      <alignment vertical="center" wrapText="1" indent="1"/>
    </xf>
    <xf numFmtId="0" fontId="9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12" fillId="10" borderId="0" pivotButton="0" quotePrefix="0" xfId="0"/>
    <xf numFmtId="0" fontId="11" fillId="10" borderId="0" pivotButton="0" quotePrefix="0" xfId="0"/>
    <xf numFmtId="0" fontId="13" fillId="10" borderId="0" pivotButton="0" quotePrefix="0" xfId="0"/>
    <xf numFmtId="0" fontId="0" fillId="11" borderId="0" pivotButton="0" quotePrefix="0" xfId="0"/>
    <xf numFmtId="0" fontId="11" fillId="11" borderId="0" pivotButton="0" quotePrefix="0" xfId="0"/>
    <xf numFmtId="0" fontId="13" fillId="0" borderId="0" pivotButton="0" quotePrefix="0" xfId="0"/>
    <xf numFmtId="0" fontId="12" fillId="8" borderId="0" applyAlignment="1" pivotButton="0" quotePrefix="0" xfId="0">
      <alignment vertical="center" wrapText="1"/>
    </xf>
    <xf numFmtId="0" fontId="14" fillId="1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5" fillId="9" borderId="0" applyAlignment="1" pivotButton="0" quotePrefix="0" xfId="0">
      <alignment vertical="center" wrapText="1"/>
    </xf>
    <xf numFmtId="0" fontId="15" fillId="11" borderId="0" applyAlignment="1" pivotButton="0" quotePrefix="0" xfId="0">
      <alignment vertical="center" wrapText="1"/>
    </xf>
    <xf numFmtId="0" fontId="16" fillId="8" borderId="0" applyAlignment="1" pivotButton="0" quotePrefix="0" xfId="0">
      <alignment vertical="center" wrapText="1"/>
    </xf>
    <xf numFmtId="0" fontId="17" fillId="0" borderId="0" applyAlignment="1" pivotButton="0" quotePrefix="0" xfId="0">
      <alignment vertical="center" wrapText="1"/>
    </xf>
    <xf numFmtId="0" fontId="18" fillId="8" borderId="1" applyAlignment="1" pivotButton="0" quotePrefix="0" xfId="0">
      <alignment horizontal="center" vertical="center"/>
    </xf>
    <xf numFmtId="0" fontId="19" fillId="10" borderId="0" applyAlignment="1" pivotButton="0" quotePrefix="0" xfId="0">
      <alignment horizontal="center" vertical="center" wrapText="1"/>
    </xf>
    <xf numFmtId="0" fontId="6" fillId="10" borderId="0" applyAlignment="1" pivotButton="0" quotePrefix="0" xfId="0">
      <alignment vertical="center" wrapText="1"/>
    </xf>
    <xf numFmtId="0" fontId="5" fillId="10" borderId="0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left" vertical="center" indent="1"/>
    </xf>
    <xf numFmtId="0" fontId="7" fillId="6" borderId="0" applyAlignment="1" pivotButton="0" quotePrefix="0" xfId="0">
      <alignment vertical="center" wrapText="1" indent="1"/>
    </xf>
    <xf numFmtId="0" fontId="20" fillId="8" borderId="0" applyAlignment="1" pivotButton="0" quotePrefix="0" xfId="0">
      <alignment vertical="center" wrapText="1"/>
    </xf>
    <xf numFmtId="0" fontId="21" fillId="10" borderId="0" applyAlignment="1" pivotButton="0" quotePrefix="0" xfId="0">
      <alignment horizontal="center" vertical="center" wrapText="1"/>
    </xf>
    <xf numFmtId="0" fontId="22" fillId="0" borderId="0" pivotButton="0" quotePrefix="0" xfId="0"/>
    <xf numFmtId="0" fontId="23" fillId="11" borderId="0" applyAlignment="1" pivotButton="0" quotePrefix="0" xfId="0">
      <alignment horizontal="center" vertical="center" wrapText="1"/>
    </xf>
    <xf numFmtId="0" fontId="24" fillId="0" borderId="0" pivotButton="0" quotePrefix="0" xfId="0"/>
    <xf numFmtId="0" fontId="25" fillId="0" borderId="0" pivotButton="0" quotePrefix="0" xfId="0"/>
    <xf numFmtId="0" fontId="26" fillId="10" borderId="0" applyAlignment="1" pivotButton="0" quotePrefix="0" xfId="0">
      <alignment horizontal="center" vertical="center" wrapText="1"/>
    </xf>
    <xf numFmtId="0" fontId="8" fillId="8" borderId="0" applyAlignment="1" pivotButton="0" quotePrefix="0" xfId="0">
      <alignment vertical="center" wrapText="1"/>
    </xf>
    <xf numFmtId="0" fontId="27" fillId="8" borderId="1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 wrapText="1"/>
    </xf>
    <xf numFmtId="0" fontId="17" fillId="0" borderId="0" pivotButton="0" quotePrefix="0" xfId="0"/>
    <xf numFmtId="0" fontId="29" fillId="11" borderId="0" applyAlignment="1" pivotButton="0" quotePrefix="0" xfId="0">
      <alignment horizontal="center" vertical="center" wrapText="1"/>
    </xf>
    <xf numFmtId="0" fontId="19" fillId="9" borderId="0" applyAlignment="1" pivotButton="0" quotePrefix="0" xfId="0">
      <alignment horizontal="center" vertical="center" wrapText="1"/>
    </xf>
    <xf numFmtId="0" fontId="30" fillId="6" borderId="0" applyAlignment="1" pivotButton="0" quotePrefix="0" xfId="0">
      <alignment vertical="center" wrapText="1" indent="1"/>
    </xf>
    <xf numFmtId="0" fontId="5" fillId="0" borderId="0" pivotButton="0" quotePrefix="0" xfId="0"/>
    <xf numFmtId="0" fontId="31" fillId="0" borderId="0" pivotButton="0" quotePrefix="0" xfId="0"/>
    <xf numFmtId="0" fontId="32" fillId="0" borderId="0" pivotButton="0" quotePrefix="0" xfId="0"/>
    <xf numFmtId="0" fontId="33" fillId="0" borderId="0" applyAlignment="1" pivotButton="0" quotePrefix="0" xfId="0">
      <alignment wrapText="1"/>
    </xf>
    <xf numFmtId="0" fontId="34" fillId="0" borderId="0" pivotButton="0" quotePrefix="0" xfId="0"/>
    <xf numFmtId="0" fontId="6" fillId="7" borderId="0" applyAlignment="1" pivotButton="0" quotePrefix="0" xfId="0">
      <alignment vertical="center" wrapText="1"/>
    </xf>
    <xf numFmtId="0" fontId="13" fillId="10" borderId="0" applyAlignment="1" pivotButton="0" quotePrefix="0" xfId="0">
      <alignment vertical="center" wrapText="1" indent="1"/>
    </xf>
    <xf numFmtId="0" fontId="36" fillId="22" borderId="0" applyAlignment="1" pivotButton="0" quotePrefix="0" xfId="0">
      <alignment horizontal="center" vertical="center"/>
    </xf>
    <xf numFmtId="0" fontId="41" fillId="0" borderId="0" applyAlignment="1" pivotButton="0" quotePrefix="0" xfId="0">
      <alignment vertical="center" wrapText="1"/>
    </xf>
    <xf numFmtId="0" fontId="35" fillId="2" borderId="0" applyAlignment="1" pivotButton="0" quotePrefix="0" xfId="0">
      <alignment horizontal="left" vertical="center" wrapText="1" indent="1"/>
    </xf>
    <xf numFmtId="0" fontId="2" fillId="3" borderId="0" applyAlignment="1" pivotButton="0" quotePrefix="0" xfId="0">
      <alignment horizontal="left" vertical="center" wrapText="1" indent="1"/>
    </xf>
    <xf numFmtId="0" fontId="36" fillId="12" borderId="0" applyAlignment="1" pivotButton="0" quotePrefix="0" xfId="0">
      <alignment horizontal="center" vertical="center"/>
    </xf>
    <xf numFmtId="0" fontId="37" fillId="13" borderId="0" applyAlignment="1" pivotButton="0" quotePrefix="0" xfId="0">
      <alignment horizontal="left" vertical="center" wrapText="1" indent="1"/>
    </xf>
    <xf numFmtId="0" fontId="0" fillId="13" borderId="0" pivotButton="0" quotePrefix="0" xfId="0"/>
    <xf numFmtId="0" fontId="38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center" wrapText="1"/>
    </xf>
    <xf numFmtId="0" fontId="39" fillId="14" borderId="0" applyAlignment="1" pivotButton="0" quotePrefix="0" xfId="0">
      <alignment vertical="center"/>
    </xf>
    <xf numFmtId="0" fontId="40" fillId="14" borderId="0" applyAlignment="1" pivotButton="0" quotePrefix="0" xfId="0">
      <alignment vertical="center"/>
    </xf>
    <xf numFmtId="0" fontId="41" fillId="14" borderId="0" applyAlignment="1" pivotButton="0" quotePrefix="0" xfId="0">
      <alignment vertical="center" wrapText="1"/>
    </xf>
    <xf numFmtId="0" fontId="41" fillId="14" borderId="0" applyAlignment="1" pivotButton="0" quotePrefix="0" xfId="0">
      <alignment vertical="center"/>
    </xf>
    <xf numFmtId="0" fontId="42" fillId="14" borderId="0" applyAlignment="1" pivotButton="0" quotePrefix="0" xfId="0">
      <alignment vertical="center"/>
    </xf>
    <xf numFmtId="0" fontId="43" fillId="14" borderId="0" applyAlignment="1" pivotButton="0" quotePrefix="0" xfId="0">
      <alignment vertical="center" wrapText="1"/>
    </xf>
    <xf numFmtId="0" fontId="44" fillId="15" borderId="0" applyAlignment="1" pivotButton="0" quotePrefix="0" xfId="0">
      <alignment horizontal="center" vertical="center" wrapText="1"/>
    </xf>
    <xf numFmtId="0" fontId="45" fillId="16" borderId="0" applyAlignment="1" pivotButton="0" quotePrefix="0" xfId="0">
      <alignment horizontal="center" vertical="center" wrapText="1"/>
    </xf>
    <xf numFmtId="0" fontId="46" fillId="8" borderId="0" applyAlignment="1" pivotButton="0" quotePrefix="0" xfId="0">
      <alignment horizontal="center" vertical="center" wrapText="1"/>
    </xf>
    <xf numFmtId="0" fontId="39" fillId="13" borderId="0" applyAlignment="1" pivotButton="0" quotePrefix="0" xfId="0">
      <alignment vertical="center"/>
    </xf>
    <xf numFmtId="0" fontId="40" fillId="13" borderId="0" applyAlignment="1" pivotButton="0" quotePrefix="0" xfId="0">
      <alignment vertical="center"/>
    </xf>
    <xf numFmtId="0" fontId="41" fillId="13" borderId="0" applyAlignment="1" pivotButton="0" quotePrefix="0" xfId="0">
      <alignment vertical="center" wrapText="1"/>
    </xf>
    <xf numFmtId="0" fontId="41" fillId="13" borderId="0" applyAlignment="1" pivotButton="0" quotePrefix="0" xfId="0">
      <alignment vertical="center"/>
    </xf>
    <xf numFmtId="0" fontId="42" fillId="13" borderId="0" applyAlignment="1" pivotButton="0" quotePrefix="0" xfId="0">
      <alignment vertical="center"/>
    </xf>
    <xf numFmtId="0" fontId="43" fillId="13" borderId="0" applyAlignment="1" pivotButton="0" quotePrefix="0" xfId="0">
      <alignment vertical="center" wrapText="1"/>
    </xf>
    <xf numFmtId="0" fontId="47" fillId="17" borderId="0" applyAlignment="1" pivotButton="0" quotePrefix="0" xfId="0">
      <alignment horizontal="center" vertical="center" wrapText="1"/>
    </xf>
    <xf numFmtId="0" fontId="48" fillId="10" borderId="0" applyAlignment="1" pivotButton="0" quotePrefix="0" xfId="0">
      <alignment vertical="center"/>
    </xf>
    <xf numFmtId="0" fontId="49" fillId="10" borderId="0" applyAlignment="1" pivotButton="0" quotePrefix="0" xfId="0">
      <alignment vertical="center"/>
    </xf>
    <xf numFmtId="0" fontId="41" fillId="10" borderId="0" applyAlignment="1" pivotButton="0" quotePrefix="0" xfId="0">
      <alignment vertical="center" wrapText="1"/>
    </xf>
    <xf numFmtId="0" fontId="50" fillId="18" borderId="0" applyAlignment="1" pivotButton="0" quotePrefix="0" xfId="0">
      <alignment horizontal="center" vertical="center" wrapText="1"/>
    </xf>
    <xf numFmtId="0" fontId="36" fillId="19" borderId="0" applyAlignment="1" pivotButton="0" quotePrefix="0" xfId="0">
      <alignment horizontal="center" vertical="center"/>
    </xf>
    <xf numFmtId="0" fontId="51" fillId="3" borderId="0" applyAlignment="1" pivotButton="0" quotePrefix="0" xfId="0">
      <alignment horizontal="left" vertical="center" wrapText="1" indent="1"/>
    </xf>
    <xf numFmtId="0" fontId="52" fillId="0" borderId="0" pivotButton="0" quotePrefix="0" xfId="0"/>
    <xf numFmtId="0" fontId="53" fillId="8" borderId="0" applyAlignment="1" pivotButton="0" quotePrefix="0" xfId="0">
      <alignment horizontal="center"/>
    </xf>
    <xf numFmtId="0" fontId="54" fillId="8" borderId="0" applyAlignment="1" pivotButton="0" quotePrefix="0" xfId="0">
      <alignment horizontal="center"/>
    </xf>
    <xf numFmtId="0" fontId="55" fillId="10" borderId="0" applyAlignment="1" pivotButton="0" quotePrefix="0" xfId="0">
      <alignment vertical="center" wrapText="1"/>
    </xf>
    <xf numFmtId="0" fontId="57" fillId="10" borderId="0" applyAlignment="1" pivotButton="0" quotePrefix="0" xfId="0">
      <alignment vertical="center" wrapText="1"/>
    </xf>
    <xf numFmtId="0" fontId="56" fillId="10" borderId="0" applyAlignment="1" pivotButton="0" quotePrefix="0" xfId="0">
      <alignment vertical="center" wrapText="1"/>
    </xf>
    <xf numFmtId="0" fontId="4" fillId="3" borderId="0" applyAlignment="1" pivotButton="0" quotePrefix="0" xfId="0">
      <alignment horizontal="left" vertical="center" wrapText="1" indent="1"/>
    </xf>
    <xf numFmtId="0" fontId="58" fillId="16" borderId="0" applyAlignment="1" pivotButton="0" quotePrefix="0" xfId="0">
      <alignment horizontal="center" vertical="center" wrapText="1"/>
    </xf>
    <xf numFmtId="0" fontId="58" fillId="20" borderId="0" applyAlignment="1" pivotButton="0" quotePrefix="0" xfId="0">
      <alignment horizontal="center" vertical="center" wrapText="1"/>
    </xf>
    <xf numFmtId="0" fontId="31" fillId="13" borderId="0" pivotButton="0" quotePrefix="0" xfId="0"/>
    <xf numFmtId="0" fontId="59" fillId="13" borderId="0" applyAlignment="1" pivotButton="0" quotePrefix="0" xfId="0">
      <alignment vertical="center" wrapText="1"/>
    </xf>
    <xf numFmtId="0" fontId="59" fillId="0" borderId="0" applyAlignment="1" pivotButton="0" quotePrefix="0" xfId="0">
      <alignment vertical="center" wrapText="1"/>
    </xf>
    <xf numFmtId="0" fontId="60" fillId="10" borderId="0" applyAlignment="1" pivotButton="0" quotePrefix="0" xfId="0">
      <alignment vertical="center" wrapText="1" indent="1"/>
    </xf>
    <xf numFmtId="0" fontId="61" fillId="0" borderId="0" pivotButton="0" quotePrefix="0" xfId="0"/>
    <xf numFmtId="0" fontId="62" fillId="8" borderId="0" applyAlignment="1" pivotButton="0" quotePrefix="0" xfId="0">
      <alignment horizontal="left" vertical="center" wrapText="1" indent="1"/>
    </xf>
    <xf numFmtId="0" fontId="0" fillId="8" borderId="0" pivotButton="0" quotePrefix="0" xfId="0"/>
    <xf numFmtId="0" fontId="4" fillId="19" borderId="0" applyAlignment="1" pivotButton="0" quotePrefix="0" xfId="0">
      <alignment horizontal="left" vertical="center" wrapText="1" indent="1"/>
    </xf>
    <xf numFmtId="0" fontId="0" fillId="19" borderId="0" pivotButton="0" quotePrefix="0" xfId="0"/>
    <xf numFmtId="0" fontId="63" fillId="13" borderId="0" applyAlignment="1" pivotButton="0" quotePrefix="0" xfId="0">
      <alignment horizontal="left" vertical="center" wrapText="1" indent="1"/>
    </xf>
    <xf numFmtId="0" fontId="41" fillId="14" borderId="0" applyAlignment="1" pivotButton="0" quotePrefix="0" xfId="0">
      <alignment horizontal="left" vertical="center" wrapText="1" indent="1"/>
    </xf>
    <xf numFmtId="0" fontId="0" fillId="14" borderId="0" pivotButton="0" quotePrefix="0" xfId="0"/>
    <xf numFmtId="0" fontId="64" fillId="15" borderId="0" applyAlignment="1" pivotButton="0" quotePrefix="0" xfId="0">
      <alignment horizontal="center" vertical="center" wrapText="1"/>
    </xf>
    <xf numFmtId="0" fontId="67" fillId="16" borderId="0" applyAlignment="1" pivotButton="0" quotePrefix="0" xfId="0">
      <alignment horizontal="center" vertical="center" wrapText="1"/>
    </xf>
    <xf numFmtId="0" fontId="70" fillId="17" borderId="0" applyAlignment="1" pivotButton="0" quotePrefix="0" xfId="0">
      <alignment horizontal="center" vertical="center" wrapText="1"/>
    </xf>
    <xf numFmtId="0" fontId="73" fillId="8" borderId="0" applyAlignment="1" pivotButton="0" quotePrefix="0" xfId="0">
      <alignment horizontal="center" vertical="center" wrapText="1"/>
    </xf>
    <xf numFmtId="0" fontId="65" fillId="15" borderId="0" applyAlignment="1" pivotButton="0" quotePrefix="0" xfId="0">
      <alignment horizontal="center" vertical="center" wrapText="1"/>
    </xf>
    <xf numFmtId="0" fontId="68" fillId="16" borderId="0" applyAlignment="1" pivotButton="0" quotePrefix="0" xfId="0">
      <alignment horizontal="center" vertical="center" wrapText="1"/>
    </xf>
    <xf numFmtId="0" fontId="71" fillId="17" borderId="0" applyAlignment="1" pivotButton="0" quotePrefix="0" xfId="0">
      <alignment horizontal="center" vertical="center" wrapText="1"/>
    </xf>
    <xf numFmtId="0" fontId="74" fillId="8" borderId="0" applyAlignment="1" pivotButton="0" quotePrefix="0" xfId="0">
      <alignment horizontal="center" vertical="center" wrapText="1"/>
    </xf>
    <xf numFmtId="0" fontId="66" fillId="15" borderId="0" applyAlignment="1" pivotButton="0" quotePrefix="0" xfId="0">
      <alignment horizontal="center" vertical="center" wrapText="1"/>
    </xf>
    <xf numFmtId="0" fontId="69" fillId="16" borderId="0" applyAlignment="1" pivotButton="0" quotePrefix="0" xfId="0">
      <alignment horizontal="center" vertical="center" wrapText="1"/>
    </xf>
    <xf numFmtId="0" fontId="72" fillId="17" borderId="0" applyAlignment="1" pivotButton="0" quotePrefix="0" xfId="0">
      <alignment horizontal="center" vertical="center" wrapText="1"/>
    </xf>
    <xf numFmtId="0" fontId="75" fillId="8" borderId="0" applyAlignment="1" pivotButton="0" quotePrefix="0" xfId="0">
      <alignment horizontal="center" vertical="center" wrapText="1"/>
    </xf>
    <xf numFmtId="0" fontId="41" fillId="21" borderId="0" applyAlignment="1" pivotButton="0" quotePrefix="0" xfId="0">
      <alignment horizontal="left" vertical="center" wrapText="1" indent="1"/>
    </xf>
    <xf numFmtId="0" fontId="0" fillId="21" borderId="0" pivotButton="0" quotePrefix="0" xfId="0"/>
    <xf numFmtId="0" fontId="76" fillId="14" borderId="0" applyAlignment="1" pivotButton="0" quotePrefix="0" xfId="0">
      <alignment horizontal="left" vertical="center" wrapText="1" indent="1"/>
    </xf>
    <xf numFmtId="0" fontId="4" fillId="22" borderId="0" applyAlignment="1" pivotButton="0" quotePrefix="0" xfId="0">
      <alignment horizontal="left" vertical="center" wrapText="1" indent="1"/>
    </xf>
    <xf numFmtId="0" fontId="0" fillId="22" borderId="0" pivotButton="0" quotePrefix="0" xfId="0"/>
    <xf numFmtId="0" fontId="77" fillId="18" borderId="0" applyAlignment="1" pivotButton="0" quotePrefix="0" xfId="0">
      <alignment horizontal="center" vertical="center" wrapText="1"/>
    </xf>
    <xf numFmtId="0" fontId="78" fillId="18" borderId="0" applyAlignment="1" pivotButton="0" quotePrefix="0" xfId="0">
      <alignment horizontal="center" vertical="center" wrapText="1"/>
    </xf>
    <xf numFmtId="0" fontId="79" fillId="18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6">
    <dxf>
      <font>
        <name val="Aptos"/>
        <b val="1"/>
        <color rgb="0000A9A5"/>
        <sz val="24"/>
      </font>
      <fill>
        <patternFill patternType="solid">
          <fgColor rgb="00E2F3F0"/>
        </patternFill>
      </fill>
    </dxf>
    <dxf>
      <font>
        <name val="Aptos"/>
        <b val="1"/>
        <color rgb="00175AC4"/>
      </font>
      <fill>
        <patternFill patternType="solid">
          <fgColor rgb="00FFF0CD"/>
        </patternFill>
      </fill>
    </dxf>
    <dxf>
      <font>
        <name val="Aptos"/>
        <b val="1"/>
        <color rgb="0016744C"/>
      </font>
      <fill>
        <patternFill patternType="solid">
          <fgColor rgb="00E2F3F0"/>
        </patternFill>
      </fill>
    </dxf>
    <dxf>
      <font>
        <b val="1"/>
        <color rgb="0016744C"/>
      </font>
      <fill>
        <patternFill patternType="solid">
          <fgColor rgb="00E2F3F0"/>
        </patternFill>
      </fill>
    </dxf>
    <dxf>
      <font>
        <b val="1"/>
        <color rgb="00BB3B40"/>
      </font>
      <fill>
        <patternFill patternType="solid">
          <fgColor rgb="00FAE7E7"/>
        </patternFill>
      </fill>
    </dxf>
    <dxf>
      <font>
        <name val="Aptos"/>
        <b val="1"/>
        <color rgb="0000A9A5"/>
        <sz val="34"/>
      </font>
      <fill>
        <patternFill patternType="solid">
          <fgColor rgb="00E2F3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RAW FETCH — 12 физических запусков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'ЗАХВАТЫ'!O5</f>
            </strRef>
          </tx>
          <spPr>
            <a:solidFill xmlns:a="http://schemas.openxmlformats.org/drawingml/2006/main">
              <a:srgbClr val="6744A8"/>
            </a:solidFill>
            <a:ln xmlns:a="http://schemas.openxmlformats.org/drawingml/2006/main">
              <a:noFill/>
              <a:prstDash val="solid"/>
            </a:ln>
          </spPr>
          <cat>
            <numRef>
              <f>'ЗАХВАТЫ'!$A$6:$A$17</f>
            </numRef>
          </cat>
          <val>
            <numRef>
              <f>'ЗАХВАТЫ'!$O$6:$O$17</f>
            </numRef>
          </val>
        </ser>
        <ser>
          <idx val="1"/>
          <order val="1"/>
          <tx>
            <strRef>
              <f>'ЗАХВАТЫ'!P5</f>
            </strRef>
          </tx>
          <spPr>
            <a:solidFill xmlns:a="http://schemas.openxmlformats.org/drawingml/2006/main">
              <a:srgbClr val="00A9A5"/>
            </a:solidFill>
            <a:ln xmlns:a="http://schemas.openxmlformats.org/drawingml/2006/main">
              <a:noFill/>
              <a:prstDash val="solid"/>
            </a:ln>
          </spPr>
          <cat>
            <numRef>
              <f>'ЗАХВАТЫ'!$A$6:$A$17</f>
            </numRef>
          </cat>
          <val>
            <numRef>
              <f>'ЗАХВАТЫ'!$P$6:$P$17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Номер захвата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Принятых FETCH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LAB-03 FPGA Lab</author>
  </authors>
  <commentList>
    <comment ref="D5" authorId="0" shapeId="0">
      <text>
        <t>Относительный аппаратный цикл
Из 16 младших бит поля CYCLE_KIND исходного T3. Это не абсолютное системное время.</t>
      </text>
    </comment>
    <comment ref="E5" authorId="0" shapeId="0">
      <text>
        <t>FETCH и LED_WRITE
FETCH: подтвержденная выборка из ROM. LED_WRITE: подтвержденная запись периферии. Никакого retirement в формате нет.</t>
      </text>
    </comment>
    <comment ref="P5" authorId="0" shapeId="0">
      <text>
        <t>Начало сравниваемого участка
Первый FETCH с PC=0x00000048; до него может различаться UART polling.</t>
      </text>
    </comment>
  </commentList>
</comments>
</file>

<file path=xl/comments/comment2.xml><?xml version="1.0" encoding="utf-8"?>
<comments xmlns="http://schemas.openxmlformats.org/spreadsheetml/2006/main">
  <authors>
    <author>LAB-03 FPGA Lab</author>
  </authors>
  <commentList>
    <comment ref="I5" authorId="0" shapeId="0">
      <text>
        <t>Частота FETCH
Повторная выборка того же PC учитывается снова; это не количество завершенных инструкций.</t>
      </text>
    </comment>
  </commentList>
</comments>
</file>

<file path=xl/comments/comment3.xml><?xml version="1.0" encoding="utf-8"?>
<comments xmlns="http://schemas.openxmlformats.org/spreadsheetml/2006/main">
  <authors>
    <author>LAB-03 FPGA Lab</author>
  </authors>
  <commentList>
    <comment ref="G5" authorId="0" shapeId="0">
      <text>
        <t>Префикс UART polling
Число FETCH до единственного события с PC=0x00000048; в разных измерениях может отличаться.</t>
      </text>
    </comment>
    <comment ref="H5" authorId="0" shapeId="0">
      <text>
        <t>Нормализованный участок
После якоря 0x048: 14 FETCH для команды 0, 22 FETCH для команды 4. Сравниваются и финальные LED_WRITE.</t>
      </text>
    </comment>
  </commentList>
</comments>
</file>

<file path=xl/comments/comment4.xml><?xml version="1.0" encoding="utf-8"?>
<comments xmlns="http://schemas.openxmlformats.org/spreadsheetml/2006/main">
  <authors>
    <author>LAB-03 FPGA Lab</author>
  </authors>
  <commentList>
    <comment ref="G6" authorId="0" shapeId="0">
      <text>
        <t>Число FETCH
COUNTIF по сырым аппаратным событиям. Повторные обращения к одному PC входят в сумму.</t>
      </text>
    </comment>
    <comment ref="I6" authorId="0" shapeId="0">
      <text>
        <t>Число ROM-слов
COUNTIF по содержимому конкретного lab03_boot.hex. Присутствие в ROM не доказывает исполнение.</t>
      </text>
    </comment>
  </commentList>
</comments>
</file>

<file path=xl/comments/comment5.xml><?xml version="1.0" encoding="utf-8"?>
<comments xmlns="http://schemas.openxmlformats.org/spreadsheetml/2006/main">
  <authors>
    <author>RISC-V / LAB-03</author>
  </authors>
  <commentList>
    <comment ref="M9" authorId="0" shapeId="0">
      <text>
        <t>20-битная константа; значение в rd = imm &lt;&lt; 12</t>
      </text>
    </comment>
    <comment ref="N9" authorId="0" shapeId="0">
      <text>
        <t>Приёмник x5 = t0</t>
      </text>
    </comment>
    <comment ref="O9" authorId="0" shapeId="0">
      <text>
        <t>0110111: LUI</t>
      </text>
    </comment>
    <comment ref="M10" authorId="0" shapeId="0">
      <text>
        <t>Старшие биты смещения со знаком</t>
      </text>
    </comment>
    <comment ref="N10" authorId="0" shapeId="0">
      <text>
        <t>Источник записываемых данных: x0 = zero</t>
      </text>
    </comment>
    <comment ref="O10" authorId="0" shapeId="0">
      <text>
        <t>Базовый адрес: x5 = t0</t>
      </text>
    </comment>
    <comment ref="P10" authorId="0" shapeId="0">
      <text>
        <t>010 = SW: запись 32-битного слова</t>
      </text>
    </comment>
    <comment ref="Q10" authorId="0" shapeId="0">
      <text>
        <t>Младшие биты смещения</t>
      </text>
    </comment>
    <comment ref="R10" authorId="0" shapeId="0">
      <text>
        <t>0100011: STORE</t>
      </text>
    </comment>
    <comment ref="M11" authorId="0" shapeId="0">
      <text>
        <t>12-битная константа; в RV32I знаково расширяется</t>
      </text>
    </comment>
    <comment ref="N11" authorId="0" shapeId="0">
      <text>
        <t>Исходный регистр x0 = zero</t>
      </text>
    </comment>
    <comment ref="O11" authorId="0" shapeId="0">
      <text>
        <t>000=ADDI, 111=ANDI</t>
      </text>
    </comment>
    <comment ref="P11" authorId="0" shapeId="0">
      <text>
        <t>Приёмник x6 = t1</t>
      </text>
    </comment>
    <comment ref="Q11" authorId="0" shapeId="0">
      <text>
        <t>0010011: OP-IMM</t>
      </text>
    </comment>
    <comment ref="M12" authorId="0" shapeId="0">
      <text>
        <t>Знаковый бит PC-относительного перехода</t>
      </text>
    </comment>
    <comment ref="N12" authorId="0" shapeId="0">
      <text>
        <t>Средние биты адресного смещения</t>
      </text>
    </comment>
    <comment ref="O12" authorId="0" shapeId="0">
      <text>
        <t>Переставленный бит смещения</t>
      </text>
    </comment>
    <comment ref="P12" authorId="0" shapeId="0">
      <text>
        <t>Биты смещения перехода</t>
      </text>
    </comment>
    <comment ref="Q12" authorId="0" shapeId="0">
      <text>
        <t>Приёмник адреса возврата: x1 = ra</t>
      </text>
    </comment>
    <comment ref="R12" authorId="0" shapeId="0">
      <text>
        <t>1101111: JAL</t>
      </text>
    </comment>
    <comment ref="M13" authorId="0" shapeId="0">
      <text>
        <t>12-битная константа; в RV32I знаково расширяется</t>
      </text>
    </comment>
    <comment ref="N13" authorId="0" shapeId="0">
      <text>
        <t>Исходный регистр x0 = zero</t>
      </text>
    </comment>
    <comment ref="O13" authorId="0" shapeId="0">
      <text>
        <t>000=ADDI, 111=ANDI</t>
      </text>
    </comment>
    <comment ref="P13" authorId="0" shapeId="0">
      <text>
        <t>Приёмник x6 = t1</t>
      </text>
    </comment>
    <comment ref="Q13" authorId="0" shapeId="0">
      <text>
        <t>0010011: OP-IMM</t>
      </text>
    </comment>
    <comment ref="M14" authorId="0" shapeId="0">
      <text>
        <t>Знаковый бит PC-относительного перехода</t>
      </text>
    </comment>
    <comment ref="N14" authorId="0" shapeId="0">
      <text>
        <t>Средние биты адресного смещения</t>
      </text>
    </comment>
    <comment ref="O14" authorId="0" shapeId="0">
      <text>
        <t>Переставленный бит смещения</t>
      </text>
    </comment>
    <comment ref="P14" authorId="0" shapeId="0">
      <text>
        <t>Биты смещения перехода</t>
      </text>
    </comment>
    <comment ref="Q14" authorId="0" shapeId="0">
      <text>
        <t>Приёмник адреса возврата: x1 = ra</t>
      </text>
    </comment>
    <comment ref="R14" authorId="0" shapeId="0">
      <text>
        <t>1101111: JAL</t>
      </text>
    </comment>
    <comment ref="M15" authorId="0" shapeId="0">
      <text>
        <t>12-битная константа; в RV32I знаково расширяется</t>
      </text>
    </comment>
    <comment ref="N15" authorId="0" shapeId="0">
      <text>
        <t>Исходный регистр x0 = zero</t>
      </text>
    </comment>
    <comment ref="O15" authorId="0" shapeId="0">
      <text>
        <t>000=ADDI, 111=ANDI</t>
      </text>
    </comment>
    <comment ref="P15" authorId="0" shapeId="0">
      <text>
        <t>Приёмник x6 = t1</t>
      </text>
    </comment>
    <comment ref="Q15" authorId="0" shapeId="0">
      <text>
        <t>0010011: OP-IMM</t>
      </text>
    </comment>
    <comment ref="M16" authorId="0" shapeId="0">
      <text>
        <t>Знаковый бит PC-относительного перехода</t>
      </text>
    </comment>
    <comment ref="N16" authorId="0" shapeId="0">
      <text>
        <t>Средние биты адресного смещения</t>
      </text>
    </comment>
    <comment ref="O16" authorId="0" shapeId="0">
      <text>
        <t>Переставленный бит смещения</t>
      </text>
    </comment>
    <comment ref="P16" authorId="0" shapeId="0">
      <text>
        <t>Биты смещения перехода</t>
      </text>
    </comment>
    <comment ref="Q16" authorId="0" shapeId="0">
      <text>
        <t>Приёмник адреса возврата: x1 = ra</t>
      </text>
    </comment>
    <comment ref="R16" authorId="0" shapeId="0">
      <text>
        <t>1101111: JAL</t>
      </text>
    </comment>
    <comment ref="M17" authorId="0" shapeId="0">
      <text>
        <t>12-битная константа; в RV32I знаково расширяется</t>
      </text>
    </comment>
    <comment ref="N17" authorId="0" shapeId="0">
      <text>
        <t>Исходный регистр x0 = zero</t>
      </text>
    </comment>
    <comment ref="O17" authorId="0" shapeId="0">
      <text>
        <t>000=ADDI, 111=ANDI</t>
      </text>
    </comment>
    <comment ref="P17" authorId="0" shapeId="0">
      <text>
        <t>Приёмник x6 = t1</t>
      </text>
    </comment>
    <comment ref="Q17" authorId="0" shapeId="0">
      <text>
        <t>0010011: OP-IMM</t>
      </text>
    </comment>
    <comment ref="M18" authorId="0" shapeId="0">
      <text>
        <t>Знаковый бит PC-относительного перехода</t>
      </text>
    </comment>
    <comment ref="N18" authorId="0" shapeId="0">
      <text>
        <t>Средние биты адресного смещения</t>
      </text>
    </comment>
    <comment ref="O18" authorId="0" shapeId="0">
      <text>
        <t>Переставленный бит смещения</t>
      </text>
    </comment>
    <comment ref="P18" authorId="0" shapeId="0">
      <text>
        <t>Биты смещения перехода</t>
      </text>
    </comment>
    <comment ref="Q18" authorId="0" shapeId="0">
      <text>
        <t>Приёмник адреса возврата: x1 = ra</t>
      </text>
    </comment>
    <comment ref="R18" authorId="0" shapeId="0">
      <text>
        <t>1101111: JAL</t>
      </text>
    </comment>
    <comment ref="M19" authorId="0" shapeId="0">
      <text>
        <t>12-битная константа; в RV32I знаково расширяется</t>
      </text>
    </comment>
    <comment ref="N19" authorId="0" shapeId="0">
      <text>
        <t>Исходный регистр x0 = zero</t>
      </text>
    </comment>
    <comment ref="O19" authorId="0" shapeId="0">
      <text>
        <t>000=ADDI, 111=ANDI</t>
      </text>
    </comment>
    <comment ref="P19" authorId="0" shapeId="0">
      <text>
        <t>Приёмник x6 = t1</t>
      </text>
    </comment>
    <comment ref="Q19" authorId="0" shapeId="0">
      <text>
        <t>0010011: OP-IMM</t>
      </text>
    </comment>
    <comment ref="M20" authorId="0" shapeId="0">
      <text>
        <t>Знаковый бит PC-относительного перехода</t>
      </text>
    </comment>
    <comment ref="N20" authorId="0" shapeId="0">
      <text>
        <t>Средние биты адресного смещения</t>
      </text>
    </comment>
    <comment ref="O20" authorId="0" shapeId="0">
      <text>
        <t>Переставленный бит смещения</t>
      </text>
    </comment>
    <comment ref="P20" authorId="0" shapeId="0">
      <text>
        <t>Биты смещения перехода</t>
      </text>
    </comment>
    <comment ref="Q20" authorId="0" shapeId="0">
      <text>
        <t>Приёмник адреса возврата: x1 = ra</t>
      </text>
    </comment>
    <comment ref="R20" authorId="0" shapeId="0">
      <text>
        <t>1101111: JAL</t>
      </text>
    </comment>
    <comment ref="M21" authorId="0" shapeId="0">
      <text>
        <t>12-битная константа; в RV32I знаково расширяется</t>
      </text>
    </comment>
    <comment ref="N21" authorId="0" shapeId="0">
      <text>
        <t>Исходный регистр x0 = zero</t>
      </text>
    </comment>
    <comment ref="O21" authorId="0" shapeId="0">
      <text>
        <t>000=ADDI, 111=ANDI</t>
      </text>
    </comment>
    <comment ref="P21" authorId="0" shapeId="0">
      <text>
        <t>Приёмник x6 = t1</t>
      </text>
    </comment>
    <comment ref="Q21" authorId="0" shapeId="0">
      <text>
        <t>0010011: OP-IMM</t>
      </text>
    </comment>
    <comment ref="M22" authorId="0" shapeId="0">
      <text>
        <t>Знаковый бит PC-относительного перехода</t>
      </text>
    </comment>
    <comment ref="N22" authorId="0" shapeId="0">
      <text>
        <t>Средние биты адресного смещения</t>
      </text>
    </comment>
    <comment ref="O22" authorId="0" shapeId="0">
      <text>
        <t>Переставленный бит смещения</t>
      </text>
    </comment>
    <comment ref="P22" authorId="0" shapeId="0">
      <text>
        <t>Биты смещения перехода</t>
      </text>
    </comment>
    <comment ref="Q22" authorId="0" shapeId="0">
      <text>
        <t>Приёмник адреса возврата: x1 = ra</t>
      </text>
    </comment>
    <comment ref="R22" authorId="0" shapeId="0">
      <text>
        <t>1101111: JAL</t>
      </text>
    </comment>
    <comment ref="M23" authorId="0" shapeId="0">
      <text>
        <t>Знаковое 12-битное смещение от базового адреса</t>
      </text>
    </comment>
    <comment ref="N23" authorId="0" shapeId="0">
      <text>
        <t>Базовый регистр x5 = t0</t>
      </text>
    </comment>
    <comment ref="O23" authorId="0" shapeId="0">
      <text>
        <t>010 = LW: загрузка 32-битного слова</t>
      </text>
    </comment>
    <comment ref="P23" authorId="0" shapeId="0">
      <text>
        <t>Приёмник x7 = t2</t>
      </text>
    </comment>
    <comment ref="Q23" authorId="0" shapeId="0">
      <text>
        <t>0000011: LOAD</t>
      </text>
    </comment>
    <comment ref="M24" authorId="0" shapeId="0">
      <text>
        <t>12-битная константа; в RV32I знаково расширяется</t>
      </text>
    </comment>
    <comment ref="N24" authorId="0" shapeId="0">
      <text>
        <t>Исходный регистр x7 = t2</t>
      </text>
    </comment>
    <comment ref="O24" authorId="0" shapeId="0">
      <text>
        <t>000=ADDI, 111=ANDI</t>
      </text>
    </comment>
    <comment ref="P24" authorId="0" shapeId="0">
      <text>
        <t>Приёмник x7 = t2</t>
      </text>
    </comment>
    <comment ref="Q24" authorId="0" shapeId="0">
      <text>
        <t>0010011: OP-IMM</t>
      </text>
    </comment>
    <comment ref="M25" authorId="0" shapeId="0">
      <text>
        <t>Знаковый бит ветвления</t>
      </text>
    </comment>
    <comment ref="N25" authorId="0" shapeId="0">
      <text>
        <t>Старшие биты смещения</t>
      </text>
    </comment>
    <comment ref="O25" authorId="0" shapeId="0">
      <text>
        <t>Второй сравниваемый регистр x0 = zero</t>
      </text>
    </comment>
    <comment ref="P25" authorId="0" shapeId="0">
      <text>
        <t>Первый сравниваемый регистр x7 = t2</t>
      </text>
    </comment>
    <comment ref="Q25" authorId="0" shapeId="0">
      <text>
        <t>000=BEQ, 001=BNE</t>
      </text>
    </comment>
    <comment ref="R25" authorId="0" shapeId="0">
      <text>
        <t>Младшая группа байтового смещения; bit0=0</t>
      </text>
    </comment>
    <comment ref="S25" authorId="0" shapeId="0">
      <text>
        <t>Переставленный бит смещения</t>
      </text>
    </comment>
    <comment ref="T25" authorId="0" shapeId="0">
      <text>
        <t>1100011: BRANCH</t>
      </text>
    </comment>
    <comment ref="M26" authorId="0" shapeId="0">
      <text>
        <t>Знаковое 12-битное смещение от базового адреса</t>
      </text>
    </comment>
    <comment ref="N26" authorId="0" shapeId="0">
      <text>
        <t>Базовый регистр x5 = t0</t>
      </text>
    </comment>
    <comment ref="O26" authorId="0" shapeId="0">
      <text>
        <t>010 = LW: загрузка 32-битного слова</t>
      </text>
    </comment>
    <comment ref="P26" authorId="0" shapeId="0">
      <text>
        <t>Приёмник x28 = t3</t>
      </text>
    </comment>
    <comment ref="Q26" authorId="0" shapeId="0">
      <text>
        <t>0000011: LOAD</t>
      </text>
    </comment>
    <comment ref="M27" authorId="0" shapeId="0">
      <text>
        <t>12-битная константа; в RV32I знаково расширяется</t>
      </text>
    </comment>
    <comment ref="N27" authorId="0" shapeId="0">
      <text>
        <t>Исходный регистр x0 = zero</t>
      </text>
    </comment>
    <comment ref="O27" authorId="0" shapeId="0">
      <text>
        <t>000=ADDI, 111=ANDI</t>
      </text>
    </comment>
    <comment ref="P27" authorId="0" shapeId="0">
      <text>
        <t>Приёмник x8 = s0</t>
      </text>
    </comment>
    <comment ref="Q27" authorId="0" shapeId="0">
      <text>
        <t>0010011: OP-IMM</t>
      </text>
    </comment>
    <comment ref="M28" authorId="0" shapeId="0">
      <text>
        <t>Знаковый бит ветвления</t>
      </text>
    </comment>
    <comment ref="N28" authorId="0" shapeId="0">
      <text>
        <t>Старшие биты смещения</t>
      </text>
    </comment>
    <comment ref="O28" authorId="0" shapeId="0">
      <text>
        <t>Второй сравниваемый регистр x8 = s0</t>
      </text>
    </comment>
    <comment ref="P28" authorId="0" shapeId="0">
      <text>
        <t>Первый сравниваемый регистр x28 = t3</t>
      </text>
    </comment>
    <comment ref="Q28" authorId="0" shapeId="0">
      <text>
        <t>000=BEQ, 001=BNE</t>
      </text>
    </comment>
    <comment ref="R28" authorId="0" shapeId="0">
      <text>
        <t>Младшая группа байтового смещения; bit0=0</t>
      </text>
    </comment>
    <comment ref="S28" authorId="0" shapeId="0">
      <text>
        <t>Переставленный бит смещения</t>
      </text>
    </comment>
    <comment ref="T28" authorId="0" shapeId="0">
      <text>
        <t>1100011: BRANCH</t>
      </text>
    </comment>
    <comment ref="M29" authorId="0" shapeId="0">
      <text>
        <t>12-битная константа; в RV32I знаково расширяется</t>
      </text>
    </comment>
    <comment ref="N29" authorId="0" shapeId="0">
      <text>
        <t>Исходный регистр x0 = zero</t>
      </text>
    </comment>
    <comment ref="O29" authorId="0" shapeId="0">
      <text>
        <t>000=ADDI, 111=ANDI</t>
      </text>
    </comment>
    <comment ref="P29" authorId="0" shapeId="0">
      <text>
        <t>Приёмник x8 = s0</t>
      </text>
    </comment>
    <comment ref="Q29" authorId="0" shapeId="0">
      <text>
        <t>0010011: OP-IMM</t>
      </text>
    </comment>
    <comment ref="M30" authorId="0" shapeId="0">
      <text>
        <t>Знаковый бит ветвления</t>
      </text>
    </comment>
    <comment ref="N30" authorId="0" shapeId="0">
      <text>
        <t>Старшие биты смещения</t>
      </text>
    </comment>
    <comment ref="O30" authorId="0" shapeId="0">
      <text>
        <t>Второй сравниваемый регистр x8 = s0</t>
      </text>
    </comment>
    <comment ref="P30" authorId="0" shapeId="0">
      <text>
        <t>Первый сравниваемый регистр x28 = t3</t>
      </text>
    </comment>
    <comment ref="Q30" authorId="0" shapeId="0">
      <text>
        <t>000=BEQ, 001=BNE</t>
      </text>
    </comment>
    <comment ref="R30" authorId="0" shapeId="0">
      <text>
        <t>Младшая группа байтового смещения; bit0=0</t>
      </text>
    </comment>
    <comment ref="S30" authorId="0" shapeId="0">
      <text>
        <t>Переставленный бит смещения</t>
      </text>
    </comment>
    <comment ref="T30" authorId="0" shapeId="0">
      <text>
        <t>1100011: BRANCH</t>
      </text>
    </comment>
    <comment ref="M31" authorId="0" shapeId="0">
      <text>
        <t>12-битная константа; в RV32I знаково расширяется</t>
      </text>
    </comment>
    <comment ref="N31" authorId="0" shapeId="0">
      <text>
        <t>Исходный регистр x0 = zero</t>
      </text>
    </comment>
    <comment ref="O31" authorId="0" shapeId="0">
      <text>
        <t>000=ADDI, 111=ANDI</t>
      </text>
    </comment>
    <comment ref="P31" authorId="0" shapeId="0">
      <text>
        <t>Приёмник x8 = s0</t>
      </text>
    </comment>
    <comment ref="Q31" authorId="0" shapeId="0">
      <text>
        <t>0010011: OP-IMM</t>
      </text>
    </comment>
    <comment ref="M32" authorId="0" shapeId="0">
      <text>
        <t>Знаковый бит ветвления</t>
      </text>
    </comment>
    <comment ref="N32" authorId="0" shapeId="0">
      <text>
        <t>Старшие биты смещения</t>
      </text>
    </comment>
    <comment ref="O32" authorId="0" shapeId="0">
      <text>
        <t>Второй сравниваемый регистр x8 = s0</t>
      </text>
    </comment>
    <comment ref="P32" authorId="0" shapeId="0">
      <text>
        <t>Первый сравниваемый регистр x28 = t3</t>
      </text>
    </comment>
    <comment ref="Q32" authorId="0" shapeId="0">
      <text>
        <t>000=BEQ, 001=BNE</t>
      </text>
    </comment>
    <comment ref="R32" authorId="0" shapeId="0">
      <text>
        <t>Младшая группа байтового смещения; bit0=0</t>
      </text>
    </comment>
    <comment ref="S32" authorId="0" shapeId="0">
      <text>
        <t>Переставленный бит смещения</t>
      </text>
    </comment>
    <comment ref="T32" authorId="0" shapeId="0">
      <text>
        <t>1100011: BRANCH</t>
      </text>
    </comment>
    <comment ref="M33" authorId="0" shapeId="0">
      <text>
        <t>12-битная константа; в RV32I знаково расширяется</t>
      </text>
    </comment>
    <comment ref="N33" authorId="0" shapeId="0">
      <text>
        <t>Исходный регистр x0 = zero</t>
      </text>
    </comment>
    <comment ref="O33" authorId="0" shapeId="0">
      <text>
        <t>000=ADDI, 111=ANDI</t>
      </text>
    </comment>
    <comment ref="P33" authorId="0" shapeId="0">
      <text>
        <t>Приёмник x8 = s0</t>
      </text>
    </comment>
    <comment ref="Q33" authorId="0" shapeId="0">
      <text>
        <t>0010011: OP-IMM</t>
      </text>
    </comment>
    <comment ref="M34" authorId="0" shapeId="0">
      <text>
        <t>Знаковый бит ветвления</t>
      </text>
    </comment>
    <comment ref="N34" authorId="0" shapeId="0">
      <text>
        <t>Старшие биты смещения</t>
      </text>
    </comment>
    <comment ref="O34" authorId="0" shapeId="0">
      <text>
        <t>Второй сравниваемый регистр x8 = s0</t>
      </text>
    </comment>
    <comment ref="P34" authorId="0" shapeId="0">
      <text>
        <t>Первый сравниваемый регистр x28 = t3</t>
      </text>
    </comment>
    <comment ref="Q34" authorId="0" shapeId="0">
      <text>
        <t>000=BEQ, 001=BNE</t>
      </text>
    </comment>
    <comment ref="R34" authorId="0" shapeId="0">
      <text>
        <t>Младшая группа байтового смещения; bit0=0</t>
      </text>
    </comment>
    <comment ref="S34" authorId="0" shapeId="0">
      <text>
        <t>Переставленный бит смещения</t>
      </text>
    </comment>
    <comment ref="T34" authorId="0" shapeId="0">
      <text>
        <t>1100011: BRANCH</t>
      </text>
    </comment>
    <comment ref="M35" authorId="0" shapeId="0">
      <text>
        <t>12-битная константа; в RV32I знаково расширяется</t>
      </text>
    </comment>
    <comment ref="N35" authorId="0" shapeId="0">
      <text>
        <t>Исходный регистр x0 = zero</t>
      </text>
    </comment>
    <comment ref="O35" authorId="0" shapeId="0">
      <text>
        <t>000=ADDI, 111=ANDI</t>
      </text>
    </comment>
    <comment ref="P35" authorId="0" shapeId="0">
      <text>
        <t>Приёмник x8 = s0</t>
      </text>
    </comment>
    <comment ref="Q35" authorId="0" shapeId="0">
      <text>
        <t>0010011: OP-IMM</t>
      </text>
    </comment>
    <comment ref="M36" authorId="0" shapeId="0">
      <text>
        <t>Знаковый бит ветвления</t>
      </text>
    </comment>
    <comment ref="N36" authorId="0" shapeId="0">
      <text>
        <t>Старшие биты смещения</t>
      </text>
    </comment>
    <comment ref="O36" authorId="0" shapeId="0">
      <text>
        <t>Второй сравниваемый регистр x8 = s0</t>
      </text>
    </comment>
    <comment ref="P36" authorId="0" shapeId="0">
      <text>
        <t>Первый сравниваемый регистр x28 = t3</t>
      </text>
    </comment>
    <comment ref="Q36" authorId="0" shapeId="0">
      <text>
        <t>000=BEQ, 001=BNE</t>
      </text>
    </comment>
    <comment ref="R36" authorId="0" shapeId="0">
      <text>
        <t>Младшая группа байтового смещения; bit0=0</t>
      </text>
    </comment>
    <comment ref="S36" authorId="0" shapeId="0">
      <text>
        <t>Переставленный бит смещения</t>
      </text>
    </comment>
    <comment ref="T36" authorId="0" shapeId="0">
      <text>
        <t>1100011: BRANCH</t>
      </text>
    </comment>
    <comment ref="M37" authorId="0" shapeId="0">
      <text>
        <t>12-битная константа; в RV32I знаково расширяется</t>
      </text>
    </comment>
    <comment ref="N37" authorId="0" shapeId="0">
      <text>
        <t>Исходный регистр x0 = zero</t>
      </text>
    </comment>
    <comment ref="O37" authorId="0" shapeId="0">
      <text>
        <t>000=ADDI, 111=ANDI</t>
      </text>
    </comment>
    <comment ref="P37" authorId="0" shapeId="0">
      <text>
        <t>Приёмник x8 = s0</t>
      </text>
    </comment>
    <comment ref="Q37" authorId="0" shapeId="0">
      <text>
        <t>0010011: OP-IMM</t>
      </text>
    </comment>
    <comment ref="M38" authorId="0" shapeId="0">
      <text>
        <t>Знаковый бит ветвления</t>
      </text>
    </comment>
    <comment ref="N38" authorId="0" shapeId="0">
      <text>
        <t>Старшие биты смещения</t>
      </text>
    </comment>
    <comment ref="O38" authorId="0" shapeId="0">
      <text>
        <t>Второй сравниваемый регистр x8 = s0</t>
      </text>
    </comment>
    <comment ref="P38" authorId="0" shapeId="0">
      <text>
        <t>Первый сравниваемый регистр x28 = t3</t>
      </text>
    </comment>
    <comment ref="Q38" authorId="0" shapeId="0">
      <text>
        <t>000=BEQ, 001=BNE</t>
      </text>
    </comment>
    <comment ref="R38" authorId="0" shapeId="0">
      <text>
        <t>Младшая группа байтового смещения; bit0=0</t>
      </text>
    </comment>
    <comment ref="S38" authorId="0" shapeId="0">
      <text>
        <t>Переставленный бит смещения</t>
      </text>
    </comment>
    <comment ref="T38" authorId="0" shapeId="0">
      <text>
        <t>1100011: BRANCH</t>
      </text>
    </comment>
    <comment ref="M39" authorId="0" shapeId="0">
      <text>
        <t>12-битная константа; в RV32I знаково расширяется</t>
      </text>
    </comment>
    <comment ref="N39" authorId="0" shapeId="0">
      <text>
        <t>Исходный регистр x0 = zero</t>
      </text>
    </comment>
    <comment ref="O39" authorId="0" shapeId="0">
      <text>
        <t>000=ADDI, 111=ANDI</t>
      </text>
    </comment>
    <comment ref="P39" authorId="0" shapeId="0">
      <text>
        <t>Приёмник x8 = s0</t>
      </text>
    </comment>
    <comment ref="Q39" authorId="0" shapeId="0">
      <text>
        <t>0010011: OP-IMM</t>
      </text>
    </comment>
    <comment ref="M40" authorId="0" shapeId="0">
      <text>
        <t>Знаковый бит ветвления</t>
      </text>
    </comment>
    <comment ref="N40" authorId="0" shapeId="0">
      <text>
        <t>Старшие биты смещения</t>
      </text>
    </comment>
    <comment ref="O40" authorId="0" shapeId="0">
      <text>
        <t>Второй сравниваемый регистр x8 = s0</t>
      </text>
    </comment>
    <comment ref="P40" authorId="0" shapeId="0">
      <text>
        <t>Первый сравниваемый регистр x28 = t3</t>
      </text>
    </comment>
    <comment ref="Q40" authorId="0" shapeId="0">
      <text>
        <t>000=BEQ, 001=BNE</t>
      </text>
    </comment>
    <comment ref="R40" authorId="0" shapeId="0">
      <text>
        <t>Младшая группа байтового смещения; bit0=0</t>
      </text>
    </comment>
    <comment ref="S40" authorId="0" shapeId="0">
      <text>
        <t>Переставленный бит смещения</t>
      </text>
    </comment>
    <comment ref="T40" authorId="0" shapeId="0">
      <text>
        <t>1100011: BRANCH</t>
      </text>
    </comment>
    <comment ref="M41" authorId="0" shapeId="0">
      <text>
        <t>12-битная константа; в RV32I знаково расширяется</t>
      </text>
    </comment>
    <comment ref="N41" authorId="0" shapeId="0">
      <text>
        <t>Исходный регистр x0 = zero</t>
      </text>
    </comment>
    <comment ref="O41" authorId="0" shapeId="0">
      <text>
        <t>000=ADDI, 111=ANDI</t>
      </text>
    </comment>
    <comment ref="P41" authorId="0" shapeId="0">
      <text>
        <t>Приёмник x8 = s0</t>
      </text>
    </comment>
    <comment ref="Q41" authorId="0" shapeId="0">
      <text>
        <t>0010011: OP-IMM</t>
      </text>
    </comment>
    <comment ref="M42" authorId="0" shapeId="0">
      <text>
        <t>Знаковый бит ветвления</t>
      </text>
    </comment>
    <comment ref="N42" authorId="0" shapeId="0">
      <text>
        <t>Старшие биты смещения</t>
      </text>
    </comment>
    <comment ref="O42" authorId="0" shapeId="0">
      <text>
        <t>Второй сравниваемый регистр x8 = s0</t>
      </text>
    </comment>
    <comment ref="P42" authorId="0" shapeId="0">
      <text>
        <t>Первый сравниваемый регистр x28 = t3</t>
      </text>
    </comment>
    <comment ref="Q42" authorId="0" shapeId="0">
      <text>
        <t>000=BEQ, 001=BNE</t>
      </text>
    </comment>
    <comment ref="R42" authorId="0" shapeId="0">
      <text>
        <t>Младшая группа байтового смещения; bit0=0</t>
      </text>
    </comment>
    <comment ref="S42" authorId="0" shapeId="0">
      <text>
        <t>Переставленный бит смещения</t>
      </text>
    </comment>
    <comment ref="T42" authorId="0" shapeId="0">
      <text>
        <t>1100011: BRANCH</t>
      </text>
    </comment>
    <comment ref="M43" authorId="0" shapeId="0">
      <text>
        <t>12-битная константа; в RV32I знаково расширяется</t>
      </text>
    </comment>
    <comment ref="N43" authorId="0" shapeId="0">
      <text>
        <t>Исходный регистр x0 = zero</t>
      </text>
    </comment>
    <comment ref="O43" authorId="0" shapeId="0">
      <text>
        <t>000=ADDI, 111=ANDI</t>
      </text>
    </comment>
    <comment ref="P43" authorId="0" shapeId="0">
      <text>
        <t>Приёмник x8 = s0</t>
      </text>
    </comment>
    <comment ref="Q43" authorId="0" shapeId="0">
      <text>
        <t>0010011: OP-IMM</t>
      </text>
    </comment>
    <comment ref="M44" authorId="0" shapeId="0">
      <text>
        <t>Знаковый бит ветвления</t>
      </text>
    </comment>
    <comment ref="N44" authorId="0" shapeId="0">
      <text>
        <t>Старшие биты смещения</t>
      </text>
    </comment>
    <comment ref="O44" authorId="0" shapeId="0">
      <text>
        <t>Второй сравниваемый регистр x8 = s0</t>
      </text>
    </comment>
    <comment ref="P44" authorId="0" shapeId="0">
      <text>
        <t>Первый сравниваемый регистр x28 = t3</t>
      </text>
    </comment>
    <comment ref="Q44" authorId="0" shapeId="0">
      <text>
        <t>000=BEQ, 001=BNE</t>
      </text>
    </comment>
    <comment ref="R44" authorId="0" shapeId="0">
      <text>
        <t>Младшая группа байтового смещения; bit0=0</t>
      </text>
    </comment>
    <comment ref="S44" authorId="0" shapeId="0">
      <text>
        <t>Переставленный бит смещения</t>
      </text>
    </comment>
    <comment ref="T44" authorId="0" shapeId="0">
      <text>
        <t>1100011: BRANCH</t>
      </text>
    </comment>
    <comment ref="M45" authorId="0" shapeId="0">
      <text>
        <t>12-битная константа; в RV32I знаково расширяется</t>
      </text>
    </comment>
    <comment ref="N45" authorId="0" shapeId="0">
      <text>
        <t>Исходный регистр x0 = zero</t>
      </text>
    </comment>
    <comment ref="O45" authorId="0" shapeId="0">
      <text>
        <t>000=ADDI, 111=ANDI</t>
      </text>
    </comment>
    <comment ref="P45" authorId="0" shapeId="0">
      <text>
        <t>Приёмник x8 = s0</t>
      </text>
    </comment>
    <comment ref="Q45" authorId="0" shapeId="0">
      <text>
        <t>0010011: OP-IMM</t>
      </text>
    </comment>
    <comment ref="M46" authorId="0" shapeId="0">
      <text>
        <t>Знаковый бит ветвления</t>
      </text>
    </comment>
    <comment ref="N46" authorId="0" shapeId="0">
      <text>
        <t>Старшие биты смещения</t>
      </text>
    </comment>
    <comment ref="O46" authorId="0" shapeId="0">
      <text>
        <t>Второй сравниваемый регистр x8 = s0</t>
      </text>
    </comment>
    <comment ref="P46" authorId="0" shapeId="0">
      <text>
        <t>Первый сравниваемый регистр x28 = t3</t>
      </text>
    </comment>
    <comment ref="Q46" authorId="0" shapeId="0">
      <text>
        <t>000=BEQ, 001=BNE</t>
      </text>
    </comment>
    <comment ref="R46" authorId="0" shapeId="0">
      <text>
        <t>Младшая группа байтового смещения; bit0=0</t>
      </text>
    </comment>
    <comment ref="S46" authorId="0" shapeId="0">
      <text>
        <t>Переставленный бит смещения</t>
      </text>
    </comment>
    <comment ref="T46" authorId="0" shapeId="0">
      <text>
        <t>1100011: BRANCH</t>
      </text>
    </comment>
    <comment ref="M47" authorId="0" shapeId="0">
      <text>
        <t>12-битная константа; в RV32I знаково расширяется</t>
      </text>
    </comment>
    <comment ref="N47" authorId="0" shapeId="0">
      <text>
        <t>Исходный регистр x0 = zero</t>
      </text>
    </comment>
    <comment ref="O47" authorId="0" shapeId="0">
      <text>
        <t>000=ADDI, 111=ANDI</t>
      </text>
    </comment>
    <comment ref="P47" authorId="0" shapeId="0">
      <text>
        <t>Приёмник x8 = s0</t>
      </text>
    </comment>
    <comment ref="Q47" authorId="0" shapeId="0">
      <text>
        <t>0010011: OP-IMM</t>
      </text>
    </comment>
    <comment ref="M48" authorId="0" shapeId="0">
      <text>
        <t>Знаковый бит ветвления</t>
      </text>
    </comment>
    <comment ref="N48" authorId="0" shapeId="0">
      <text>
        <t>Старшие биты смещения</t>
      </text>
    </comment>
    <comment ref="O48" authorId="0" shapeId="0">
      <text>
        <t>Второй сравниваемый регистр x8 = s0</t>
      </text>
    </comment>
    <comment ref="P48" authorId="0" shapeId="0">
      <text>
        <t>Первый сравниваемый регистр x28 = t3</t>
      </text>
    </comment>
    <comment ref="Q48" authorId="0" shapeId="0">
      <text>
        <t>000=BEQ, 001=BNE</t>
      </text>
    </comment>
    <comment ref="R48" authorId="0" shapeId="0">
      <text>
        <t>Младшая группа байтового смещения; bit0=0</t>
      </text>
    </comment>
    <comment ref="S48" authorId="0" shapeId="0">
      <text>
        <t>Переставленный бит смещения</t>
      </text>
    </comment>
    <comment ref="T48" authorId="0" shapeId="0">
      <text>
        <t>1100011: BRANCH</t>
      </text>
    </comment>
    <comment ref="M49" authorId="0" shapeId="0">
      <text>
        <t>12-битная константа; в RV32I знаково расширяется</t>
      </text>
    </comment>
    <comment ref="N49" authorId="0" shapeId="0">
      <text>
        <t>Исходный регистр x0 = zero</t>
      </text>
    </comment>
    <comment ref="O49" authorId="0" shapeId="0">
      <text>
        <t>000=ADDI, 111=ANDI</t>
      </text>
    </comment>
    <comment ref="P49" authorId="0" shapeId="0">
      <text>
        <t>Приёмник x8 = s0</t>
      </text>
    </comment>
    <comment ref="Q49" authorId="0" shapeId="0">
      <text>
        <t>0010011: OP-IMM</t>
      </text>
    </comment>
    <comment ref="M50" authorId="0" shapeId="0">
      <text>
        <t>Знаковый бит ветвления</t>
      </text>
    </comment>
    <comment ref="N50" authorId="0" shapeId="0">
      <text>
        <t>Старшие биты смещения</t>
      </text>
    </comment>
    <comment ref="O50" authorId="0" shapeId="0">
      <text>
        <t>Второй сравниваемый регистр x8 = s0</t>
      </text>
    </comment>
    <comment ref="P50" authorId="0" shapeId="0">
      <text>
        <t>Первый сравниваемый регистр x28 = t3</t>
      </text>
    </comment>
    <comment ref="Q50" authorId="0" shapeId="0">
      <text>
        <t>000=BEQ, 001=BNE</t>
      </text>
    </comment>
    <comment ref="R50" authorId="0" shapeId="0">
      <text>
        <t>Младшая группа байтового смещения; bit0=0</t>
      </text>
    </comment>
    <comment ref="S50" authorId="0" shapeId="0">
      <text>
        <t>Переставленный бит смещения</t>
      </text>
    </comment>
    <comment ref="T50" authorId="0" shapeId="0">
      <text>
        <t>1100011: BRANCH</t>
      </text>
    </comment>
    <comment ref="M51" authorId="0" shapeId="0">
      <text>
        <t>Знаковый бит PC-относительного перехода</t>
      </text>
    </comment>
    <comment ref="N51" authorId="0" shapeId="0">
      <text>
        <t>Средние биты адресного смещения</t>
      </text>
    </comment>
    <comment ref="O51" authorId="0" shapeId="0">
      <text>
        <t>Переставленный бит смещения</t>
      </text>
    </comment>
    <comment ref="P51" authorId="0" shapeId="0">
      <text>
        <t>Биты смещения перехода</t>
      </text>
    </comment>
    <comment ref="Q51" authorId="0" shapeId="0">
      <text>
        <t>Приёмник адреса возврата: x0 = zero</t>
      </text>
    </comment>
    <comment ref="R51" authorId="0" shapeId="0">
      <text>
        <t>1101111: JAL</t>
      </text>
    </comment>
    <comment ref="M52" authorId="0" shapeId="0">
      <text>
        <t>12-битная константа; в RV32I знаково расширяется</t>
      </text>
    </comment>
    <comment ref="N52" authorId="0" shapeId="0">
      <text>
        <t>Исходный регистр x0 = zero</t>
      </text>
    </comment>
    <comment ref="O52" authorId="0" shapeId="0">
      <text>
        <t>000=ADDI, 111=ANDI</t>
      </text>
    </comment>
    <comment ref="P52" authorId="0" shapeId="0">
      <text>
        <t>Приёмник x29 = t4</t>
      </text>
    </comment>
    <comment ref="Q52" authorId="0" shapeId="0">
      <text>
        <t>0010011: OP-IMM</t>
      </text>
    </comment>
    <comment ref="M53" authorId="0" shapeId="0">
      <text>
        <t>12-битная константа; в RV32I знаково расширяется</t>
      </text>
    </comment>
    <comment ref="N53" authorId="0" shapeId="0">
      <text>
        <t>Исходный регистр x0 = zero</t>
      </text>
    </comment>
    <comment ref="O53" authorId="0" shapeId="0">
      <text>
        <t>000=ADDI, 111=ANDI</t>
      </text>
    </comment>
    <comment ref="P53" authorId="0" shapeId="0">
      <text>
        <t>Приёмник x30 = t5</t>
      </text>
    </comment>
    <comment ref="Q53" authorId="0" shapeId="0">
      <text>
        <t>0010011: OP-IMM</t>
      </text>
    </comment>
    <comment ref="M54" authorId="0" shapeId="0">
      <text>
        <t>Знаковый бит PC-относительного перехода</t>
      </text>
    </comment>
    <comment ref="N54" authorId="0" shapeId="0">
      <text>
        <t>Средние биты адресного смещения</t>
      </text>
    </comment>
    <comment ref="O54" authorId="0" shapeId="0">
      <text>
        <t>Переставленный бит смещения</t>
      </text>
    </comment>
    <comment ref="P54" authorId="0" shapeId="0">
      <text>
        <t>Биты смещения перехода</t>
      </text>
    </comment>
    <comment ref="Q54" authorId="0" shapeId="0">
      <text>
        <t>Приёмник адреса возврата: x0 = zero</t>
      </text>
    </comment>
    <comment ref="R54" authorId="0" shapeId="0">
      <text>
        <t>1101111: JAL</t>
      </text>
    </comment>
    <comment ref="M55" authorId="0" shapeId="0">
      <text>
        <t>12-битная константа; в RV32I знаково расширяется</t>
      </text>
    </comment>
    <comment ref="N55" authorId="0" shapeId="0">
      <text>
        <t>Исходный регистр x0 = zero</t>
      </text>
    </comment>
    <comment ref="O55" authorId="0" shapeId="0">
      <text>
        <t>000=ADDI, 111=ANDI</t>
      </text>
    </comment>
    <comment ref="P55" authorId="0" shapeId="0">
      <text>
        <t>Приёмник x29 = t4</t>
      </text>
    </comment>
    <comment ref="Q55" authorId="0" shapeId="0">
      <text>
        <t>0010011: OP-IMM</t>
      </text>
    </comment>
    <comment ref="M56" authorId="0" shapeId="0">
      <text>
        <t>12-битная константа; в RV32I знаково расширяется</t>
      </text>
    </comment>
    <comment ref="N56" authorId="0" shapeId="0">
      <text>
        <t>Исходный регистр x0 = zero</t>
      </text>
    </comment>
    <comment ref="O56" authorId="0" shapeId="0">
      <text>
        <t>000=ADDI, 111=ANDI</t>
      </text>
    </comment>
    <comment ref="P56" authorId="0" shapeId="0">
      <text>
        <t>Приёмник x30 = t5</t>
      </text>
    </comment>
    <comment ref="Q56" authorId="0" shapeId="0">
      <text>
        <t>0010011: OP-IMM</t>
      </text>
    </comment>
    <comment ref="M57" authorId="0" shapeId="0">
      <text>
        <t>Знаковый бит PC-относительного перехода</t>
      </text>
    </comment>
    <comment ref="N57" authorId="0" shapeId="0">
      <text>
        <t>Средние биты адресного смещения</t>
      </text>
    </comment>
    <comment ref="O57" authorId="0" shapeId="0">
      <text>
        <t>Переставленный бит смещения</t>
      </text>
    </comment>
    <comment ref="P57" authorId="0" shapeId="0">
      <text>
        <t>Биты смещения перехода</t>
      </text>
    </comment>
    <comment ref="Q57" authorId="0" shapeId="0">
      <text>
        <t>Приёмник адреса возврата: x0 = zero</t>
      </text>
    </comment>
    <comment ref="R57" authorId="0" shapeId="0">
      <text>
        <t>1101111: JAL</t>
      </text>
    </comment>
    <comment ref="M58" authorId="0" shapeId="0">
      <text>
        <t>12-битная константа; в RV32I знаково расширяется</t>
      </text>
    </comment>
    <comment ref="N58" authorId="0" shapeId="0">
      <text>
        <t>Исходный регистр x0 = zero</t>
      </text>
    </comment>
    <comment ref="O58" authorId="0" shapeId="0">
      <text>
        <t>000=ADDI, 111=ANDI</t>
      </text>
    </comment>
    <comment ref="P58" authorId="0" shapeId="0">
      <text>
        <t>Приёмник x29 = t4</t>
      </text>
    </comment>
    <comment ref="Q58" authorId="0" shapeId="0">
      <text>
        <t>0010011: OP-IMM</t>
      </text>
    </comment>
    <comment ref="M59" authorId="0" shapeId="0">
      <text>
        <t>12-битная константа; в RV32I знаково расширяется</t>
      </text>
    </comment>
    <comment ref="N59" authorId="0" shapeId="0">
      <text>
        <t>Исходный регистр x0 = zero</t>
      </text>
    </comment>
    <comment ref="O59" authorId="0" shapeId="0">
      <text>
        <t>000=ADDI, 111=ANDI</t>
      </text>
    </comment>
    <comment ref="P59" authorId="0" shapeId="0">
      <text>
        <t>Приёмник x30 = t5</t>
      </text>
    </comment>
    <comment ref="Q59" authorId="0" shapeId="0">
      <text>
        <t>0010011: OP-IMM</t>
      </text>
    </comment>
    <comment ref="M60" authorId="0" shapeId="0">
      <text>
        <t>Знаковый бит PC-относительного перехода</t>
      </text>
    </comment>
    <comment ref="N60" authorId="0" shapeId="0">
      <text>
        <t>Средние биты адресного смещения</t>
      </text>
    </comment>
    <comment ref="O60" authorId="0" shapeId="0">
      <text>
        <t>Переставленный бит смещения</t>
      </text>
    </comment>
    <comment ref="P60" authorId="0" shapeId="0">
      <text>
        <t>Биты смещения перехода</t>
      </text>
    </comment>
    <comment ref="Q60" authorId="0" shapeId="0">
      <text>
        <t>Приёмник адреса возврата: x0 = zero</t>
      </text>
    </comment>
    <comment ref="R60" authorId="0" shapeId="0">
      <text>
        <t>1101111: JAL</t>
      </text>
    </comment>
    <comment ref="M61" authorId="0" shapeId="0">
      <text>
        <t>12-битная константа; в RV32I знаково расширяется</t>
      </text>
    </comment>
    <comment ref="N61" authorId="0" shapeId="0">
      <text>
        <t>Исходный регистр x0 = zero</t>
      </text>
    </comment>
    <comment ref="O61" authorId="0" shapeId="0">
      <text>
        <t>000=ADDI, 111=ANDI</t>
      </text>
    </comment>
    <comment ref="P61" authorId="0" shapeId="0">
      <text>
        <t>Приёмник x29 = t4</t>
      </text>
    </comment>
    <comment ref="Q61" authorId="0" shapeId="0">
      <text>
        <t>0010011: OP-IMM</t>
      </text>
    </comment>
    <comment ref="M62" authorId="0" shapeId="0">
      <text>
        <t>12-битная константа; в RV32I знаково расширяется</t>
      </text>
    </comment>
    <comment ref="N62" authorId="0" shapeId="0">
      <text>
        <t>Исходный регистр x0 = zero</t>
      </text>
    </comment>
    <comment ref="O62" authorId="0" shapeId="0">
      <text>
        <t>000=ADDI, 111=ANDI</t>
      </text>
    </comment>
    <comment ref="P62" authorId="0" shapeId="0">
      <text>
        <t>Приёмник x30 = t5</t>
      </text>
    </comment>
    <comment ref="Q62" authorId="0" shapeId="0">
      <text>
        <t>0010011: OP-IMM</t>
      </text>
    </comment>
    <comment ref="M63" authorId="0" shapeId="0">
      <text>
        <t>Знаковый бит PC-относительного перехода</t>
      </text>
    </comment>
    <comment ref="N63" authorId="0" shapeId="0">
      <text>
        <t>Средние биты адресного смещения</t>
      </text>
    </comment>
    <comment ref="O63" authorId="0" shapeId="0">
      <text>
        <t>Переставленный бит смещения</t>
      </text>
    </comment>
    <comment ref="P63" authorId="0" shapeId="0">
      <text>
        <t>Биты смещения перехода</t>
      </text>
    </comment>
    <comment ref="Q63" authorId="0" shapeId="0">
      <text>
        <t>Приёмник адреса возврата: x0 = zero</t>
      </text>
    </comment>
    <comment ref="R63" authorId="0" shapeId="0">
      <text>
        <t>1101111: JAL</t>
      </text>
    </comment>
    <comment ref="M64" authorId="0" shapeId="0">
      <text>
        <t>12-битная константа; в RV32I знаково расширяется</t>
      </text>
    </comment>
    <comment ref="N64" authorId="0" shapeId="0">
      <text>
        <t>Исходный регистр x0 = zero</t>
      </text>
    </comment>
    <comment ref="O64" authorId="0" shapeId="0">
      <text>
        <t>000=ADDI, 111=ANDI</t>
      </text>
    </comment>
    <comment ref="P64" authorId="0" shapeId="0">
      <text>
        <t>Приёмник x29 = t4</t>
      </text>
    </comment>
    <comment ref="Q64" authorId="0" shapeId="0">
      <text>
        <t>0010011: OP-IMM</t>
      </text>
    </comment>
    <comment ref="M65" authorId="0" shapeId="0">
      <text>
        <t>12-битная константа; в RV32I знаково расширяется</t>
      </text>
    </comment>
    <comment ref="N65" authorId="0" shapeId="0">
      <text>
        <t>Исходный регистр x0 = zero</t>
      </text>
    </comment>
    <comment ref="O65" authorId="0" shapeId="0">
      <text>
        <t>000=ADDI, 111=ANDI</t>
      </text>
    </comment>
    <comment ref="P65" authorId="0" shapeId="0">
      <text>
        <t>Приёмник x30 = t5</t>
      </text>
    </comment>
    <comment ref="Q65" authorId="0" shapeId="0">
      <text>
        <t>0010011: OP-IMM</t>
      </text>
    </comment>
    <comment ref="M66" authorId="0" shapeId="0">
      <text>
        <t>Знаковый бит PC-относительного перехода</t>
      </text>
    </comment>
    <comment ref="N66" authorId="0" shapeId="0">
      <text>
        <t>Средние биты адресного смещения</t>
      </text>
    </comment>
    <comment ref="O66" authorId="0" shapeId="0">
      <text>
        <t>Переставленный бит смещения</t>
      </text>
    </comment>
    <comment ref="P66" authorId="0" shapeId="0">
      <text>
        <t>Биты смещения перехода</t>
      </text>
    </comment>
    <comment ref="Q66" authorId="0" shapeId="0">
      <text>
        <t>Приёмник адреса возврата: x0 = zero</t>
      </text>
    </comment>
    <comment ref="R66" authorId="0" shapeId="0">
      <text>
        <t>1101111: JAL</t>
      </text>
    </comment>
    <comment ref="M67" authorId="0" shapeId="0">
      <text>
        <t>12-битная константа; в RV32I знаково расширяется</t>
      </text>
    </comment>
    <comment ref="N67" authorId="0" shapeId="0">
      <text>
        <t>Исходный регистр x0 = zero</t>
      </text>
    </comment>
    <comment ref="O67" authorId="0" shapeId="0">
      <text>
        <t>000=ADDI, 111=ANDI</t>
      </text>
    </comment>
    <comment ref="P67" authorId="0" shapeId="0">
      <text>
        <t>Приёмник x29 = t4</t>
      </text>
    </comment>
    <comment ref="Q67" authorId="0" shapeId="0">
      <text>
        <t>0010011: OP-IMM</t>
      </text>
    </comment>
    <comment ref="M68" authorId="0" shapeId="0">
      <text>
        <t>12-битная константа; в RV32I знаково расширяется</t>
      </text>
    </comment>
    <comment ref="N68" authorId="0" shapeId="0">
      <text>
        <t>Исходный регистр x0 = zero</t>
      </text>
    </comment>
    <comment ref="O68" authorId="0" shapeId="0">
      <text>
        <t>000=ADDI, 111=ANDI</t>
      </text>
    </comment>
    <comment ref="P68" authorId="0" shapeId="0">
      <text>
        <t>Приёмник x30 = t5</t>
      </text>
    </comment>
    <comment ref="Q68" authorId="0" shapeId="0">
      <text>
        <t>0010011: OP-IMM</t>
      </text>
    </comment>
    <comment ref="M69" authorId="0" shapeId="0">
      <text>
        <t>Знаковый бит PC-относительного перехода</t>
      </text>
    </comment>
    <comment ref="N69" authorId="0" shapeId="0">
      <text>
        <t>Средние биты адресного смещения</t>
      </text>
    </comment>
    <comment ref="O69" authorId="0" shapeId="0">
      <text>
        <t>Переставленный бит смещения</t>
      </text>
    </comment>
    <comment ref="P69" authorId="0" shapeId="0">
      <text>
        <t>Биты смещения перехода</t>
      </text>
    </comment>
    <comment ref="Q69" authorId="0" shapeId="0">
      <text>
        <t>Приёмник адреса возврата: x0 = zero</t>
      </text>
    </comment>
    <comment ref="R69" authorId="0" shapeId="0">
      <text>
        <t>1101111: JAL</t>
      </text>
    </comment>
    <comment ref="M70" authorId="0" shapeId="0">
      <text>
        <t>12-битная константа; в RV32I знаково расширяется</t>
      </text>
    </comment>
    <comment ref="N70" authorId="0" shapeId="0">
      <text>
        <t>Исходный регистр x0 = zero</t>
      </text>
    </comment>
    <comment ref="O70" authorId="0" shapeId="0">
      <text>
        <t>000=ADDI, 111=ANDI</t>
      </text>
    </comment>
    <comment ref="P70" authorId="0" shapeId="0">
      <text>
        <t>Приёмник x29 = t4</t>
      </text>
    </comment>
    <comment ref="Q70" authorId="0" shapeId="0">
      <text>
        <t>0010011: OP-IMM</t>
      </text>
    </comment>
    <comment ref="M71" authorId="0" shapeId="0">
      <text>
        <t>12-битная константа; в RV32I знаково расширяется</t>
      </text>
    </comment>
    <comment ref="N71" authorId="0" shapeId="0">
      <text>
        <t>Исходный регистр x0 = zero</t>
      </text>
    </comment>
    <comment ref="O71" authorId="0" shapeId="0">
      <text>
        <t>000=ADDI, 111=ANDI</t>
      </text>
    </comment>
    <comment ref="P71" authorId="0" shapeId="0">
      <text>
        <t>Приёмник x30 = t5</t>
      </text>
    </comment>
    <comment ref="Q71" authorId="0" shapeId="0">
      <text>
        <t>0010011: OP-IMM</t>
      </text>
    </comment>
    <comment ref="M72" authorId="0" shapeId="0">
      <text>
        <t>Знаковый бит PC-относительного перехода</t>
      </text>
    </comment>
    <comment ref="N72" authorId="0" shapeId="0">
      <text>
        <t>Средние биты адресного смещения</t>
      </text>
    </comment>
    <comment ref="O72" authorId="0" shapeId="0">
      <text>
        <t>Переставленный бит смещения</t>
      </text>
    </comment>
    <comment ref="P72" authorId="0" shapeId="0">
      <text>
        <t>Биты смещения перехода</t>
      </text>
    </comment>
    <comment ref="Q72" authorId="0" shapeId="0">
      <text>
        <t>Приёмник адреса возврата: x0 = zero</t>
      </text>
    </comment>
    <comment ref="R72" authorId="0" shapeId="0">
      <text>
        <t>1101111: JAL</t>
      </text>
    </comment>
    <comment ref="M73" authorId="0" shapeId="0">
      <text>
        <t>Старшие биты смещения со знаком</t>
      </text>
    </comment>
    <comment ref="N73" authorId="0" shapeId="0">
      <text>
        <t>Источник записываемых данных: x29 = t4</t>
      </text>
    </comment>
    <comment ref="O73" authorId="0" shapeId="0">
      <text>
        <t>Базовый адрес: x5 = t0</t>
      </text>
    </comment>
    <comment ref="P73" authorId="0" shapeId="0">
      <text>
        <t>010 = SW: запись 32-битного слова</t>
      </text>
    </comment>
    <comment ref="Q73" authorId="0" shapeId="0">
      <text>
        <t>Младшие биты смещения</t>
      </text>
    </comment>
    <comment ref="R73" authorId="0" shapeId="0">
      <text>
        <t>0100011: STORE</t>
      </text>
    </comment>
    <comment ref="M74" authorId="0" shapeId="0">
      <text>
        <t>Знаковое 12-битное смещение от базового адреса</t>
      </text>
    </comment>
    <comment ref="N74" authorId="0" shapeId="0">
      <text>
        <t>Базовый регистр x5 = t0</t>
      </text>
    </comment>
    <comment ref="O74" authorId="0" shapeId="0">
      <text>
        <t>010 = LW: загрузка 32-битного слова</t>
      </text>
    </comment>
    <comment ref="P74" authorId="0" shapeId="0">
      <text>
        <t>Приёмник x31 = t6</t>
      </text>
    </comment>
    <comment ref="Q74" authorId="0" shapeId="0">
      <text>
        <t>0000011: LOAD</t>
      </text>
    </comment>
    <comment ref="M75" authorId="0" shapeId="0">
      <text>
        <t>Знаковый бит ветвления</t>
      </text>
    </comment>
    <comment ref="N75" authorId="0" shapeId="0">
      <text>
        <t>Старшие биты смещения</t>
      </text>
    </comment>
    <comment ref="O75" authorId="0" shapeId="0">
      <text>
        <t>Второй сравниваемый регистр x29 = t4</t>
      </text>
    </comment>
    <comment ref="P75" authorId="0" shapeId="0">
      <text>
        <t>Первый сравниваемый регистр x31 = t6</t>
      </text>
    </comment>
    <comment ref="Q75" authorId="0" shapeId="0">
      <text>
        <t>000=BEQ, 001=BNE</t>
      </text>
    </comment>
    <comment ref="R75" authorId="0" shapeId="0">
      <text>
        <t>Младшая группа байтового смещения; bit0=0</t>
      </text>
    </comment>
    <comment ref="S75" authorId="0" shapeId="0">
      <text>
        <t>Переставленный бит смещения</t>
      </text>
    </comment>
    <comment ref="T75" authorId="0" shapeId="0">
      <text>
        <t>1100011: BRANCH</t>
      </text>
    </comment>
    <comment ref="M76" authorId="0" shapeId="0">
      <text>
        <t>Знаковый бит PC-относительного перехода</t>
      </text>
    </comment>
    <comment ref="N76" authorId="0" shapeId="0">
      <text>
        <t>Средние биты адресного смещения</t>
      </text>
    </comment>
    <comment ref="O76" authorId="0" shapeId="0">
      <text>
        <t>Переставленный бит смещения</t>
      </text>
    </comment>
    <comment ref="P76" authorId="0" shapeId="0">
      <text>
        <t>Биты смещения перехода</t>
      </text>
    </comment>
    <comment ref="Q76" authorId="0" shapeId="0">
      <text>
        <t>Приёмник адреса возврата: x0 = zero</t>
      </text>
    </comment>
    <comment ref="R76" authorId="0" shapeId="0">
      <text>
        <t>1101111: JAL</t>
      </text>
    </comment>
    <comment ref="M77" authorId="0" shapeId="0">
      <text>
        <t>Знаковое 12-битное смещение от базового адреса</t>
      </text>
    </comment>
    <comment ref="N77" authorId="0" shapeId="0">
      <text>
        <t>Базовый регистр x5 = t0</t>
      </text>
    </comment>
    <comment ref="O77" authorId="0" shapeId="0">
      <text>
        <t>010 = LW: загрузка 32-битного слова</t>
      </text>
    </comment>
    <comment ref="P77" authorId="0" shapeId="0">
      <text>
        <t>Приёмник x31 = t6</t>
      </text>
    </comment>
    <comment ref="Q77" authorId="0" shapeId="0">
      <text>
        <t>0000011: LOAD</t>
      </text>
    </comment>
    <comment ref="M78" authorId="0" shapeId="0">
      <text>
        <t>12-битная константа; в RV32I знаково расширяется</t>
      </text>
    </comment>
    <comment ref="N78" authorId="0" shapeId="0">
      <text>
        <t>Исходный регистр x0 = zero</t>
      </text>
    </comment>
    <comment ref="O78" authorId="0" shapeId="0">
      <text>
        <t>000=ADDI, 111=ANDI</t>
      </text>
    </comment>
    <comment ref="P78" authorId="0" shapeId="0">
      <text>
        <t>Приёмник x8 = s0</t>
      </text>
    </comment>
    <comment ref="Q78" authorId="0" shapeId="0">
      <text>
        <t>0010011: OP-IMM</t>
      </text>
    </comment>
    <comment ref="M79" authorId="0" shapeId="0">
      <text>
        <t>Знаковый бит ветвления</t>
      </text>
    </comment>
    <comment ref="N79" authorId="0" shapeId="0">
      <text>
        <t>Старшие биты смещения</t>
      </text>
    </comment>
    <comment ref="O79" authorId="0" shapeId="0">
      <text>
        <t>Второй сравниваемый регистр x8 = s0</t>
      </text>
    </comment>
    <comment ref="P79" authorId="0" shapeId="0">
      <text>
        <t>Первый сравниваемый регистр x31 = t6</t>
      </text>
    </comment>
    <comment ref="Q79" authorId="0" shapeId="0">
      <text>
        <t>000=BEQ, 001=BNE</t>
      </text>
    </comment>
    <comment ref="R79" authorId="0" shapeId="0">
      <text>
        <t>Младшая группа байтового смещения; bit0=0</t>
      </text>
    </comment>
    <comment ref="S79" authorId="0" shapeId="0">
      <text>
        <t>Переставленный бит смещения</t>
      </text>
    </comment>
    <comment ref="T79" authorId="0" shapeId="0">
      <text>
        <t>1100011: BRANCH</t>
      </text>
    </comment>
    <comment ref="M80" authorId="0" shapeId="0">
      <text>
        <t>12-битная константа; в RV32I знаково расширяется</t>
      </text>
    </comment>
    <comment ref="N80" authorId="0" shapeId="0">
      <text>
        <t>Исходный регистр x0 = zero</t>
      </text>
    </comment>
    <comment ref="O80" authorId="0" shapeId="0">
      <text>
        <t>000=ADDI, 111=ANDI</t>
      </text>
    </comment>
    <comment ref="P80" authorId="0" shapeId="0">
      <text>
        <t>Приёмник x8 = s0</t>
      </text>
    </comment>
    <comment ref="Q80" authorId="0" shapeId="0">
      <text>
        <t>0010011: OP-IMM</t>
      </text>
    </comment>
    <comment ref="M81" authorId="0" shapeId="0">
      <text>
        <t>Знаковый бит ветвления</t>
      </text>
    </comment>
    <comment ref="N81" authorId="0" shapeId="0">
      <text>
        <t>Старшие биты смещения</t>
      </text>
    </comment>
    <comment ref="O81" authorId="0" shapeId="0">
      <text>
        <t>Второй сравниваемый регистр x8 = s0</t>
      </text>
    </comment>
    <comment ref="P81" authorId="0" shapeId="0">
      <text>
        <t>Первый сравниваемый регистр x31 = t6</t>
      </text>
    </comment>
    <comment ref="Q81" authorId="0" shapeId="0">
      <text>
        <t>000=BEQ, 001=BNE</t>
      </text>
    </comment>
    <comment ref="R81" authorId="0" shapeId="0">
      <text>
        <t>Младшая группа байтового смещения; bit0=0</t>
      </text>
    </comment>
    <comment ref="S81" authorId="0" shapeId="0">
      <text>
        <t>Переставленный бит смещения</t>
      </text>
    </comment>
    <comment ref="T81" authorId="0" shapeId="0">
      <text>
        <t>1100011: BRANCH</t>
      </text>
    </comment>
    <comment ref="M82" authorId="0" shapeId="0">
      <text>
        <t>12-битная константа; в RV32I знаково расширяется</t>
      </text>
    </comment>
    <comment ref="N82" authorId="0" shapeId="0">
      <text>
        <t>Исходный регистр x0 = zero</t>
      </text>
    </comment>
    <comment ref="O82" authorId="0" shapeId="0">
      <text>
        <t>000=ADDI, 111=ANDI</t>
      </text>
    </comment>
    <comment ref="P82" authorId="0" shapeId="0">
      <text>
        <t>Приёмник x8 = s0</t>
      </text>
    </comment>
    <comment ref="Q82" authorId="0" shapeId="0">
      <text>
        <t>0010011: OP-IMM</t>
      </text>
    </comment>
    <comment ref="M83" authorId="0" shapeId="0">
      <text>
        <t>Знаковый бит ветвления</t>
      </text>
    </comment>
    <comment ref="N83" authorId="0" shapeId="0">
      <text>
        <t>Старшие биты смещения</t>
      </text>
    </comment>
    <comment ref="O83" authorId="0" shapeId="0">
      <text>
        <t>Второй сравниваемый регистр x8 = s0</t>
      </text>
    </comment>
    <comment ref="P83" authorId="0" shapeId="0">
      <text>
        <t>Первый сравниваемый регистр x31 = t6</t>
      </text>
    </comment>
    <comment ref="Q83" authorId="0" shapeId="0">
      <text>
        <t>000=BEQ, 001=BNE</t>
      </text>
    </comment>
    <comment ref="R83" authorId="0" shapeId="0">
      <text>
        <t>Младшая группа байтового смещения; bit0=0</t>
      </text>
    </comment>
    <comment ref="S83" authorId="0" shapeId="0">
      <text>
        <t>Переставленный бит смещения</t>
      </text>
    </comment>
    <comment ref="T83" authorId="0" shapeId="0">
      <text>
        <t>1100011: BRANCH</t>
      </text>
    </comment>
    <comment ref="M84" authorId="0" shapeId="0">
      <text>
        <t>12-битная константа; в RV32I знаково расширяется</t>
      </text>
    </comment>
    <comment ref="N84" authorId="0" shapeId="0">
      <text>
        <t>Исходный регистр x0 = zero</t>
      </text>
    </comment>
    <comment ref="O84" authorId="0" shapeId="0">
      <text>
        <t>000=ADDI, 111=ANDI</t>
      </text>
    </comment>
    <comment ref="P84" authorId="0" shapeId="0">
      <text>
        <t>Приёмник x8 = s0</t>
      </text>
    </comment>
    <comment ref="Q84" authorId="0" shapeId="0">
      <text>
        <t>0010011: OP-IMM</t>
      </text>
    </comment>
    <comment ref="M85" authorId="0" shapeId="0">
      <text>
        <t>Знаковый бит ветвления</t>
      </text>
    </comment>
    <comment ref="N85" authorId="0" shapeId="0">
      <text>
        <t>Старшие биты смещения</t>
      </text>
    </comment>
    <comment ref="O85" authorId="0" shapeId="0">
      <text>
        <t>Второй сравниваемый регистр x8 = s0</t>
      </text>
    </comment>
    <comment ref="P85" authorId="0" shapeId="0">
      <text>
        <t>Первый сравниваемый регистр x31 = t6</t>
      </text>
    </comment>
    <comment ref="Q85" authorId="0" shapeId="0">
      <text>
        <t>000=BEQ, 001=BNE</t>
      </text>
    </comment>
    <comment ref="R85" authorId="0" shapeId="0">
      <text>
        <t>Младшая группа байтового смещения; bit0=0</t>
      </text>
    </comment>
    <comment ref="S85" authorId="0" shapeId="0">
      <text>
        <t>Переставленный бит смещения</t>
      </text>
    </comment>
    <comment ref="T85" authorId="0" shapeId="0">
      <text>
        <t>1100011: BRANCH</t>
      </text>
    </comment>
    <comment ref="M86" authorId="0" shapeId="0">
      <text>
        <t>12-битная константа; в RV32I знаково расширяется</t>
      </text>
    </comment>
    <comment ref="N86" authorId="0" shapeId="0">
      <text>
        <t>Исходный регистр x0 = zero</t>
      </text>
    </comment>
    <comment ref="O86" authorId="0" shapeId="0">
      <text>
        <t>000=ADDI, 111=ANDI</t>
      </text>
    </comment>
    <comment ref="P86" authorId="0" shapeId="0">
      <text>
        <t>Приёмник x8 = s0</t>
      </text>
    </comment>
    <comment ref="Q86" authorId="0" shapeId="0">
      <text>
        <t>0010011: OP-IMM</t>
      </text>
    </comment>
    <comment ref="M87" authorId="0" shapeId="0">
      <text>
        <t>Знаковый бит ветвления</t>
      </text>
    </comment>
    <comment ref="N87" authorId="0" shapeId="0">
      <text>
        <t>Старшие биты смещения</t>
      </text>
    </comment>
    <comment ref="O87" authorId="0" shapeId="0">
      <text>
        <t>Второй сравниваемый регистр x8 = s0</t>
      </text>
    </comment>
    <comment ref="P87" authorId="0" shapeId="0">
      <text>
        <t>Первый сравниваемый регистр x31 = t6</t>
      </text>
    </comment>
    <comment ref="Q87" authorId="0" shapeId="0">
      <text>
        <t>000=BEQ, 001=BNE</t>
      </text>
    </comment>
    <comment ref="R87" authorId="0" shapeId="0">
      <text>
        <t>Младшая группа байтового смещения; bit0=0</t>
      </text>
    </comment>
    <comment ref="S87" authorId="0" shapeId="0">
      <text>
        <t>Переставленный бит смещения</t>
      </text>
    </comment>
    <comment ref="T87" authorId="0" shapeId="0">
      <text>
        <t>1100011: BRANCH</t>
      </text>
    </comment>
    <comment ref="M88" authorId="0" shapeId="0">
      <text>
        <t>12-битная константа; в RV32I знаково расширяется</t>
      </text>
    </comment>
    <comment ref="N88" authorId="0" shapeId="0">
      <text>
        <t>Исходный регистр x0 = zero</t>
      </text>
    </comment>
    <comment ref="O88" authorId="0" shapeId="0">
      <text>
        <t>000=ADDI, 111=ANDI</t>
      </text>
    </comment>
    <comment ref="P88" authorId="0" shapeId="0">
      <text>
        <t>Приёмник x8 = s0</t>
      </text>
    </comment>
    <comment ref="Q88" authorId="0" shapeId="0">
      <text>
        <t>0010011: OP-IMM</t>
      </text>
    </comment>
    <comment ref="M89" authorId="0" shapeId="0">
      <text>
        <t>Знаковый бит ветвления</t>
      </text>
    </comment>
    <comment ref="N89" authorId="0" shapeId="0">
      <text>
        <t>Старшие биты смещения</t>
      </text>
    </comment>
    <comment ref="O89" authorId="0" shapeId="0">
      <text>
        <t>Второй сравниваемый регистр x8 = s0</t>
      </text>
    </comment>
    <comment ref="P89" authorId="0" shapeId="0">
      <text>
        <t>Первый сравниваемый регистр x31 = t6</t>
      </text>
    </comment>
    <comment ref="Q89" authorId="0" shapeId="0">
      <text>
        <t>000=BEQ, 001=BNE</t>
      </text>
    </comment>
    <comment ref="R89" authorId="0" shapeId="0">
      <text>
        <t>Младшая группа байтового смещения; bit0=0</t>
      </text>
    </comment>
    <comment ref="S89" authorId="0" shapeId="0">
      <text>
        <t>Переставленный бит смещения</t>
      </text>
    </comment>
    <comment ref="T89" authorId="0" shapeId="0">
      <text>
        <t>1100011: BRANCH</t>
      </text>
    </comment>
    <comment ref="M90" authorId="0" shapeId="0">
      <text>
        <t>12-битная константа; в RV32I знаково расширяется</t>
      </text>
    </comment>
    <comment ref="N90" authorId="0" shapeId="0">
      <text>
        <t>Исходный регистр x0 = zero</t>
      </text>
    </comment>
    <comment ref="O90" authorId="0" shapeId="0">
      <text>
        <t>000=ADDI, 111=ANDI</t>
      </text>
    </comment>
    <comment ref="P90" authorId="0" shapeId="0">
      <text>
        <t>Приёмник x8 = s0</t>
      </text>
    </comment>
    <comment ref="Q90" authorId="0" shapeId="0">
      <text>
        <t>0010011: OP-IMM</t>
      </text>
    </comment>
    <comment ref="M91" authorId="0" shapeId="0">
      <text>
        <t>Знаковый бит ветвления</t>
      </text>
    </comment>
    <comment ref="N91" authorId="0" shapeId="0">
      <text>
        <t>Старшие биты смещения</t>
      </text>
    </comment>
    <comment ref="O91" authorId="0" shapeId="0">
      <text>
        <t>Второй сравниваемый регистр x8 = s0</t>
      </text>
    </comment>
    <comment ref="P91" authorId="0" shapeId="0">
      <text>
        <t>Первый сравниваемый регистр x31 = t6</t>
      </text>
    </comment>
    <comment ref="Q91" authorId="0" shapeId="0">
      <text>
        <t>000=BEQ, 001=BNE</t>
      </text>
    </comment>
    <comment ref="R91" authorId="0" shapeId="0">
      <text>
        <t>Младшая группа байтового смещения; bit0=0</t>
      </text>
    </comment>
    <comment ref="S91" authorId="0" shapeId="0">
      <text>
        <t>Переставленный бит смещения</t>
      </text>
    </comment>
    <comment ref="T91" authorId="0" shapeId="0">
      <text>
        <t>1100011: BRANCH</t>
      </text>
    </comment>
    <comment ref="M92" authorId="0" shapeId="0">
      <text>
        <t>Знаковый бит PC-относительного перехода</t>
      </text>
    </comment>
    <comment ref="N92" authorId="0" shapeId="0">
      <text>
        <t>Средние биты адресного смещения</t>
      </text>
    </comment>
    <comment ref="O92" authorId="0" shapeId="0">
      <text>
        <t>Переставленный бит смещения</t>
      </text>
    </comment>
    <comment ref="P92" authorId="0" shapeId="0">
      <text>
        <t>Биты смещения перехода</t>
      </text>
    </comment>
    <comment ref="Q92" authorId="0" shapeId="0">
      <text>
        <t>Приёмник адреса возврата: x0 = zero</t>
      </text>
    </comment>
    <comment ref="R92" authorId="0" shapeId="0">
      <text>
        <t>1101111: JAL</t>
      </text>
    </comment>
    <comment ref="M93" authorId="0" shapeId="0">
      <text>
        <t>12-битная константа; в RV32I знаково расширяется</t>
      </text>
    </comment>
    <comment ref="N93" authorId="0" shapeId="0">
      <text>
        <t>Исходный регистр x0 = zero</t>
      </text>
    </comment>
    <comment ref="O93" authorId="0" shapeId="0">
      <text>
        <t>000=ADDI, 111=ANDI</t>
      </text>
    </comment>
    <comment ref="P93" authorId="0" shapeId="0">
      <text>
        <t>Приёмник x30 = t5</t>
      </text>
    </comment>
    <comment ref="Q93" authorId="0" shapeId="0">
      <text>
        <t>0010011: OP-IMM</t>
      </text>
    </comment>
    <comment ref="M94" authorId="0" shapeId="0">
      <text>
        <t>Знаковый бит PC-относительного перехода</t>
      </text>
    </comment>
    <comment ref="N94" authorId="0" shapeId="0">
      <text>
        <t>Средние биты адресного смещения</t>
      </text>
    </comment>
    <comment ref="O94" authorId="0" shapeId="0">
      <text>
        <t>Переставленный бит смещения</t>
      </text>
    </comment>
    <comment ref="P94" authorId="0" shapeId="0">
      <text>
        <t>Биты смещения перехода</t>
      </text>
    </comment>
    <comment ref="Q94" authorId="0" shapeId="0">
      <text>
        <t>Приёмник адреса возврата: x0 = zero</t>
      </text>
    </comment>
    <comment ref="R94" authorId="0" shapeId="0">
      <text>
        <t>1101111: JAL</t>
      </text>
    </comment>
    <comment ref="M95" authorId="0" shapeId="0">
      <text>
        <t>12-битная константа; в RV32I знаково расширяется</t>
      </text>
    </comment>
    <comment ref="N95" authorId="0" shapeId="0">
      <text>
        <t>Исходный регистр x0 = zero</t>
      </text>
    </comment>
    <comment ref="O95" authorId="0" shapeId="0">
      <text>
        <t>000=ADDI, 111=ANDI</t>
      </text>
    </comment>
    <comment ref="P95" authorId="0" shapeId="0">
      <text>
        <t>Приёмник x30 = t5</t>
      </text>
    </comment>
    <comment ref="Q95" authorId="0" shapeId="0">
      <text>
        <t>0010011: OP-IMM</t>
      </text>
    </comment>
    <comment ref="M96" authorId="0" shapeId="0">
      <text>
        <t>Знаковый бит PC-относительного перехода</t>
      </text>
    </comment>
    <comment ref="N96" authorId="0" shapeId="0">
      <text>
        <t>Средние биты адресного смещения</t>
      </text>
    </comment>
    <comment ref="O96" authorId="0" shapeId="0">
      <text>
        <t>Переставленный бит смещения</t>
      </text>
    </comment>
    <comment ref="P96" authorId="0" shapeId="0">
      <text>
        <t>Биты смещения перехода</t>
      </text>
    </comment>
    <comment ref="Q96" authorId="0" shapeId="0">
      <text>
        <t>Приёмник адреса возврата: x0 = zero</t>
      </text>
    </comment>
    <comment ref="R96" authorId="0" shapeId="0">
      <text>
        <t>1101111: JAL</t>
      </text>
    </comment>
    <comment ref="M97" authorId="0" shapeId="0">
      <text>
        <t>12-битная константа; в RV32I знаково расширяется</t>
      </text>
    </comment>
    <comment ref="N97" authorId="0" shapeId="0">
      <text>
        <t>Исходный регистр x0 = zero</t>
      </text>
    </comment>
    <comment ref="O97" authorId="0" shapeId="0">
      <text>
        <t>000=ADDI, 111=ANDI</t>
      </text>
    </comment>
    <comment ref="P97" authorId="0" shapeId="0">
      <text>
        <t>Приёмник x30 = t5</t>
      </text>
    </comment>
    <comment ref="Q97" authorId="0" shapeId="0">
      <text>
        <t>0010011: OP-IMM</t>
      </text>
    </comment>
    <comment ref="M98" authorId="0" shapeId="0">
      <text>
        <t>Знаковый бит PC-относительного перехода</t>
      </text>
    </comment>
    <comment ref="N98" authorId="0" shapeId="0">
      <text>
        <t>Средние биты адресного смещения</t>
      </text>
    </comment>
    <comment ref="O98" authorId="0" shapeId="0">
      <text>
        <t>Переставленный бит смещения</t>
      </text>
    </comment>
    <comment ref="P98" authorId="0" shapeId="0">
      <text>
        <t>Биты смещения перехода</t>
      </text>
    </comment>
    <comment ref="Q98" authorId="0" shapeId="0">
      <text>
        <t>Приёмник адреса возврата: x0 = zero</t>
      </text>
    </comment>
    <comment ref="R98" authorId="0" shapeId="0">
      <text>
        <t>1101111: JAL</t>
      </text>
    </comment>
    <comment ref="M99" authorId="0" shapeId="0">
      <text>
        <t>12-битная константа; в RV32I знаково расширяется</t>
      </text>
    </comment>
    <comment ref="N99" authorId="0" shapeId="0">
      <text>
        <t>Исходный регистр x0 = zero</t>
      </text>
    </comment>
    <comment ref="O99" authorId="0" shapeId="0">
      <text>
        <t>000=ADDI, 111=ANDI</t>
      </text>
    </comment>
    <comment ref="P99" authorId="0" shapeId="0">
      <text>
        <t>Приёмник x30 = t5</t>
      </text>
    </comment>
    <comment ref="Q99" authorId="0" shapeId="0">
      <text>
        <t>0010011: OP-IMM</t>
      </text>
    </comment>
    <comment ref="M100" authorId="0" shapeId="0">
      <text>
        <t>Знаковый бит PC-относительного перехода</t>
      </text>
    </comment>
    <comment ref="N100" authorId="0" shapeId="0">
      <text>
        <t>Средние биты адресного смещения</t>
      </text>
    </comment>
    <comment ref="O100" authorId="0" shapeId="0">
      <text>
        <t>Переставленный бит смещения</t>
      </text>
    </comment>
    <comment ref="P100" authorId="0" shapeId="0">
      <text>
        <t>Биты смещения перехода</t>
      </text>
    </comment>
    <comment ref="Q100" authorId="0" shapeId="0">
      <text>
        <t>Приёмник адреса возврата: x0 = zero</t>
      </text>
    </comment>
    <comment ref="R100" authorId="0" shapeId="0">
      <text>
        <t>1101111: JAL</t>
      </text>
    </comment>
    <comment ref="M101" authorId="0" shapeId="0">
      <text>
        <t>12-битная константа; в RV32I знаково расширяется</t>
      </text>
    </comment>
    <comment ref="N101" authorId="0" shapeId="0">
      <text>
        <t>Исходный регистр x0 = zero</t>
      </text>
    </comment>
    <comment ref="O101" authorId="0" shapeId="0">
      <text>
        <t>000=ADDI, 111=ANDI</t>
      </text>
    </comment>
    <comment ref="P101" authorId="0" shapeId="0">
      <text>
        <t>Приёмник x30 = t5</t>
      </text>
    </comment>
    <comment ref="Q101" authorId="0" shapeId="0">
      <text>
        <t>0010011: OP-IMM</t>
      </text>
    </comment>
    <comment ref="M102" authorId="0" shapeId="0">
      <text>
        <t>Знаковый бит PC-относительного перехода</t>
      </text>
    </comment>
    <comment ref="N102" authorId="0" shapeId="0">
      <text>
        <t>Средние биты адресного смещения</t>
      </text>
    </comment>
    <comment ref="O102" authorId="0" shapeId="0">
      <text>
        <t>Переставленный бит смещения</t>
      </text>
    </comment>
    <comment ref="P102" authorId="0" shapeId="0">
      <text>
        <t>Биты смещения перехода</t>
      </text>
    </comment>
    <comment ref="Q102" authorId="0" shapeId="0">
      <text>
        <t>Приёмник адреса возврата: x0 = zero</t>
      </text>
    </comment>
    <comment ref="R102" authorId="0" shapeId="0">
      <text>
        <t>1101111: JAL</t>
      </text>
    </comment>
    <comment ref="M103" authorId="0" shapeId="0">
      <text>
        <t>12-битная константа; в RV32I знаково расширяется</t>
      </text>
    </comment>
    <comment ref="N103" authorId="0" shapeId="0">
      <text>
        <t>Исходный регистр x0 = zero</t>
      </text>
    </comment>
    <comment ref="O103" authorId="0" shapeId="0">
      <text>
        <t>000=ADDI, 111=ANDI</t>
      </text>
    </comment>
    <comment ref="P103" authorId="0" shapeId="0">
      <text>
        <t>Приёмник x30 = t5</t>
      </text>
    </comment>
    <comment ref="Q103" authorId="0" shapeId="0">
      <text>
        <t>0010011: OP-IMM</t>
      </text>
    </comment>
    <comment ref="M104" authorId="0" shapeId="0">
      <text>
        <t>Знаковый бит PC-относительного перехода</t>
      </text>
    </comment>
    <comment ref="N104" authorId="0" shapeId="0">
      <text>
        <t>Средние биты адресного смещения</t>
      </text>
    </comment>
    <comment ref="O104" authorId="0" shapeId="0">
      <text>
        <t>Переставленный бит смещения</t>
      </text>
    </comment>
    <comment ref="P104" authorId="0" shapeId="0">
      <text>
        <t>Биты смещения перехода</t>
      </text>
    </comment>
    <comment ref="Q104" authorId="0" shapeId="0">
      <text>
        <t>Приёмник адреса возврата: x0 = zero</t>
      </text>
    </comment>
    <comment ref="R104" authorId="0" shapeId="0">
      <text>
        <t>1101111: JAL</t>
      </text>
    </comment>
    <comment ref="M105" authorId="0" shapeId="0">
      <text>
        <t>12-битная константа; в RV32I знаково расширяется</t>
      </text>
    </comment>
    <comment ref="N105" authorId="0" shapeId="0">
      <text>
        <t>Исходный регистр x0 = zero</t>
      </text>
    </comment>
    <comment ref="O105" authorId="0" shapeId="0">
      <text>
        <t>000=ADDI, 111=ANDI</t>
      </text>
    </comment>
    <comment ref="P105" authorId="0" shapeId="0">
      <text>
        <t>Приёмник x30 = t5</t>
      </text>
    </comment>
    <comment ref="Q105" authorId="0" shapeId="0">
      <text>
        <t>0010011: OP-IMM</t>
      </text>
    </comment>
    <comment ref="M106" authorId="0" shapeId="0">
      <text>
        <t>Знаковый бит PC-относительного перехода</t>
      </text>
    </comment>
    <comment ref="N106" authorId="0" shapeId="0">
      <text>
        <t>Средние биты адресного смещения</t>
      </text>
    </comment>
    <comment ref="O106" authorId="0" shapeId="0">
      <text>
        <t>Переставленный бит смещения</t>
      </text>
    </comment>
    <comment ref="P106" authorId="0" shapeId="0">
      <text>
        <t>Биты смещения перехода</t>
      </text>
    </comment>
    <comment ref="Q106" authorId="0" shapeId="0">
      <text>
        <t>Приёмник адреса возврата: x0 = zero</t>
      </text>
    </comment>
    <comment ref="R106" authorId="0" shapeId="0">
      <text>
        <t>1101111: JAL</t>
      </text>
    </comment>
    <comment ref="M107" authorId="0" shapeId="0">
      <text>
        <t>12-битная константа; в RV32I знаково расширяется</t>
      </text>
    </comment>
    <comment ref="N107" authorId="0" shapeId="0">
      <text>
        <t>Исходный регистр x0 = zero</t>
      </text>
    </comment>
    <comment ref="O107" authorId="0" shapeId="0">
      <text>
        <t>000=ADDI, 111=ANDI</t>
      </text>
    </comment>
    <comment ref="P107" authorId="0" shapeId="0">
      <text>
        <t>Приёмник x6 = t1</t>
      </text>
    </comment>
    <comment ref="Q107" authorId="0" shapeId="0">
      <text>
        <t>0010011: OP-IMM</t>
      </text>
    </comment>
    <comment ref="M108" authorId="0" shapeId="0">
      <text>
        <t>Знаковый бит PC-относительного перехода</t>
      </text>
    </comment>
    <comment ref="N108" authorId="0" shapeId="0">
      <text>
        <t>Средние биты адресного смещения</t>
      </text>
    </comment>
    <comment ref="O108" authorId="0" shapeId="0">
      <text>
        <t>Переставленный бит смещения</t>
      </text>
    </comment>
    <comment ref="P108" authorId="0" shapeId="0">
      <text>
        <t>Биты смещения перехода</t>
      </text>
    </comment>
    <comment ref="Q108" authorId="0" shapeId="0">
      <text>
        <t>Приёмник адреса возврата: x1 = ra</t>
      </text>
    </comment>
    <comment ref="R108" authorId="0" shapeId="0">
      <text>
        <t>1101111: JAL</t>
      </text>
    </comment>
    <comment ref="M109" authorId="0" shapeId="0">
      <text>
        <t>12-битная константа; в RV32I знаково расширяется</t>
      </text>
    </comment>
    <comment ref="N109" authorId="0" shapeId="0">
      <text>
        <t>Исходный регистр x0 = zero</t>
      </text>
    </comment>
    <comment ref="O109" authorId="0" shapeId="0">
      <text>
        <t>000=ADDI, 111=ANDI</t>
      </text>
    </comment>
    <comment ref="P109" authorId="0" shapeId="0">
      <text>
        <t>Приёмник x6 = t1</t>
      </text>
    </comment>
    <comment ref="Q109" authorId="0" shapeId="0">
      <text>
        <t>0010011: OP-IMM</t>
      </text>
    </comment>
    <comment ref="M110" authorId="0" shapeId="0">
      <text>
        <t>Знаковый бит PC-относительного перехода</t>
      </text>
    </comment>
    <comment ref="N110" authorId="0" shapeId="0">
      <text>
        <t>Средние биты адресного смещения</t>
      </text>
    </comment>
    <comment ref="O110" authorId="0" shapeId="0">
      <text>
        <t>Переставленный бит смещения</t>
      </text>
    </comment>
    <comment ref="P110" authorId="0" shapeId="0">
      <text>
        <t>Биты смещения перехода</t>
      </text>
    </comment>
    <comment ref="Q110" authorId="0" shapeId="0">
      <text>
        <t>Приёмник адреса возврата: x1 = ra</t>
      </text>
    </comment>
    <comment ref="R110" authorId="0" shapeId="0">
      <text>
        <t>1101111: JAL</t>
      </text>
    </comment>
    <comment ref="M111" authorId="0" shapeId="0">
      <text>
        <t>12-битная константа; в RV32I знаково расширяется</t>
      </text>
    </comment>
    <comment ref="N111" authorId="0" shapeId="0">
      <text>
        <t>Исходный регистр x30 = t5</t>
      </text>
    </comment>
    <comment ref="O111" authorId="0" shapeId="0">
      <text>
        <t>000=ADDI, 111=ANDI</t>
      </text>
    </comment>
    <comment ref="P111" authorId="0" shapeId="0">
      <text>
        <t>Приёмник x6 = t1</t>
      </text>
    </comment>
    <comment ref="Q111" authorId="0" shapeId="0">
      <text>
        <t>0010011: OP-IMM</t>
      </text>
    </comment>
    <comment ref="M112" authorId="0" shapeId="0">
      <text>
        <t>Знаковый бит PC-относительного перехода</t>
      </text>
    </comment>
    <comment ref="N112" authorId="0" shapeId="0">
      <text>
        <t>Средние биты адресного смещения</t>
      </text>
    </comment>
    <comment ref="O112" authorId="0" shapeId="0">
      <text>
        <t>Переставленный бит смещения</t>
      </text>
    </comment>
    <comment ref="P112" authorId="0" shapeId="0">
      <text>
        <t>Биты смещения перехода</t>
      </text>
    </comment>
    <comment ref="Q112" authorId="0" shapeId="0">
      <text>
        <t>Приёмник адреса возврата: x1 = ra</t>
      </text>
    </comment>
    <comment ref="R112" authorId="0" shapeId="0">
      <text>
        <t>1101111: JAL</t>
      </text>
    </comment>
    <comment ref="M113" authorId="0" shapeId="0">
      <text>
        <t>12-битная константа; в RV32I знаково расширяется</t>
      </text>
    </comment>
    <comment ref="N113" authorId="0" shapeId="0">
      <text>
        <t>Исходный регистр x0 = zero</t>
      </text>
    </comment>
    <comment ref="O113" authorId="0" shapeId="0">
      <text>
        <t>000=ADDI, 111=ANDI</t>
      </text>
    </comment>
    <comment ref="P113" authorId="0" shapeId="0">
      <text>
        <t>Приёмник x6 = t1</t>
      </text>
    </comment>
    <comment ref="Q113" authorId="0" shapeId="0">
      <text>
        <t>0010011: OP-IMM</t>
      </text>
    </comment>
    <comment ref="M114" authorId="0" shapeId="0">
      <text>
        <t>Знаковый бит PC-относительного перехода</t>
      </text>
    </comment>
    <comment ref="N114" authorId="0" shapeId="0">
      <text>
        <t>Средние биты адресного смещения</t>
      </text>
    </comment>
    <comment ref="O114" authorId="0" shapeId="0">
      <text>
        <t>Переставленный бит смещения</t>
      </text>
    </comment>
    <comment ref="P114" authorId="0" shapeId="0">
      <text>
        <t>Биты смещения перехода</t>
      </text>
    </comment>
    <comment ref="Q114" authorId="0" shapeId="0">
      <text>
        <t>Приёмник адреса возврата: x1 = ra</t>
      </text>
    </comment>
    <comment ref="R114" authorId="0" shapeId="0">
      <text>
        <t>1101111: JAL</t>
      </text>
    </comment>
    <comment ref="M115" authorId="0" shapeId="0">
      <text>
        <t>Знаковый бит PC-относительного перехода</t>
      </text>
    </comment>
    <comment ref="N115" authorId="0" shapeId="0">
      <text>
        <t>Средние биты адресного смещения</t>
      </text>
    </comment>
    <comment ref="O115" authorId="0" shapeId="0">
      <text>
        <t>Переставленный бит смещения</t>
      </text>
    </comment>
    <comment ref="P115" authorId="0" shapeId="0">
      <text>
        <t>Биты смещения перехода</t>
      </text>
    </comment>
    <comment ref="Q115" authorId="0" shapeId="0">
      <text>
        <t>Приёмник адреса возврата: x0 = zero</t>
      </text>
    </comment>
    <comment ref="R115" authorId="0" shapeId="0">
      <text>
        <t>1101111: JAL</t>
      </text>
    </comment>
    <comment ref="M116" authorId="0" shapeId="0">
      <text>
        <t>12-битная константа; в RV32I знаково расширяется</t>
      </text>
    </comment>
    <comment ref="N116" authorId="0" shapeId="0">
      <text>
        <t>Исходный регистр x0 = zero</t>
      </text>
    </comment>
    <comment ref="O116" authorId="0" shapeId="0">
      <text>
        <t>000=ADDI, 111=ANDI</t>
      </text>
    </comment>
    <comment ref="P116" authorId="0" shapeId="0">
      <text>
        <t>Приёмник x6 = t1</t>
      </text>
    </comment>
    <comment ref="Q116" authorId="0" shapeId="0">
      <text>
        <t>0010011: OP-IMM</t>
      </text>
    </comment>
    <comment ref="M117" authorId="0" shapeId="0">
      <text>
        <t>Знаковый бит PC-относительного перехода</t>
      </text>
    </comment>
    <comment ref="N117" authorId="0" shapeId="0">
      <text>
        <t>Средние биты адресного смещения</t>
      </text>
    </comment>
    <comment ref="O117" authorId="0" shapeId="0">
      <text>
        <t>Переставленный бит смещения</t>
      </text>
    </comment>
    <comment ref="P117" authorId="0" shapeId="0">
      <text>
        <t>Биты смещения перехода</t>
      </text>
    </comment>
    <comment ref="Q117" authorId="0" shapeId="0">
      <text>
        <t>Приёмник адреса возврата: x1 = ra</t>
      </text>
    </comment>
    <comment ref="R117" authorId="0" shapeId="0">
      <text>
        <t>1101111: JAL</t>
      </text>
    </comment>
    <comment ref="M118" authorId="0" shapeId="0">
      <text>
        <t>12-битная константа; в RV32I знаково расширяется</t>
      </text>
    </comment>
    <comment ref="N118" authorId="0" shapeId="0">
      <text>
        <t>Исходный регистр x0 = zero</t>
      </text>
    </comment>
    <comment ref="O118" authorId="0" shapeId="0">
      <text>
        <t>000=ADDI, 111=ANDI</t>
      </text>
    </comment>
    <comment ref="P118" authorId="0" shapeId="0">
      <text>
        <t>Приёмник x6 = t1</t>
      </text>
    </comment>
    <comment ref="Q118" authorId="0" shapeId="0">
      <text>
        <t>0010011: OP-IMM</t>
      </text>
    </comment>
    <comment ref="M119" authorId="0" shapeId="0">
      <text>
        <t>Знаковый бит PC-относительного перехода</t>
      </text>
    </comment>
    <comment ref="N119" authorId="0" shapeId="0">
      <text>
        <t>Средние биты адресного смещения</t>
      </text>
    </comment>
    <comment ref="O119" authorId="0" shapeId="0">
      <text>
        <t>Переставленный бит смещения</t>
      </text>
    </comment>
    <comment ref="P119" authorId="0" shapeId="0">
      <text>
        <t>Биты смещения перехода</t>
      </text>
    </comment>
    <comment ref="Q119" authorId="0" shapeId="0">
      <text>
        <t>Приёмник адреса возврата: x1 = ra</t>
      </text>
    </comment>
    <comment ref="R119" authorId="0" shapeId="0">
      <text>
        <t>1101111: JAL</t>
      </text>
    </comment>
    <comment ref="M120" authorId="0" shapeId="0">
      <text>
        <t>Знаковый бит PC-относительного перехода</t>
      </text>
    </comment>
    <comment ref="N120" authorId="0" shapeId="0">
      <text>
        <t>Средние биты адресного смещения</t>
      </text>
    </comment>
    <comment ref="O120" authorId="0" shapeId="0">
      <text>
        <t>Переставленный бит смещения</t>
      </text>
    </comment>
    <comment ref="P120" authorId="0" shapeId="0">
      <text>
        <t>Биты смещения перехода</t>
      </text>
    </comment>
    <comment ref="Q120" authorId="0" shapeId="0">
      <text>
        <t>Приёмник адреса возврата: x0 = zero</t>
      </text>
    </comment>
    <comment ref="R120" authorId="0" shapeId="0">
      <text>
        <t>1101111: JAL</t>
      </text>
    </comment>
    <comment ref="M121" authorId="0" shapeId="0">
      <text>
        <t>12-битная константа; в RV32I знаково расширяется</t>
      </text>
    </comment>
    <comment ref="N121" authorId="0" shapeId="0">
      <text>
        <t>Исходный регистр x0 = zero</t>
      </text>
    </comment>
    <comment ref="O121" authorId="0" shapeId="0">
      <text>
        <t>000=ADDI, 111=ANDI</t>
      </text>
    </comment>
    <comment ref="P121" authorId="0" shapeId="0">
      <text>
        <t>Приёмник x6 = t1</t>
      </text>
    </comment>
    <comment ref="Q121" authorId="0" shapeId="0">
      <text>
        <t>0010011: OP-IMM</t>
      </text>
    </comment>
    <comment ref="M122" authorId="0" shapeId="0">
      <text>
        <t>Знаковый бит PC-относительного перехода</t>
      </text>
    </comment>
    <comment ref="N122" authorId="0" shapeId="0">
      <text>
        <t>Средние биты адресного смещения</t>
      </text>
    </comment>
    <comment ref="O122" authorId="0" shapeId="0">
      <text>
        <t>Переставленный бит смещения</t>
      </text>
    </comment>
    <comment ref="P122" authorId="0" shapeId="0">
      <text>
        <t>Биты смещения перехода</t>
      </text>
    </comment>
    <comment ref="Q122" authorId="0" shapeId="0">
      <text>
        <t>Приёмник адреса возврата: x1 = ra</t>
      </text>
    </comment>
    <comment ref="R122" authorId="0" shapeId="0">
      <text>
        <t>1101111: JAL</t>
      </text>
    </comment>
    <comment ref="M123" authorId="0" shapeId="0">
      <text>
        <t>12-битная константа; в RV32I знаково расширяется</t>
      </text>
    </comment>
    <comment ref="N123" authorId="0" shapeId="0">
      <text>
        <t>Исходный регистр x0 = zero</t>
      </text>
    </comment>
    <comment ref="O123" authorId="0" shapeId="0">
      <text>
        <t>000=ADDI, 111=ANDI</t>
      </text>
    </comment>
    <comment ref="P123" authorId="0" shapeId="0">
      <text>
        <t>Приёмник x6 = t1</t>
      </text>
    </comment>
    <comment ref="Q123" authorId="0" shapeId="0">
      <text>
        <t>0010011: OP-IMM</t>
      </text>
    </comment>
    <comment ref="M124" authorId="0" shapeId="0">
      <text>
        <t>Знаковый бит PC-относительного перехода</t>
      </text>
    </comment>
    <comment ref="N124" authorId="0" shapeId="0">
      <text>
        <t>Средние биты адресного смещения</t>
      </text>
    </comment>
    <comment ref="O124" authorId="0" shapeId="0">
      <text>
        <t>Переставленный бит смещения</t>
      </text>
    </comment>
    <comment ref="P124" authorId="0" shapeId="0">
      <text>
        <t>Биты смещения перехода</t>
      </text>
    </comment>
    <comment ref="Q124" authorId="0" shapeId="0">
      <text>
        <t>Приёмник адреса возврата: x1 = ra</t>
      </text>
    </comment>
    <comment ref="R124" authorId="0" shapeId="0">
      <text>
        <t>1101111: JAL</t>
      </text>
    </comment>
    <comment ref="M125" authorId="0" shapeId="0">
      <text>
        <t>Знаковый бит PC-относительного перехода</t>
      </text>
    </comment>
    <comment ref="N125" authorId="0" shapeId="0">
      <text>
        <t>Средние биты адресного смещения</t>
      </text>
    </comment>
    <comment ref="O125" authorId="0" shapeId="0">
      <text>
        <t>Переставленный бит смещения</t>
      </text>
    </comment>
    <comment ref="P125" authorId="0" shapeId="0">
      <text>
        <t>Биты смещения перехода</t>
      </text>
    </comment>
    <comment ref="Q125" authorId="0" shapeId="0">
      <text>
        <t>Приёмник адреса возврата: x0 = zero</t>
      </text>
    </comment>
    <comment ref="R125" authorId="0" shapeId="0">
      <text>
        <t>1101111: JAL</t>
      </text>
    </comment>
    <comment ref="M126" authorId="0" shapeId="0">
      <text>
        <t>Старшие биты смещения со знаком</t>
      </text>
    </comment>
    <comment ref="N126" authorId="0" shapeId="0">
      <text>
        <t>Источник записываемых данных: x28 = t3</t>
      </text>
    </comment>
    <comment ref="O126" authorId="0" shapeId="0">
      <text>
        <t>Базовый адрес: x5 = t0</t>
      </text>
    </comment>
    <comment ref="P126" authorId="0" shapeId="0">
      <text>
        <t>010 = SW: запись 32-битного слова</t>
      </text>
    </comment>
    <comment ref="Q126" authorId="0" shapeId="0">
      <text>
        <t>Младшие биты смещения</t>
      </text>
    </comment>
    <comment ref="R126" authorId="0" shapeId="0">
      <text>
        <t>0100011: STORE</t>
      </text>
    </comment>
    <comment ref="M127" authorId="0" shapeId="0">
      <text>
        <t>12-битная константа; в RV32I знаково расширяется</t>
      </text>
    </comment>
    <comment ref="N127" authorId="0" shapeId="0">
      <text>
        <t>Исходный регистр x0 = zero</t>
      </text>
    </comment>
    <comment ref="O127" authorId="0" shapeId="0">
      <text>
        <t>000=ADDI, 111=ANDI</t>
      </text>
    </comment>
    <comment ref="P127" authorId="0" shapeId="0">
      <text>
        <t>Приёмник x6 = t1</t>
      </text>
    </comment>
    <comment ref="Q127" authorId="0" shapeId="0">
      <text>
        <t>0010011: OP-IMM</t>
      </text>
    </comment>
    <comment ref="M128" authorId="0" shapeId="0">
      <text>
        <t>Знаковый бит PC-относительного перехода</t>
      </text>
    </comment>
    <comment ref="N128" authorId="0" shapeId="0">
      <text>
        <t>Средние биты адресного смещения</t>
      </text>
    </comment>
    <comment ref="O128" authorId="0" shapeId="0">
      <text>
        <t>Переставленный бит смещения</t>
      </text>
    </comment>
    <comment ref="P128" authorId="0" shapeId="0">
      <text>
        <t>Биты смещения перехода</t>
      </text>
    </comment>
    <comment ref="Q128" authorId="0" shapeId="0">
      <text>
        <t>Приёмник адреса возврата: x1 = ra</t>
      </text>
    </comment>
    <comment ref="R128" authorId="0" shapeId="0">
      <text>
        <t>1101111: JAL</t>
      </text>
    </comment>
    <comment ref="M129" authorId="0" shapeId="0">
      <text>
        <t>12-битная константа; в RV32I знаково расширяется</t>
      </text>
    </comment>
    <comment ref="N129" authorId="0" shapeId="0">
      <text>
        <t>Исходный регистр x0 = zero</t>
      </text>
    </comment>
    <comment ref="O129" authorId="0" shapeId="0">
      <text>
        <t>000=ADDI, 111=ANDI</t>
      </text>
    </comment>
    <comment ref="P129" authorId="0" shapeId="0">
      <text>
        <t>Приёмник x6 = t1</t>
      </text>
    </comment>
    <comment ref="Q129" authorId="0" shapeId="0">
      <text>
        <t>0010011: OP-IMM</t>
      </text>
    </comment>
    <comment ref="M130" authorId="0" shapeId="0">
      <text>
        <t>Знаковый бит PC-относительного перехода</t>
      </text>
    </comment>
    <comment ref="N130" authorId="0" shapeId="0">
      <text>
        <t>Средние биты адресного смещения</t>
      </text>
    </comment>
    <comment ref="O130" authorId="0" shapeId="0">
      <text>
        <t>Переставленный бит смещения</t>
      </text>
    </comment>
    <comment ref="P130" authorId="0" shapeId="0">
      <text>
        <t>Биты смещения перехода</t>
      </text>
    </comment>
    <comment ref="Q130" authorId="0" shapeId="0">
      <text>
        <t>Приёмник адреса возврата: x1 = ra</t>
      </text>
    </comment>
    <comment ref="R130" authorId="0" shapeId="0">
      <text>
        <t>1101111: JAL</t>
      </text>
    </comment>
    <comment ref="M131" authorId="0" shapeId="0">
      <text>
        <t>Знаковый бит PC-относительного перехода</t>
      </text>
    </comment>
    <comment ref="N131" authorId="0" shapeId="0">
      <text>
        <t>Средние биты адресного смещения</t>
      </text>
    </comment>
    <comment ref="O131" authorId="0" shapeId="0">
      <text>
        <t>Переставленный бит смещения</t>
      </text>
    </comment>
    <comment ref="P131" authorId="0" shapeId="0">
      <text>
        <t>Биты смещения перехода</t>
      </text>
    </comment>
    <comment ref="Q131" authorId="0" shapeId="0">
      <text>
        <t>Приёмник адреса возврата: x0 = zero</t>
      </text>
    </comment>
    <comment ref="R131" authorId="0" shapeId="0">
      <text>
        <t>1101111: JAL</t>
      </text>
    </comment>
    <comment ref="M132" authorId="0" shapeId="0">
      <text>
        <t>12-битная константа; в RV32I знаково расширяется</t>
      </text>
    </comment>
    <comment ref="N132" authorId="0" shapeId="0">
      <text>
        <t>Исходный регистр x0 = zero</t>
      </text>
    </comment>
    <comment ref="O132" authorId="0" shapeId="0">
      <text>
        <t>000=ADDI, 111=ANDI</t>
      </text>
    </comment>
    <comment ref="P132" authorId="0" shapeId="0">
      <text>
        <t>Приёмник x6 = t1</t>
      </text>
    </comment>
    <comment ref="Q132" authorId="0" shapeId="0">
      <text>
        <t>0010011: OP-IMM</t>
      </text>
    </comment>
    <comment ref="M133" authorId="0" shapeId="0">
      <text>
        <t>Знаковый бит PC-относительного перехода</t>
      </text>
    </comment>
    <comment ref="N133" authorId="0" shapeId="0">
      <text>
        <t>Средние биты адресного смещения</t>
      </text>
    </comment>
    <comment ref="O133" authorId="0" shapeId="0">
      <text>
        <t>Переставленный бит смещения</t>
      </text>
    </comment>
    <comment ref="P133" authorId="0" shapeId="0">
      <text>
        <t>Биты смещения перехода</t>
      </text>
    </comment>
    <comment ref="Q133" authorId="0" shapeId="0">
      <text>
        <t>Приёмник адреса возврата: x1 = ra</t>
      </text>
    </comment>
    <comment ref="R133" authorId="0" shapeId="0">
      <text>
        <t>1101111: JAL</t>
      </text>
    </comment>
    <comment ref="M134" authorId="0" shapeId="0">
      <text>
        <t>12-битная константа; в RV32I знаково расширяется</t>
      </text>
    </comment>
    <comment ref="N134" authorId="0" shapeId="0">
      <text>
        <t>Исходный регистр x0 = zero</t>
      </text>
    </comment>
    <comment ref="O134" authorId="0" shapeId="0">
      <text>
        <t>000=ADDI, 111=ANDI</t>
      </text>
    </comment>
    <comment ref="P134" authorId="0" shapeId="0">
      <text>
        <t>Приёмник x6 = t1</t>
      </text>
    </comment>
    <comment ref="Q134" authorId="0" shapeId="0">
      <text>
        <t>0010011: OP-IMM</t>
      </text>
    </comment>
    <comment ref="M135" authorId="0" shapeId="0">
      <text>
        <t>Знаковый бит PC-относительного перехода</t>
      </text>
    </comment>
    <comment ref="N135" authorId="0" shapeId="0">
      <text>
        <t>Средние биты адресного смещения</t>
      </text>
    </comment>
    <comment ref="O135" authorId="0" shapeId="0">
      <text>
        <t>Переставленный бит смещения</t>
      </text>
    </comment>
    <comment ref="P135" authorId="0" shapeId="0">
      <text>
        <t>Биты смещения перехода</t>
      </text>
    </comment>
    <comment ref="Q135" authorId="0" shapeId="0">
      <text>
        <t>Приёмник адреса возврата: x1 = ra</t>
      </text>
    </comment>
    <comment ref="R135" authorId="0" shapeId="0">
      <text>
        <t>1101111: JAL</t>
      </text>
    </comment>
    <comment ref="M136" authorId="0" shapeId="0">
      <text>
        <t>12-битная константа; в RV32I знаково расширяется</t>
      </text>
    </comment>
    <comment ref="N136" authorId="0" shapeId="0">
      <text>
        <t>Исходный регистр x0 = zero</t>
      </text>
    </comment>
    <comment ref="O136" authorId="0" shapeId="0">
      <text>
        <t>000=ADDI, 111=ANDI</t>
      </text>
    </comment>
    <comment ref="P136" authorId="0" shapeId="0">
      <text>
        <t>Приёмник x6 = t1</t>
      </text>
    </comment>
    <comment ref="Q136" authorId="0" shapeId="0">
      <text>
        <t>0010011: OP-IMM</t>
      </text>
    </comment>
    <comment ref="M137" authorId="0" shapeId="0">
      <text>
        <t>Знаковый бит PC-относительного перехода</t>
      </text>
    </comment>
    <comment ref="N137" authorId="0" shapeId="0">
      <text>
        <t>Средние биты адресного смещения</t>
      </text>
    </comment>
    <comment ref="O137" authorId="0" shapeId="0">
      <text>
        <t>Переставленный бит смещения</t>
      </text>
    </comment>
    <comment ref="P137" authorId="0" shapeId="0">
      <text>
        <t>Биты смещения перехода</t>
      </text>
    </comment>
    <comment ref="Q137" authorId="0" shapeId="0">
      <text>
        <t>Приёмник адреса возврата: x1 = ra</t>
      </text>
    </comment>
    <comment ref="R137" authorId="0" shapeId="0">
      <text>
        <t>1101111: JAL</t>
      </text>
    </comment>
    <comment ref="M138" authorId="0" shapeId="0">
      <text>
        <t>Знаковое 12-битное смещение от базового адреса</t>
      </text>
    </comment>
    <comment ref="N138" authorId="0" shapeId="0">
      <text>
        <t>Базовый регистр x5 = t0</t>
      </text>
    </comment>
    <comment ref="O138" authorId="0" shapeId="0">
      <text>
        <t>010 = LW: загрузка 32-битного слова</t>
      </text>
    </comment>
    <comment ref="P138" authorId="0" shapeId="0">
      <text>
        <t>Приёмник x10 = a0</t>
      </text>
    </comment>
    <comment ref="Q138" authorId="0" shapeId="0">
      <text>
        <t>0000011: LOAD</t>
      </text>
    </comment>
    <comment ref="M139" authorId="0" shapeId="0">
      <text>
        <t>12-битная константа; в RV32I знаково расширяется</t>
      </text>
    </comment>
    <comment ref="N139" authorId="0" shapeId="0">
      <text>
        <t>Исходный регистр x10 = a0</t>
      </text>
    </comment>
    <comment ref="O139" authorId="0" shapeId="0">
      <text>
        <t>000=ADDI, 111=ANDI</t>
      </text>
    </comment>
    <comment ref="P139" authorId="0" shapeId="0">
      <text>
        <t>Приёмник x18 = s2</t>
      </text>
    </comment>
    <comment ref="Q139" authorId="0" shapeId="0">
      <text>
        <t>0010011: OP-IMM</t>
      </text>
    </comment>
    <comment ref="M140" authorId="0" shapeId="0">
      <text>
        <t>Знаковый бит PC-относительного перехода</t>
      </text>
    </comment>
    <comment ref="N140" authorId="0" shapeId="0">
      <text>
        <t>Средние биты адресного смещения</t>
      </text>
    </comment>
    <comment ref="O140" authorId="0" shapeId="0">
      <text>
        <t>Переставленный бит смещения</t>
      </text>
    </comment>
    <comment ref="P140" authorId="0" shapeId="0">
      <text>
        <t>Биты смещения перехода</t>
      </text>
    </comment>
    <comment ref="Q140" authorId="0" shapeId="0">
      <text>
        <t>Приёмник адреса возврата: x1 = ra</t>
      </text>
    </comment>
    <comment ref="R140" authorId="0" shapeId="0">
      <text>
        <t>1101111: JAL</t>
      </text>
    </comment>
    <comment ref="M141" authorId="0" shapeId="0">
      <text>
        <t>12-битная константа; в RV32I знаково расширяется</t>
      </text>
    </comment>
    <comment ref="N141" authorId="0" shapeId="0">
      <text>
        <t>Исходный регистр x0 = zero</t>
      </text>
    </comment>
    <comment ref="O141" authorId="0" shapeId="0">
      <text>
        <t>000=ADDI, 111=ANDI</t>
      </text>
    </comment>
    <comment ref="P141" authorId="0" shapeId="0">
      <text>
        <t>Приёмник x6 = t1</t>
      </text>
    </comment>
    <comment ref="Q141" authorId="0" shapeId="0">
      <text>
        <t>0010011: OP-IMM</t>
      </text>
    </comment>
    <comment ref="M142" authorId="0" shapeId="0">
      <text>
        <t>Знаковый бит PC-относительного перехода</t>
      </text>
    </comment>
    <comment ref="N142" authorId="0" shapeId="0">
      <text>
        <t>Средние биты адресного смещения</t>
      </text>
    </comment>
    <comment ref="O142" authorId="0" shapeId="0">
      <text>
        <t>Переставленный бит смещения</t>
      </text>
    </comment>
    <comment ref="P142" authorId="0" shapeId="0">
      <text>
        <t>Биты смещения перехода</t>
      </text>
    </comment>
    <comment ref="Q142" authorId="0" shapeId="0">
      <text>
        <t>Приёмник адреса возврата: x1 = ra</t>
      </text>
    </comment>
    <comment ref="R142" authorId="0" shapeId="0">
      <text>
        <t>1101111: JAL</t>
      </text>
    </comment>
    <comment ref="M143" authorId="0" shapeId="0">
      <text>
        <t>Знаковое 12-битное смещение от базового адреса</t>
      </text>
    </comment>
    <comment ref="N143" authorId="0" shapeId="0">
      <text>
        <t>Базовый регистр x5 = t0</t>
      </text>
    </comment>
    <comment ref="O143" authorId="0" shapeId="0">
      <text>
        <t>010 = LW: загрузка 32-битного слова</t>
      </text>
    </comment>
    <comment ref="P143" authorId="0" shapeId="0">
      <text>
        <t>Приёмник x10 = a0</t>
      </text>
    </comment>
    <comment ref="Q143" authorId="0" shapeId="0">
      <text>
        <t>0000011: LOAD</t>
      </text>
    </comment>
    <comment ref="M144" authorId="0" shapeId="0">
      <text>
        <t>Знаковый бит PC-относительного перехода</t>
      </text>
    </comment>
    <comment ref="N144" authorId="0" shapeId="0">
      <text>
        <t>Средние биты адресного смещения</t>
      </text>
    </comment>
    <comment ref="O144" authorId="0" shapeId="0">
      <text>
        <t>Переставленный бит смещения</t>
      </text>
    </comment>
    <comment ref="P144" authorId="0" shapeId="0">
      <text>
        <t>Биты смещения перехода</t>
      </text>
    </comment>
    <comment ref="Q144" authorId="0" shapeId="0">
      <text>
        <t>Приёмник адреса возврата: x1 = ra</t>
      </text>
    </comment>
    <comment ref="R144" authorId="0" shapeId="0">
      <text>
        <t>1101111: JAL</t>
      </text>
    </comment>
    <comment ref="M145" authorId="0" shapeId="0">
      <text>
        <t>12-битная константа; в RV32I знаково расширяется</t>
      </text>
    </comment>
    <comment ref="N145" authorId="0" shapeId="0">
      <text>
        <t>Исходный регистр x0 = zero</t>
      </text>
    </comment>
    <comment ref="O145" authorId="0" shapeId="0">
      <text>
        <t>000=ADDI, 111=ANDI</t>
      </text>
    </comment>
    <comment ref="P145" authorId="0" shapeId="0">
      <text>
        <t>Приёмник x6 = t1</t>
      </text>
    </comment>
    <comment ref="Q145" authorId="0" shapeId="0">
      <text>
        <t>0010011: OP-IMM</t>
      </text>
    </comment>
    <comment ref="M146" authorId="0" shapeId="0">
      <text>
        <t>Знаковый бит PC-относительного перехода</t>
      </text>
    </comment>
    <comment ref="N146" authorId="0" shapeId="0">
      <text>
        <t>Средние биты адресного смещения</t>
      </text>
    </comment>
    <comment ref="O146" authorId="0" shapeId="0">
      <text>
        <t>Переставленный бит смещения</t>
      </text>
    </comment>
    <comment ref="P146" authorId="0" shapeId="0">
      <text>
        <t>Биты смещения перехода</t>
      </text>
    </comment>
    <comment ref="Q146" authorId="0" shapeId="0">
      <text>
        <t>Приёмник адреса возврата: x1 = ra</t>
      </text>
    </comment>
    <comment ref="R146" authorId="0" shapeId="0">
      <text>
        <t>1101111: JAL</t>
      </text>
    </comment>
    <comment ref="M147" authorId="0" shapeId="0">
      <text>
        <t>12-битная константа; в RV32I знаково расширяется</t>
      </text>
    </comment>
    <comment ref="N147" authorId="0" shapeId="0">
      <text>
        <t>Исходный регистр x0 = zero</t>
      </text>
    </comment>
    <comment ref="O147" authorId="0" shapeId="0">
      <text>
        <t>000=ADDI, 111=ANDI</t>
      </text>
    </comment>
    <comment ref="P147" authorId="0" shapeId="0">
      <text>
        <t>Приёмник x9 = s1</t>
      </text>
    </comment>
    <comment ref="Q147" authorId="0" shapeId="0">
      <text>
        <t>0010011: OP-IMM</t>
      </text>
    </comment>
    <comment ref="M148" authorId="0" shapeId="0">
      <text>
        <t>Знаковый бит ветвления</t>
      </text>
    </comment>
    <comment ref="N148" authorId="0" shapeId="0">
      <text>
        <t>Старшие биты смещения</t>
      </text>
    </comment>
    <comment ref="O148" authorId="0" shapeId="0">
      <text>
        <t>Второй сравниваемый регистр x18 = s2</t>
      </text>
    </comment>
    <comment ref="P148" authorId="0" shapeId="0">
      <text>
        <t>Первый сравниваемый регистр x9 = s1</t>
      </text>
    </comment>
    <comment ref="Q148" authorId="0" shapeId="0">
      <text>
        <t>000=BEQ, 001=BNE</t>
      </text>
    </comment>
    <comment ref="R148" authorId="0" shapeId="0">
      <text>
        <t>Младшая группа байтового смещения; bit0=0</t>
      </text>
    </comment>
    <comment ref="S148" authorId="0" shapeId="0">
      <text>
        <t>Переставленный бит смещения</t>
      </text>
    </comment>
    <comment ref="T148" authorId="0" shapeId="0">
      <text>
        <t>1100011: BRANCH</t>
      </text>
    </comment>
    <comment ref="M149" authorId="0" shapeId="0">
      <text>
        <t>Старшие биты смещения со знаком</t>
      </text>
    </comment>
    <comment ref="N149" authorId="0" shapeId="0">
      <text>
        <t>Источник записываемых данных: x9 = s1</t>
      </text>
    </comment>
    <comment ref="O149" authorId="0" shapeId="0">
      <text>
        <t>Базовый адрес: x5 = t0</t>
      </text>
    </comment>
    <comment ref="P149" authorId="0" shapeId="0">
      <text>
        <t>010 = SW: запись 32-битного слова</t>
      </text>
    </comment>
    <comment ref="Q149" authorId="0" shapeId="0">
      <text>
        <t>Младшие биты смещения</t>
      </text>
    </comment>
    <comment ref="R149" authorId="0" shapeId="0">
      <text>
        <t>0100011: STORE</t>
      </text>
    </comment>
    <comment ref="M150" authorId="0" shapeId="0">
      <text>
        <t>12-битная константа; в RV32I знаково расширяется</t>
      </text>
    </comment>
    <comment ref="N150" authorId="0" shapeId="0">
      <text>
        <t>Исходный регистр x0 = zero</t>
      </text>
    </comment>
    <comment ref="O150" authorId="0" shapeId="0">
      <text>
        <t>000=ADDI, 111=ANDI</t>
      </text>
    </comment>
    <comment ref="P150" authorId="0" shapeId="0">
      <text>
        <t>Приёмник x6 = t1</t>
      </text>
    </comment>
    <comment ref="Q150" authorId="0" shapeId="0">
      <text>
        <t>0010011: OP-IMM</t>
      </text>
    </comment>
    <comment ref="M151" authorId="0" shapeId="0">
      <text>
        <t>Знаковый бит PC-относительного перехода</t>
      </text>
    </comment>
    <comment ref="N151" authorId="0" shapeId="0">
      <text>
        <t>Средние биты адресного смещения</t>
      </text>
    </comment>
    <comment ref="O151" authorId="0" shapeId="0">
      <text>
        <t>Переставленный бит смещения</t>
      </text>
    </comment>
    <comment ref="P151" authorId="0" shapeId="0">
      <text>
        <t>Биты смещения перехода</t>
      </text>
    </comment>
    <comment ref="Q151" authorId="0" shapeId="0">
      <text>
        <t>Приёмник адреса возврата: x1 = ra</t>
      </text>
    </comment>
    <comment ref="R151" authorId="0" shapeId="0">
      <text>
        <t>1101111: JAL</t>
      </text>
    </comment>
    <comment ref="M152" authorId="0" shapeId="0">
      <text>
        <t>12-битная константа; в RV32I знаково расширяется</t>
      </text>
    </comment>
    <comment ref="N152" authorId="0" shapeId="0">
      <text>
        <t>Исходный регистр x0 = zero</t>
      </text>
    </comment>
    <comment ref="O152" authorId="0" shapeId="0">
      <text>
        <t>000=ADDI, 111=ANDI</t>
      </text>
    </comment>
    <comment ref="P152" authorId="0" shapeId="0">
      <text>
        <t>Приёмник x6 = t1</t>
      </text>
    </comment>
    <comment ref="Q152" authorId="0" shapeId="0">
      <text>
        <t>0010011: OP-IMM</t>
      </text>
    </comment>
    <comment ref="M153" authorId="0" shapeId="0">
      <text>
        <t>Знаковый бит PC-относительного перехода</t>
      </text>
    </comment>
    <comment ref="N153" authorId="0" shapeId="0">
      <text>
        <t>Средние биты адресного смещения</t>
      </text>
    </comment>
    <comment ref="O153" authorId="0" shapeId="0">
      <text>
        <t>Переставленный бит смещения</t>
      </text>
    </comment>
    <comment ref="P153" authorId="0" shapeId="0">
      <text>
        <t>Биты смещения перехода</t>
      </text>
    </comment>
    <comment ref="Q153" authorId="0" shapeId="0">
      <text>
        <t>Приёмник адреса возврата: x1 = ra</t>
      </text>
    </comment>
    <comment ref="R153" authorId="0" shapeId="0">
      <text>
        <t>1101111: JAL</t>
      </text>
    </comment>
    <comment ref="M154" authorId="0" shapeId="0">
      <text>
        <t>12-битная константа; в RV32I знаково расширяется</t>
      </text>
    </comment>
    <comment ref="N154" authorId="0" shapeId="0">
      <text>
        <t>Исходный регистр x9 = s1</t>
      </text>
    </comment>
    <comment ref="O154" authorId="0" shapeId="0">
      <text>
        <t>000=ADDI, 111=ANDI</t>
      </text>
    </comment>
    <comment ref="P154" authorId="0" shapeId="0">
      <text>
        <t>Приёмник x10 = a0</t>
      </text>
    </comment>
    <comment ref="Q154" authorId="0" shapeId="0">
      <text>
        <t>0010011: OP-IMM</t>
      </text>
    </comment>
    <comment ref="M155" authorId="0" shapeId="0">
      <text>
        <t>Знаковый бит PC-относительного перехода</t>
      </text>
    </comment>
    <comment ref="N155" authorId="0" shapeId="0">
      <text>
        <t>Средние биты адресного смещения</t>
      </text>
    </comment>
    <comment ref="O155" authorId="0" shapeId="0">
      <text>
        <t>Переставленный бит смещения</t>
      </text>
    </comment>
    <comment ref="P155" authorId="0" shapeId="0">
      <text>
        <t>Биты смещения перехода</t>
      </text>
    </comment>
    <comment ref="Q155" authorId="0" shapeId="0">
      <text>
        <t>Приёмник адреса возврата: x1 = ra</t>
      </text>
    </comment>
    <comment ref="R155" authorId="0" shapeId="0">
      <text>
        <t>1101111: JAL</t>
      </text>
    </comment>
    <comment ref="M156" authorId="0" shapeId="0">
      <text>
        <t>12-битная константа; в RV32I знаково расширяется</t>
      </text>
    </comment>
    <comment ref="N156" authorId="0" shapeId="0">
      <text>
        <t>Исходный регистр x0 = zero</t>
      </text>
    </comment>
    <comment ref="O156" authorId="0" shapeId="0">
      <text>
        <t>000=ADDI, 111=ANDI</t>
      </text>
    </comment>
    <comment ref="P156" authorId="0" shapeId="0">
      <text>
        <t>Приёмник x6 = t1</t>
      </text>
    </comment>
    <comment ref="Q156" authorId="0" shapeId="0">
      <text>
        <t>0010011: OP-IMM</t>
      </text>
    </comment>
    <comment ref="M157" authorId="0" shapeId="0">
      <text>
        <t>Знаковый бит PC-относительного перехода</t>
      </text>
    </comment>
    <comment ref="N157" authorId="0" shapeId="0">
      <text>
        <t>Средние биты адресного смещения</t>
      </text>
    </comment>
    <comment ref="O157" authorId="0" shapeId="0">
      <text>
        <t>Переставленный бит смещения</t>
      </text>
    </comment>
    <comment ref="P157" authorId="0" shapeId="0">
      <text>
        <t>Биты смещения перехода</t>
      </text>
    </comment>
    <comment ref="Q157" authorId="0" shapeId="0">
      <text>
        <t>Приёмник адреса возврата: x1 = ra</t>
      </text>
    </comment>
    <comment ref="R157" authorId="0" shapeId="0">
      <text>
        <t>1101111: JAL</t>
      </text>
    </comment>
    <comment ref="M158" authorId="0" shapeId="0">
      <text>
        <t>Знаковое 12-битное смещение от базового адреса</t>
      </text>
    </comment>
    <comment ref="N158" authorId="0" shapeId="0">
      <text>
        <t>Базовый регистр x5 = t0</t>
      </text>
    </comment>
    <comment ref="O158" authorId="0" shapeId="0">
      <text>
        <t>010 = LW: загрузка 32-битного слова</t>
      </text>
    </comment>
    <comment ref="P158" authorId="0" shapeId="0">
      <text>
        <t>Приёмник x10 = a0</t>
      </text>
    </comment>
    <comment ref="Q158" authorId="0" shapeId="0">
      <text>
        <t>0000011: LOAD</t>
      </text>
    </comment>
    <comment ref="M159" authorId="0" shapeId="0">
      <text>
        <t>Знаковый бит PC-относительного перехода</t>
      </text>
    </comment>
    <comment ref="N159" authorId="0" shapeId="0">
      <text>
        <t>Средние биты адресного смещения</t>
      </text>
    </comment>
    <comment ref="O159" authorId="0" shapeId="0">
      <text>
        <t>Переставленный бит смещения</t>
      </text>
    </comment>
    <comment ref="P159" authorId="0" shapeId="0">
      <text>
        <t>Биты смещения перехода</t>
      </text>
    </comment>
    <comment ref="Q159" authorId="0" shapeId="0">
      <text>
        <t>Приёмник адреса возврата: x1 = ra</t>
      </text>
    </comment>
    <comment ref="R159" authorId="0" shapeId="0">
      <text>
        <t>1101111: JAL</t>
      </text>
    </comment>
    <comment ref="M160" authorId="0" shapeId="0">
      <text>
        <t>12-битная константа; в RV32I знаково расширяется</t>
      </text>
    </comment>
    <comment ref="N160" authorId="0" shapeId="0">
      <text>
        <t>Исходный регистр x0 = zero</t>
      </text>
    </comment>
    <comment ref="O160" authorId="0" shapeId="0">
      <text>
        <t>000=ADDI, 111=ANDI</t>
      </text>
    </comment>
    <comment ref="P160" authorId="0" shapeId="0">
      <text>
        <t>Приёмник x6 = t1</t>
      </text>
    </comment>
    <comment ref="Q160" authorId="0" shapeId="0">
      <text>
        <t>0010011: OP-IMM</t>
      </text>
    </comment>
    <comment ref="M161" authorId="0" shapeId="0">
      <text>
        <t>Знаковый бит PC-относительного перехода</t>
      </text>
    </comment>
    <comment ref="N161" authorId="0" shapeId="0">
      <text>
        <t>Средние биты адресного смещения</t>
      </text>
    </comment>
    <comment ref="O161" authorId="0" shapeId="0">
      <text>
        <t>Переставленный бит смещения</t>
      </text>
    </comment>
    <comment ref="P161" authorId="0" shapeId="0">
      <text>
        <t>Биты смещения перехода</t>
      </text>
    </comment>
    <comment ref="Q161" authorId="0" shapeId="0">
      <text>
        <t>Приёмник адреса возврата: x1 = ra</t>
      </text>
    </comment>
    <comment ref="R161" authorId="0" shapeId="0">
      <text>
        <t>1101111: JAL</t>
      </text>
    </comment>
    <comment ref="M162" authorId="0" shapeId="0">
      <text>
        <t>Знаковое 12-битное смещение от базового адреса</t>
      </text>
    </comment>
    <comment ref="N162" authorId="0" shapeId="0">
      <text>
        <t>Базовый регистр x5 = t0</t>
      </text>
    </comment>
    <comment ref="O162" authorId="0" shapeId="0">
      <text>
        <t>010 = LW: загрузка 32-битного слова</t>
      </text>
    </comment>
    <comment ref="P162" authorId="0" shapeId="0">
      <text>
        <t>Приёмник x10 = a0</t>
      </text>
    </comment>
    <comment ref="Q162" authorId="0" shapeId="0">
      <text>
        <t>0000011: LOAD</t>
      </text>
    </comment>
    <comment ref="M163" authorId="0" shapeId="0">
      <text>
        <t>Знаковый бит PC-относительного перехода</t>
      </text>
    </comment>
    <comment ref="N163" authorId="0" shapeId="0">
      <text>
        <t>Средние биты адресного смещения</t>
      </text>
    </comment>
    <comment ref="O163" authorId="0" shapeId="0">
      <text>
        <t>Переставленный бит смещения</t>
      </text>
    </comment>
    <comment ref="P163" authorId="0" shapeId="0">
      <text>
        <t>Биты смещения перехода</t>
      </text>
    </comment>
    <comment ref="Q163" authorId="0" shapeId="0">
      <text>
        <t>Приёмник адреса возврата: x1 = ra</t>
      </text>
    </comment>
    <comment ref="R163" authorId="0" shapeId="0">
      <text>
        <t>1101111: JAL</t>
      </text>
    </comment>
    <comment ref="M164" authorId="0" shapeId="0">
      <text>
        <t>12-битная константа; в RV32I знаково расширяется</t>
      </text>
    </comment>
    <comment ref="N164" authorId="0" shapeId="0">
      <text>
        <t>Исходный регистр x0 = zero</t>
      </text>
    </comment>
    <comment ref="O164" authorId="0" shapeId="0">
      <text>
        <t>000=ADDI, 111=ANDI</t>
      </text>
    </comment>
    <comment ref="P164" authorId="0" shapeId="0">
      <text>
        <t>Приёмник x6 = t1</t>
      </text>
    </comment>
    <comment ref="Q164" authorId="0" shapeId="0">
      <text>
        <t>0010011: OP-IMM</t>
      </text>
    </comment>
    <comment ref="M165" authorId="0" shapeId="0">
      <text>
        <t>Знаковый бит PC-относительного перехода</t>
      </text>
    </comment>
    <comment ref="N165" authorId="0" shapeId="0">
      <text>
        <t>Средние биты адресного смещения</t>
      </text>
    </comment>
    <comment ref="O165" authorId="0" shapeId="0">
      <text>
        <t>Переставленный бит смещения</t>
      </text>
    </comment>
    <comment ref="P165" authorId="0" shapeId="0">
      <text>
        <t>Биты смещения перехода</t>
      </text>
    </comment>
    <comment ref="Q165" authorId="0" shapeId="0">
      <text>
        <t>Приёмник адреса возврата: x1 = ra</t>
      </text>
    </comment>
    <comment ref="R165" authorId="0" shapeId="0">
      <text>
        <t>1101111: JAL</t>
      </text>
    </comment>
    <comment ref="M166" authorId="0" shapeId="0">
      <text>
        <t>Знаковое 12-битное смещение от базового адреса</t>
      </text>
    </comment>
    <comment ref="N166" authorId="0" shapeId="0">
      <text>
        <t>Базовый регистр x5 = t0</t>
      </text>
    </comment>
    <comment ref="O166" authorId="0" shapeId="0">
      <text>
        <t>010 = LW: загрузка 32-битного слова</t>
      </text>
    </comment>
    <comment ref="P166" authorId="0" shapeId="0">
      <text>
        <t>Приёмник x10 = a0</t>
      </text>
    </comment>
    <comment ref="Q166" authorId="0" shapeId="0">
      <text>
        <t>0000011: LOAD</t>
      </text>
    </comment>
    <comment ref="M167" authorId="0" shapeId="0">
      <text>
        <t>Знаковый бит PC-относительного перехода</t>
      </text>
    </comment>
    <comment ref="N167" authorId="0" shapeId="0">
      <text>
        <t>Средние биты адресного смещения</t>
      </text>
    </comment>
    <comment ref="O167" authorId="0" shapeId="0">
      <text>
        <t>Переставленный бит смещения</t>
      </text>
    </comment>
    <comment ref="P167" authorId="0" shapeId="0">
      <text>
        <t>Биты смещения перехода</t>
      </text>
    </comment>
    <comment ref="Q167" authorId="0" shapeId="0">
      <text>
        <t>Приёмник адреса возврата: x1 = ra</t>
      </text>
    </comment>
    <comment ref="R167" authorId="0" shapeId="0">
      <text>
        <t>1101111: JAL</t>
      </text>
    </comment>
    <comment ref="M168" authorId="0" shapeId="0">
      <text>
        <t>12-битная константа; в RV32I знаково расширяется</t>
      </text>
    </comment>
    <comment ref="N168" authorId="0" shapeId="0">
      <text>
        <t>Исходный регистр x0 = zero</t>
      </text>
    </comment>
    <comment ref="O168" authorId="0" shapeId="0">
      <text>
        <t>000=ADDI, 111=ANDI</t>
      </text>
    </comment>
    <comment ref="P168" authorId="0" shapeId="0">
      <text>
        <t>Приёмник x6 = t1</t>
      </text>
    </comment>
    <comment ref="Q168" authorId="0" shapeId="0">
      <text>
        <t>0010011: OP-IMM</t>
      </text>
    </comment>
    <comment ref="M169" authorId="0" shapeId="0">
      <text>
        <t>Знаковый бит PC-относительного перехода</t>
      </text>
    </comment>
    <comment ref="N169" authorId="0" shapeId="0">
      <text>
        <t>Средние биты адресного смещения</t>
      </text>
    </comment>
    <comment ref="O169" authorId="0" shapeId="0">
      <text>
        <t>Переставленный бит смещения</t>
      </text>
    </comment>
    <comment ref="P169" authorId="0" shapeId="0">
      <text>
        <t>Биты смещения перехода</t>
      </text>
    </comment>
    <comment ref="Q169" authorId="0" shapeId="0">
      <text>
        <t>Приёмник адреса возврата: x1 = ra</t>
      </text>
    </comment>
    <comment ref="R169" authorId="0" shapeId="0">
      <text>
        <t>1101111: JAL</t>
      </text>
    </comment>
    <comment ref="M170" authorId="0" shapeId="0">
      <text>
        <t>12-битная константа; в RV32I знаково расширяется</t>
      </text>
    </comment>
    <comment ref="N170" authorId="0" shapeId="0">
      <text>
        <t>Исходный регистр x9 = s1</t>
      </text>
    </comment>
    <comment ref="O170" authorId="0" shapeId="0">
      <text>
        <t>000=ADDI, 111=ANDI</t>
      </text>
    </comment>
    <comment ref="P170" authorId="0" shapeId="0">
      <text>
        <t>Приёмник x9 = s1</t>
      </text>
    </comment>
    <comment ref="Q170" authorId="0" shapeId="0">
      <text>
        <t>0010011: OP-IMM</t>
      </text>
    </comment>
    <comment ref="M171" authorId="0" shapeId="0">
      <text>
        <t>Знаковый бит PC-относительного перехода</t>
      </text>
    </comment>
    <comment ref="N171" authorId="0" shapeId="0">
      <text>
        <t>Средние биты адресного смещения</t>
      </text>
    </comment>
    <comment ref="O171" authorId="0" shapeId="0">
      <text>
        <t>Переставленный бит смещения</t>
      </text>
    </comment>
    <comment ref="P171" authorId="0" shapeId="0">
      <text>
        <t>Биты смещения перехода</t>
      </text>
    </comment>
    <comment ref="Q171" authorId="0" shapeId="0">
      <text>
        <t>Приёмник адреса возврата: x0 = zero</t>
      </text>
    </comment>
    <comment ref="R171" authorId="0" shapeId="0">
      <text>
        <t>1101111: JAL</t>
      </text>
    </comment>
    <comment ref="M172" authorId="0" shapeId="0">
      <text>
        <t>12-битная константа; в RV32I знаково расширяется</t>
      </text>
    </comment>
    <comment ref="N172" authorId="0" shapeId="0">
      <text>
        <t>Исходный регистр x0 = zero</t>
      </text>
    </comment>
    <comment ref="O172" authorId="0" shapeId="0">
      <text>
        <t>000=ADDI, 111=ANDI</t>
      </text>
    </comment>
    <comment ref="P172" authorId="0" shapeId="0">
      <text>
        <t>Приёмник x6 = t1</t>
      </text>
    </comment>
    <comment ref="Q172" authorId="0" shapeId="0">
      <text>
        <t>0010011: OP-IMM</t>
      </text>
    </comment>
    <comment ref="M173" authorId="0" shapeId="0">
      <text>
        <t>Знаковый бит PC-относительного перехода</t>
      </text>
    </comment>
    <comment ref="N173" authorId="0" shapeId="0">
      <text>
        <t>Средние биты адресного смещения</t>
      </text>
    </comment>
    <comment ref="O173" authorId="0" shapeId="0">
      <text>
        <t>Переставленный бит смещения</t>
      </text>
    </comment>
    <comment ref="P173" authorId="0" shapeId="0">
      <text>
        <t>Биты смещения перехода</t>
      </text>
    </comment>
    <comment ref="Q173" authorId="0" shapeId="0">
      <text>
        <t>Приёмник адреса возврата: x1 = ra</t>
      </text>
    </comment>
    <comment ref="R173" authorId="0" shapeId="0">
      <text>
        <t>1101111: JAL</t>
      </text>
    </comment>
    <comment ref="M174" authorId="0" shapeId="0">
      <text>
        <t>12-битная константа; в RV32I знаково расширяется</t>
      </text>
    </comment>
    <comment ref="N174" authorId="0" shapeId="0">
      <text>
        <t>Исходный регистр x0 = zero</t>
      </text>
    </comment>
    <comment ref="O174" authorId="0" shapeId="0">
      <text>
        <t>000=ADDI, 111=ANDI</t>
      </text>
    </comment>
    <comment ref="P174" authorId="0" shapeId="0">
      <text>
        <t>Приёмник x6 = t1</t>
      </text>
    </comment>
    <comment ref="Q174" authorId="0" shapeId="0">
      <text>
        <t>0010011: OP-IMM</t>
      </text>
    </comment>
    <comment ref="M175" authorId="0" shapeId="0">
      <text>
        <t>Знаковый бит PC-относительного перехода</t>
      </text>
    </comment>
    <comment ref="N175" authorId="0" shapeId="0">
      <text>
        <t>Средние биты адресного смещения</t>
      </text>
    </comment>
    <comment ref="O175" authorId="0" shapeId="0">
      <text>
        <t>Переставленный бит смещения</t>
      </text>
    </comment>
    <comment ref="P175" authorId="0" shapeId="0">
      <text>
        <t>Биты смещения перехода</t>
      </text>
    </comment>
    <comment ref="Q175" authorId="0" shapeId="0">
      <text>
        <t>Приёмник адреса возврата: x1 = ra</t>
      </text>
    </comment>
    <comment ref="R175" authorId="0" shapeId="0">
      <text>
        <t>1101111: JAL</t>
      </text>
    </comment>
    <comment ref="M176" authorId="0" shapeId="0">
      <text>
        <t>Знаковый бит PC-относительного перехода</t>
      </text>
    </comment>
    <comment ref="N176" authorId="0" shapeId="0">
      <text>
        <t>Средние биты адресного смещения</t>
      </text>
    </comment>
    <comment ref="O176" authorId="0" shapeId="0">
      <text>
        <t>Переставленный бит смещения</t>
      </text>
    </comment>
    <comment ref="P176" authorId="0" shapeId="0">
      <text>
        <t>Биты смещения перехода</t>
      </text>
    </comment>
    <comment ref="Q176" authorId="0" shapeId="0">
      <text>
        <t>Приёмник адреса возврата: x0 = zero</t>
      </text>
    </comment>
    <comment ref="R176" authorId="0" shapeId="0">
      <text>
        <t>1101111: JAL</t>
      </text>
    </comment>
    <comment ref="M177" authorId="0" shapeId="0">
      <text>
        <t>12-битная константа; в RV32I знаково расширяется</t>
      </text>
    </comment>
    <comment ref="N177" authorId="0" shapeId="0">
      <text>
        <t>Исходный регистр x1 = ra</t>
      </text>
    </comment>
    <comment ref="O177" authorId="0" shapeId="0">
      <text>
        <t>000=ADDI, 111=ANDI</t>
      </text>
    </comment>
    <comment ref="P177" authorId="0" shapeId="0">
      <text>
        <t>Приёмник x23 = s7</t>
      </text>
    </comment>
    <comment ref="Q177" authorId="0" shapeId="0">
      <text>
        <t>0010011: OP-IMM</t>
      </text>
    </comment>
    <comment ref="M178" authorId="0" shapeId="0">
      <text>
        <t>0000000 — логический сдвиг вправо</t>
      </text>
    </comment>
    <comment ref="N178" authorId="0" shapeId="0">
      <text>
        <t>Сдвиг на 28 разрядов</t>
      </text>
    </comment>
    <comment ref="O178" authorId="0" shapeId="0">
      <text>
        <t>Источник x10 = a0</t>
      </text>
    </comment>
    <comment ref="P178" authorId="0" shapeId="0">
      <text>
        <t>101: сдвиг вправо</t>
      </text>
    </comment>
    <comment ref="Q178" authorId="0" shapeId="0">
      <text>
        <t>Приёмник x6 = t1</t>
      </text>
    </comment>
    <comment ref="R178" authorId="0" shapeId="0">
      <text>
        <t>0010011: OP-IMM</t>
      </text>
    </comment>
    <comment ref="M179" authorId="0" shapeId="0">
      <text>
        <t>Знаковый бит PC-относительного перехода</t>
      </text>
    </comment>
    <comment ref="N179" authorId="0" shapeId="0">
      <text>
        <t>Средние биты адресного смещения</t>
      </text>
    </comment>
    <comment ref="O179" authorId="0" shapeId="0">
      <text>
        <t>Переставленный бит смещения</t>
      </text>
    </comment>
    <comment ref="P179" authorId="0" shapeId="0">
      <text>
        <t>Биты смещения перехода</t>
      </text>
    </comment>
    <comment ref="Q179" authorId="0" shapeId="0">
      <text>
        <t>Приёмник адреса возврата: x1 = ra</t>
      </text>
    </comment>
    <comment ref="R179" authorId="0" shapeId="0">
      <text>
        <t>1101111: JAL</t>
      </text>
    </comment>
    <comment ref="M180" authorId="0" shapeId="0">
      <text>
        <t>0000000 — логический сдвиг вправо</t>
      </text>
    </comment>
    <comment ref="N180" authorId="0" shapeId="0">
      <text>
        <t>Сдвиг на 24 разрядов</t>
      </text>
    </comment>
    <comment ref="O180" authorId="0" shapeId="0">
      <text>
        <t>Источник x10 = a0</t>
      </text>
    </comment>
    <comment ref="P180" authorId="0" shapeId="0">
      <text>
        <t>101: сдвиг вправо</t>
      </text>
    </comment>
    <comment ref="Q180" authorId="0" shapeId="0">
      <text>
        <t>Приёмник x6 = t1</t>
      </text>
    </comment>
    <comment ref="R180" authorId="0" shapeId="0">
      <text>
        <t>0010011: OP-IMM</t>
      </text>
    </comment>
    <comment ref="M181" authorId="0" shapeId="0">
      <text>
        <t>Знаковый бит PC-относительного перехода</t>
      </text>
    </comment>
    <comment ref="N181" authorId="0" shapeId="0">
      <text>
        <t>Средние биты адресного смещения</t>
      </text>
    </comment>
    <comment ref="O181" authorId="0" shapeId="0">
      <text>
        <t>Переставленный бит смещения</t>
      </text>
    </comment>
    <comment ref="P181" authorId="0" shapeId="0">
      <text>
        <t>Биты смещения перехода</t>
      </text>
    </comment>
    <comment ref="Q181" authorId="0" shapeId="0">
      <text>
        <t>Приёмник адреса возврата: x1 = ra</t>
      </text>
    </comment>
    <comment ref="R181" authorId="0" shapeId="0">
      <text>
        <t>1101111: JAL</t>
      </text>
    </comment>
    <comment ref="M182" authorId="0" shapeId="0">
      <text>
        <t>0000000 — логический сдвиг вправо</t>
      </text>
    </comment>
    <comment ref="N182" authorId="0" shapeId="0">
      <text>
        <t>Сдвиг на 20 разрядов</t>
      </text>
    </comment>
    <comment ref="O182" authorId="0" shapeId="0">
      <text>
        <t>Источник x10 = a0</t>
      </text>
    </comment>
    <comment ref="P182" authorId="0" shapeId="0">
      <text>
        <t>101: сдвиг вправо</t>
      </text>
    </comment>
    <comment ref="Q182" authorId="0" shapeId="0">
      <text>
        <t>Приёмник x6 = t1</t>
      </text>
    </comment>
    <comment ref="R182" authorId="0" shapeId="0">
      <text>
        <t>0010011: OP-IMM</t>
      </text>
    </comment>
    <comment ref="M183" authorId="0" shapeId="0">
      <text>
        <t>Знаковый бит PC-относительного перехода</t>
      </text>
    </comment>
    <comment ref="N183" authorId="0" shapeId="0">
      <text>
        <t>Средние биты адресного смещения</t>
      </text>
    </comment>
    <comment ref="O183" authorId="0" shapeId="0">
      <text>
        <t>Переставленный бит смещения</t>
      </text>
    </comment>
    <comment ref="P183" authorId="0" shapeId="0">
      <text>
        <t>Биты смещения перехода</t>
      </text>
    </comment>
    <comment ref="Q183" authorId="0" shapeId="0">
      <text>
        <t>Приёмник адреса возврата: x1 = ra</t>
      </text>
    </comment>
    <comment ref="R183" authorId="0" shapeId="0">
      <text>
        <t>1101111: JAL</t>
      </text>
    </comment>
    <comment ref="M184" authorId="0" shapeId="0">
      <text>
        <t>0000000 — логический сдвиг вправо</t>
      </text>
    </comment>
    <comment ref="N184" authorId="0" shapeId="0">
      <text>
        <t>Сдвиг на 16 разрядов</t>
      </text>
    </comment>
    <comment ref="O184" authorId="0" shapeId="0">
      <text>
        <t>Источник x10 = a0</t>
      </text>
    </comment>
    <comment ref="P184" authorId="0" shapeId="0">
      <text>
        <t>101: сдвиг вправо</t>
      </text>
    </comment>
    <comment ref="Q184" authorId="0" shapeId="0">
      <text>
        <t>Приёмник x6 = t1</t>
      </text>
    </comment>
    <comment ref="R184" authorId="0" shapeId="0">
      <text>
        <t>0010011: OP-IMM</t>
      </text>
    </comment>
    <comment ref="M185" authorId="0" shapeId="0">
      <text>
        <t>Знаковый бит PC-относительного перехода</t>
      </text>
    </comment>
    <comment ref="N185" authorId="0" shapeId="0">
      <text>
        <t>Средние биты адресного смещения</t>
      </text>
    </comment>
    <comment ref="O185" authorId="0" shapeId="0">
      <text>
        <t>Переставленный бит смещения</t>
      </text>
    </comment>
    <comment ref="P185" authorId="0" shapeId="0">
      <text>
        <t>Биты смещения перехода</t>
      </text>
    </comment>
    <comment ref="Q185" authorId="0" shapeId="0">
      <text>
        <t>Приёмник адреса возврата: x1 = ra</t>
      </text>
    </comment>
    <comment ref="R185" authorId="0" shapeId="0">
      <text>
        <t>1101111: JAL</t>
      </text>
    </comment>
    <comment ref="M186" authorId="0" shapeId="0">
      <text>
        <t>0000000 — логический сдвиг вправо</t>
      </text>
    </comment>
    <comment ref="N186" authorId="0" shapeId="0">
      <text>
        <t>Сдвиг на 12 разрядов</t>
      </text>
    </comment>
    <comment ref="O186" authorId="0" shapeId="0">
      <text>
        <t>Источник x10 = a0</t>
      </text>
    </comment>
    <comment ref="P186" authorId="0" shapeId="0">
      <text>
        <t>101: сдвиг вправо</t>
      </text>
    </comment>
    <comment ref="Q186" authorId="0" shapeId="0">
      <text>
        <t>Приёмник x6 = t1</t>
      </text>
    </comment>
    <comment ref="R186" authorId="0" shapeId="0">
      <text>
        <t>0010011: OP-IMM</t>
      </text>
    </comment>
    <comment ref="M187" authorId="0" shapeId="0">
      <text>
        <t>Знаковый бит PC-относительного перехода</t>
      </text>
    </comment>
    <comment ref="N187" authorId="0" shapeId="0">
      <text>
        <t>Средние биты адресного смещения</t>
      </text>
    </comment>
    <comment ref="O187" authorId="0" shapeId="0">
      <text>
        <t>Переставленный бит смещения</t>
      </text>
    </comment>
    <comment ref="P187" authorId="0" shapeId="0">
      <text>
        <t>Биты смещения перехода</t>
      </text>
    </comment>
    <comment ref="Q187" authorId="0" shapeId="0">
      <text>
        <t>Приёмник адреса возврата: x1 = ra</t>
      </text>
    </comment>
    <comment ref="R187" authorId="0" shapeId="0">
      <text>
        <t>1101111: JAL</t>
      </text>
    </comment>
    <comment ref="M188" authorId="0" shapeId="0">
      <text>
        <t>0000000 — логический сдвиг вправо</t>
      </text>
    </comment>
    <comment ref="N188" authorId="0" shapeId="0">
      <text>
        <t>Сдвиг на 8 разрядов</t>
      </text>
    </comment>
    <comment ref="O188" authorId="0" shapeId="0">
      <text>
        <t>Источник x10 = a0</t>
      </text>
    </comment>
    <comment ref="P188" authorId="0" shapeId="0">
      <text>
        <t>101: сдвиг вправо</t>
      </text>
    </comment>
    <comment ref="Q188" authorId="0" shapeId="0">
      <text>
        <t>Приёмник x6 = t1</t>
      </text>
    </comment>
    <comment ref="R188" authorId="0" shapeId="0">
      <text>
        <t>0010011: OP-IMM</t>
      </text>
    </comment>
    <comment ref="M189" authorId="0" shapeId="0">
      <text>
        <t>Знаковый бит PC-относительного перехода</t>
      </text>
    </comment>
    <comment ref="N189" authorId="0" shapeId="0">
      <text>
        <t>Средние биты адресного смещения</t>
      </text>
    </comment>
    <comment ref="O189" authorId="0" shapeId="0">
      <text>
        <t>Переставленный бит смещения</t>
      </text>
    </comment>
    <comment ref="P189" authorId="0" shapeId="0">
      <text>
        <t>Биты смещения перехода</t>
      </text>
    </comment>
    <comment ref="Q189" authorId="0" shapeId="0">
      <text>
        <t>Приёмник адреса возврата: x1 = ra</t>
      </text>
    </comment>
    <comment ref="R189" authorId="0" shapeId="0">
      <text>
        <t>1101111: JAL</t>
      </text>
    </comment>
    <comment ref="M190" authorId="0" shapeId="0">
      <text>
        <t>0000000 — логический сдвиг вправо</t>
      </text>
    </comment>
    <comment ref="N190" authorId="0" shapeId="0">
      <text>
        <t>Сдвиг на 4 разрядов</t>
      </text>
    </comment>
    <comment ref="O190" authorId="0" shapeId="0">
      <text>
        <t>Источник x10 = a0</t>
      </text>
    </comment>
    <comment ref="P190" authorId="0" shapeId="0">
      <text>
        <t>101: сдвиг вправо</t>
      </text>
    </comment>
    <comment ref="Q190" authorId="0" shapeId="0">
      <text>
        <t>Приёмник x6 = t1</t>
      </text>
    </comment>
    <comment ref="R190" authorId="0" shapeId="0">
      <text>
        <t>0010011: OP-IMM</t>
      </text>
    </comment>
    <comment ref="M191" authorId="0" shapeId="0">
      <text>
        <t>Знаковый бит PC-относительного перехода</t>
      </text>
    </comment>
    <comment ref="N191" authorId="0" shapeId="0">
      <text>
        <t>Средние биты адресного смещения</t>
      </text>
    </comment>
    <comment ref="O191" authorId="0" shapeId="0">
      <text>
        <t>Переставленный бит смещения</t>
      </text>
    </comment>
    <comment ref="P191" authorId="0" shapeId="0">
      <text>
        <t>Биты смещения перехода</t>
      </text>
    </comment>
    <comment ref="Q191" authorId="0" shapeId="0">
      <text>
        <t>Приёмник адреса возврата: x1 = ra</t>
      </text>
    </comment>
    <comment ref="R191" authorId="0" shapeId="0">
      <text>
        <t>1101111: JAL</t>
      </text>
    </comment>
    <comment ref="M192" authorId="0" shapeId="0">
      <text>
        <t>12-битная константа; в RV32I знаково расширяется</t>
      </text>
    </comment>
    <comment ref="N192" authorId="0" shapeId="0">
      <text>
        <t>Исходный регистр x10 = a0</t>
      </text>
    </comment>
    <comment ref="O192" authorId="0" shapeId="0">
      <text>
        <t>000=ADDI, 111=ANDI</t>
      </text>
    </comment>
    <comment ref="P192" authorId="0" shapeId="0">
      <text>
        <t>Приёмник x6 = t1</t>
      </text>
    </comment>
    <comment ref="Q192" authorId="0" shapeId="0">
      <text>
        <t>0010011: OP-IMM</t>
      </text>
    </comment>
    <comment ref="M193" authorId="0" shapeId="0">
      <text>
        <t>Знаковый бит PC-относительного перехода</t>
      </text>
    </comment>
    <comment ref="N193" authorId="0" shapeId="0">
      <text>
        <t>Средние биты адресного смещения</t>
      </text>
    </comment>
    <comment ref="O193" authorId="0" shapeId="0">
      <text>
        <t>Переставленный бит смещения</t>
      </text>
    </comment>
    <comment ref="P193" authorId="0" shapeId="0">
      <text>
        <t>Биты смещения перехода</t>
      </text>
    </comment>
    <comment ref="Q193" authorId="0" shapeId="0">
      <text>
        <t>Приёмник адреса возврата: x1 = ra</t>
      </text>
    </comment>
    <comment ref="R193" authorId="0" shapeId="0">
      <text>
        <t>1101111: JAL</t>
      </text>
    </comment>
    <comment ref="M194" authorId="0" shapeId="0">
      <text>
        <t>12-битное знаковое смещение</t>
      </text>
    </comment>
    <comment ref="N194" authorId="0" shapeId="0">
      <text>
        <t>Базовый регистр перехода x23 = s7</t>
      </text>
    </comment>
    <comment ref="O194" authorId="0" shapeId="0">
      <text>
        <t>000: JALR</t>
      </text>
    </comment>
    <comment ref="P194" authorId="0" shapeId="0">
      <text>
        <t>Приёмник адреса возврата x0 = zero</t>
      </text>
    </comment>
    <comment ref="Q194" authorId="0" shapeId="0">
      <text>
        <t>1100111: JALR</t>
      </text>
    </comment>
    <comment ref="M195" authorId="0" shapeId="0">
      <text>
        <t>12-битная константа; в RV32I знаково расширяется</t>
      </text>
    </comment>
    <comment ref="N195" authorId="0" shapeId="0">
      <text>
        <t>Исходный регистр x1 = ra</t>
      </text>
    </comment>
    <comment ref="O195" authorId="0" shapeId="0">
      <text>
        <t>000=ADDI, 111=ANDI</t>
      </text>
    </comment>
    <comment ref="P195" authorId="0" shapeId="0">
      <text>
        <t>Приёмник x22 = s6</t>
      </text>
    </comment>
    <comment ref="Q195" authorId="0" shapeId="0">
      <text>
        <t>0010011: OP-IMM</t>
      </text>
    </comment>
    <comment ref="M196" authorId="0" shapeId="0">
      <text>
        <t>12-битная константа; в RV32I знаково расширяется</t>
      </text>
    </comment>
    <comment ref="N196" authorId="0" shapeId="0">
      <text>
        <t>Исходный регистр x6 = t1</t>
      </text>
    </comment>
    <comment ref="O196" authorId="0" shapeId="0">
      <text>
        <t>000=ADDI, 111=ANDI</t>
      </text>
    </comment>
    <comment ref="P196" authorId="0" shapeId="0">
      <text>
        <t>Приёмник x6 = t1</t>
      </text>
    </comment>
    <comment ref="Q196" authorId="0" shapeId="0">
      <text>
        <t>0010011: OP-IMM</t>
      </text>
    </comment>
    <comment ref="M197" authorId="0" shapeId="0">
      <text>
        <t>12-битная константа; в RV32I знаково расширяется</t>
      </text>
    </comment>
    <comment ref="N197" authorId="0" shapeId="0">
      <text>
        <t>Исходный регистр x6 = t1</t>
      </text>
    </comment>
    <comment ref="O197" authorId="0" shapeId="0">
      <text>
        <t>000=ADDI, 111=ANDI</t>
      </text>
    </comment>
    <comment ref="P197" authorId="0" shapeId="0">
      <text>
        <t>Приёмник x7 = t2</t>
      </text>
    </comment>
    <comment ref="Q197" authorId="0" shapeId="0">
      <text>
        <t>0010011: OP-IMM</t>
      </text>
    </comment>
    <comment ref="M198" authorId="0" shapeId="0">
      <text>
        <t>0000000 — логический сдвиг вправо</t>
      </text>
    </comment>
    <comment ref="N198" authorId="0" shapeId="0">
      <text>
        <t>Сдвиг на 31 разрядов</t>
      </text>
    </comment>
    <comment ref="O198" authorId="0" shapeId="0">
      <text>
        <t>Источник x7 = t2</t>
      </text>
    </comment>
    <comment ref="P198" authorId="0" shapeId="0">
      <text>
        <t>101: сдвиг вправо</t>
      </text>
    </comment>
    <comment ref="Q198" authorId="0" shapeId="0">
      <text>
        <t>Приёмник x7 = t2</t>
      </text>
    </comment>
    <comment ref="R198" authorId="0" shapeId="0">
      <text>
        <t>0010011: OP-IMM</t>
      </text>
    </comment>
    <comment ref="M199" authorId="0" shapeId="0">
      <text>
        <t>Знаковый бит ветвления</t>
      </text>
    </comment>
    <comment ref="N199" authorId="0" shapeId="0">
      <text>
        <t>Старшие биты смещения</t>
      </text>
    </comment>
    <comment ref="O199" authorId="0" shapeId="0">
      <text>
        <t>Второй сравниваемый регистр x0 = zero</t>
      </text>
    </comment>
    <comment ref="P199" authorId="0" shapeId="0">
      <text>
        <t>Первый сравниваемый регистр x7 = t2</t>
      </text>
    </comment>
    <comment ref="Q199" authorId="0" shapeId="0">
      <text>
        <t>000=BEQ, 001=BNE</t>
      </text>
    </comment>
    <comment ref="R199" authorId="0" shapeId="0">
      <text>
        <t>Младшая группа байтового смещения; bit0=0</t>
      </text>
    </comment>
    <comment ref="S199" authorId="0" shapeId="0">
      <text>
        <t>Переставленный бит смещения</t>
      </text>
    </comment>
    <comment ref="T199" authorId="0" shapeId="0">
      <text>
        <t>1100011: BRANCH</t>
      </text>
    </comment>
    <comment ref="M200" authorId="0" shapeId="0">
      <text>
        <t>12-битная константа; в RV32I знаково расширяется</t>
      </text>
    </comment>
    <comment ref="N200" authorId="0" shapeId="0">
      <text>
        <t>Исходный регистр x6 = t1</t>
      </text>
    </comment>
    <comment ref="O200" authorId="0" shapeId="0">
      <text>
        <t>000=ADDI, 111=ANDI</t>
      </text>
    </comment>
    <comment ref="P200" authorId="0" shapeId="0">
      <text>
        <t>Приёмник x6 = t1</t>
      </text>
    </comment>
    <comment ref="Q200" authorId="0" shapeId="0">
      <text>
        <t>0010011: OP-IMM</t>
      </text>
    </comment>
    <comment ref="M201" authorId="0" shapeId="0">
      <text>
        <t>Знаковый бит PC-относительного перехода</t>
      </text>
    </comment>
    <comment ref="N201" authorId="0" shapeId="0">
      <text>
        <t>Средние биты адресного смещения</t>
      </text>
    </comment>
    <comment ref="O201" authorId="0" shapeId="0">
      <text>
        <t>Переставленный бит смещения</t>
      </text>
    </comment>
    <comment ref="P201" authorId="0" shapeId="0">
      <text>
        <t>Биты смещения перехода</t>
      </text>
    </comment>
    <comment ref="Q201" authorId="0" shapeId="0">
      <text>
        <t>Приёмник адреса возврата: x1 = ra</t>
      </text>
    </comment>
    <comment ref="R201" authorId="0" shapeId="0">
      <text>
        <t>1101111: JAL</t>
      </text>
    </comment>
    <comment ref="M202" authorId="0" shapeId="0">
      <text>
        <t>12-битное знаковое смещение</t>
      </text>
    </comment>
    <comment ref="N202" authorId="0" shapeId="0">
      <text>
        <t>Базовый регистр перехода x22 = s6</t>
      </text>
    </comment>
    <comment ref="O202" authorId="0" shapeId="0">
      <text>
        <t>000: JALR</t>
      </text>
    </comment>
    <comment ref="P202" authorId="0" shapeId="0">
      <text>
        <t>Приёмник адреса возврата x0 = zero</t>
      </text>
    </comment>
    <comment ref="Q202" authorId="0" shapeId="0">
      <text>
        <t>1100111: JALR</t>
      </text>
    </comment>
    <comment ref="M203" authorId="0" shapeId="0">
      <text>
        <t>12-битная константа; в RV32I знаково расширяется</t>
      </text>
    </comment>
    <comment ref="N203" authorId="0" shapeId="0">
      <text>
        <t>Исходный регистр x6 = t1</t>
      </text>
    </comment>
    <comment ref="O203" authorId="0" shapeId="0">
      <text>
        <t>000=ADDI, 111=ANDI</t>
      </text>
    </comment>
    <comment ref="P203" authorId="0" shapeId="0">
      <text>
        <t>Приёмник x6 = t1</t>
      </text>
    </comment>
    <comment ref="Q203" authorId="0" shapeId="0">
      <text>
        <t>0010011: OP-IMM</t>
      </text>
    </comment>
    <comment ref="M204" authorId="0" shapeId="0">
      <text>
        <t>Знаковый бит PC-относительного перехода</t>
      </text>
    </comment>
    <comment ref="N204" authorId="0" shapeId="0">
      <text>
        <t>Средние биты адресного смещения</t>
      </text>
    </comment>
    <comment ref="O204" authorId="0" shapeId="0">
      <text>
        <t>Переставленный бит смещения</t>
      </text>
    </comment>
    <comment ref="P204" authorId="0" shapeId="0">
      <text>
        <t>Биты смещения перехода</t>
      </text>
    </comment>
    <comment ref="Q204" authorId="0" shapeId="0">
      <text>
        <t>Приёмник адреса возврата: x1 = ra</t>
      </text>
    </comment>
    <comment ref="R204" authorId="0" shapeId="0">
      <text>
        <t>1101111: JAL</t>
      </text>
    </comment>
    <comment ref="M205" authorId="0" shapeId="0">
      <text>
        <t>12-битное знаковое смещение</t>
      </text>
    </comment>
    <comment ref="N205" authorId="0" shapeId="0">
      <text>
        <t>Базовый регистр перехода x22 = s6</t>
      </text>
    </comment>
    <comment ref="O205" authorId="0" shapeId="0">
      <text>
        <t>000: JALR</t>
      </text>
    </comment>
    <comment ref="P205" authorId="0" shapeId="0">
      <text>
        <t>Приёмник адреса возврата x0 = zero</t>
      </text>
    </comment>
    <comment ref="Q205" authorId="0" shapeId="0">
      <text>
        <t>1100111: JALR</t>
      </text>
    </comment>
    <comment ref="M206" authorId="0" shapeId="0">
      <text>
        <t>Знаковое 12-битное смещение от базового адреса</t>
      </text>
    </comment>
    <comment ref="N206" authorId="0" shapeId="0">
      <text>
        <t>Базовый регистр x5 = t0</t>
      </text>
    </comment>
    <comment ref="O206" authorId="0" shapeId="0">
      <text>
        <t>010 = LW: загрузка 32-битного слова</t>
      </text>
    </comment>
    <comment ref="P206" authorId="0" shapeId="0">
      <text>
        <t>Приёмник x7 = t2</t>
      </text>
    </comment>
    <comment ref="Q206" authorId="0" shapeId="0">
      <text>
        <t>0000011: LOAD</t>
      </text>
    </comment>
    <comment ref="M207" authorId="0" shapeId="0">
      <text>
        <t>12-битная константа; в RV32I знаково расширяется</t>
      </text>
    </comment>
    <comment ref="N207" authorId="0" shapeId="0">
      <text>
        <t>Исходный регистр x7 = t2</t>
      </text>
    </comment>
    <comment ref="O207" authorId="0" shapeId="0">
      <text>
        <t>000=ADDI, 111=ANDI</t>
      </text>
    </comment>
    <comment ref="P207" authorId="0" shapeId="0">
      <text>
        <t>Приёмник x7 = t2</t>
      </text>
    </comment>
    <comment ref="Q207" authorId="0" shapeId="0">
      <text>
        <t>0010011: OP-IMM</t>
      </text>
    </comment>
    <comment ref="M208" authorId="0" shapeId="0">
      <text>
        <t>Знаковый бит ветвления</t>
      </text>
    </comment>
    <comment ref="N208" authorId="0" shapeId="0">
      <text>
        <t>Старшие биты смещения</t>
      </text>
    </comment>
    <comment ref="O208" authorId="0" shapeId="0">
      <text>
        <t>Второй сравниваемый регистр x0 = zero</t>
      </text>
    </comment>
    <comment ref="P208" authorId="0" shapeId="0">
      <text>
        <t>Первый сравниваемый регистр x7 = t2</t>
      </text>
    </comment>
    <comment ref="Q208" authorId="0" shapeId="0">
      <text>
        <t>000=BEQ, 001=BNE</t>
      </text>
    </comment>
    <comment ref="R208" authorId="0" shapeId="0">
      <text>
        <t>Младшая группа байтового смещения; bit0=0</t>
      </text>
    </comment>
    <comment ref="S208" authorId="0" shapeId="0">
      <text>
        <t>Переставленный бит смещения</t>
      </text>
    </comment>
    <comment ref="T208" authorId="0" shapeId="0">
      <text>
        <t>1100011: BRANCH</t>
      </text>
    </comment>
    <comment ref="M209" authorId="0" shapeId="0">
      <text>
        <t>Старшие биты смещения со знаком</t>
      </text>
    </comment>
    <comment ref="N209" authorId="0" shapeId="0">
      <text>
        <t>Источник записываемых данных: x6 = t1</t>
      </text>
    </comment>
    <comment ref="O209" authorId="0" shapeId="0">
      <text>
        <t>Базовый адрес: x5 = t0</t>
      </text>
    </comment>
    <comment ref="P209" authorId="0" shapeId="0">
      <text>
        <t>010 = SW: запись 32-битного слова</t>
      </text>
    </comment>
    <comment ref="Q209" authorId="0" shapeId="0">
      <text>
        <t>Младшие биты смещения</t>
      </text>
    </comment>
    <comment ref="R209" authorId="0" shapeId="0">
      <text>
        <t>0100011: STORE</t>
      </text>
    </comment>
    <comment ref="M210" authorId="0" shapeId="0">
      <text>
        <t>12-битное знаковое смещение</t>
      </text>
    </comment>
    <comment ref="N210" authorId="0" shapeId="0">
      <text>
        <t>Базовый регистр перехода x1 = ra</t>
      </text>
    </comment>
    <comment ref="O210" authorId="0" shapeId="0">
      <text>
        <t>000: JALR</t>
      </text>
    </comment>
    <comment ref="P210" authorId="0" shapeId="0">
      <text>
        <t>Приёмник адреса возврата x0 = zero</t>
      </text>
    </comment>
    <comment ref="Q210" authorId="0" shapeId="0">
      <text>
        <t>1100111: JALR</t>
      </text>
    </comment>
  </commentList>
</comments>
</file>

<file path=xl/comments/comment6.xml><?xml version="1.0" encoding="utf-8"?>
<comments xmlns="http://schemas.openxmlformats.org/spreadsheetml/2006/main">
  <authors>
    <author>LAB-03</author>
  </authors>
  <commentList>
    <comment ref="B15" authorId="0" shapeId="0">
      <text>
        <t>Сверху указан диапазон бит, ниже — их фактические 0/1, затем имя поля ISA. Подробное значение поля см. в каталоге.</t>
      </text>
    </comment>
    <comment ref="C15" authorId="0" shapeId="0">
      <text>
        <t>Сверху указан диапазон бит, ниже — их фактические 0/1, затем имя поля ISA. Подробное значение поля см. в каталоге.</t>
      </text>
    </comment>
    <comment ref="D15" authorId="0" shapeId="0">
      <text>
        <t>Сверху указан диапазон бит, ниже — их фактические 0/1, затем имя поля ISA. Подробное значение поля см. в каталоге.</t>
      </text>
    </comment>
    <comment ref="E15" authorId="0" shapeId="0">
      <text>
        <t>Сверху указан диапазон бит, ниже — их фактические 0/1, затем имя поля ISA. Подробное значение поля см. в каталоге.</t>
      </text>
    </comment>
    <comment ref="F15" authorId="0" shapeId="0">
      <text>
        <t>Сверху указан диапазон бит, ниже — их фактические 0/1, затем имя поля ISA. Подробное значение поля см. в каталоге.</t>
      </text>
    </comment>
    <comment ref="G15" authorId="0" shapeId="0">
      <text>
        <t>Сверху указан диапазон бит, ниже — их фактические 0/1, затем имя поля ISA. Подробное значение поля см. в каталоге.</t>
      </text>
    </comment>
    <comment ref="H15" authorId="0" shapeId="0">
      <text>
        <t>Сверху указан диапазон бит, ниже — их фактические 0/1, затем имя поля ISA. Подробное значение поля см. в каталоге.</t>
      </text>
    </comment>
    <comment ref="I15" authorId="0" shapeId="0">
      <text>
        <t>Сверху указан диапазон бит, ниже — их фактические 0/1, затем имя поля ISA. Подробное значение поля см. в каталоге.</t>
      </text>
    </comment>
  </commentList>
</comments>
</file>

<file path=xl/comments/comment7.xml><?xml version="1.0" encoding="utf-8"?>
<comments xmlns="http://schemas.openxmlformats.org/spreadsheetml/2006/main">
  <authors>
    <author>RISC-V / LAB-03</author>
  </authors>
  <commentList>
    <comment ref="B10" authorId="0" shapeId="0">
      <text>
        <t>Старшие биты смещения со знаком</t>
      </text>
    </comment>
    <comment ref="C10" authorId="0" shapeId="0">
      <text>
        <t>Источник записываемых данных: x29 = t4</t>
      </text>
    </comment>
    <comment ref="D10" authorId="0" shapeId="0">
      <text>
        <t>Базовый адрес: x5 = t0</t>
      </text>
    </comment>
    <comment ref="E10" authorId="0" shapeId="0">
      <text>
        <t>010 = SW: запись 32-битного слова</t>
      </text>
    </comment>
    <comment ref="F10" authorId="0" shapeId="0">
      <text>
        <t>Младшие биты смещения</t>
      </text>
    </comment>
    <comment ref="G10" authorId="0" shapeId="0">
      <text>
        <t>0100011: STORE</t>
      </text>
    </comment>
    <comment ref="B11" authorId="0" shapeId="0">
      <text>
        <t>Старшие биты смещения со знаком</t>
      </text>
    </comment>
    <comment ref="C11" authorId="0" shapeId="0">
      <text>
        <t>Источник записываемых данных: x29 = t4</t>
      </text>
    </comment>
    <comment ref="D11" authorId="0" shapeId="0">
      <text>
        <t>Базовый адрес: x5 = t0</t>
      </text>
    </comment>
    <comment ref="E11" authorId="0" shapeId="0">
      <text>
        <t>010 = SW: запись 32-битного слова</t>
      </text>
    </comment>
    <comment ref="F11" authorId="0" shapeId="0">
      <text>
        <t>Младшие биты смещения</t>
      </text>
    </comment>
    <comment ref="G11" authorId="0" shapeId="0">
      <text>
        <t>0100011: STORE</t>
      </text>
    </comment>
    <comment ref="B12" authorId="0" shapeId="0">
      <text>
        <t>Старшие биты смещения со знаком</t>
      </text>
    </comment>
    <comment ref="C12" authorId="0" shapeId="0">
      <text>
        <t>Источник записываемых данных: x29 = t4</t>
      </text>
    </comment>
    <comment ref="D12" authorId="0" shapeId="0">
      <text>
        <t>Базовый адрес: x5 = t0</t>
      </text>
    </comment>
    <comment ref="E12" authorId="0" shapeId="0">
      <text>
        <t>010 = SW: запись 32-битного слова</t>
      </text>
    </comment>
    <comment ref="F12" authorId="0" shapeId="0">
      <text>
        <t>Младшие биты смещения</t>
      </text>
    </comment>
    <comment ref="G12" authorId="0" shapeId="0">
      <text>
        <t>0100011: STORE</t>
      </text>
    </comment>
    <comment ref="B21" authorId="0" shapeId="0">
      <text>
        <t>Знаковое 12-битное смещение от базового адреса</t>
      </text>
    </comment>
    <comment ref="C21" authorId="0" shapeId="0">
      <text>
        <t>Базовый регистр x5 = t0</t>
      </text>
    </comment>
    <comment ref="D21" authorId="0" shapeId="0">
      <text>
        <t>010 = LW: загрузка 32-битного слова</t>
      </text>
    </comment>
    <comment ref="E21" authorId="0" shapeId="0">
      <text>
        <t>Приёмник x31 = t6</t>
      </text>
    </comment>
    <comment ref="F21" authorId="0" shapeId="0">
      <text>
        <t>0000011: LOAD</t>
      </text>
    </comment>
    <comment ref="B22" authorId="0" shapeId="0">
      <text>
        <t>Знаковое 12-битное смещение от базового адреса</t>
      </text>
    </comment>
    <comment ref="C22" authorId="0" shapeId="0">
      <text>
        <t>Базовый регистр x5 = t0</t>
      </text>
    </comment>
    <comment ref="D22" authorId="0" shapeId="0">
      <text>
        <t>010 = LW: загрузка 32-битного слова</t>
      </text>
    </comment>
    <comment ref="E22" authorId="0" shapeId="0">
      <text>
        <t>Приёмник x31 = t6</t>
      </text>
    </comment>
    <comment ref="F22" authorId="0" shapeId="0">
      <text>
        <t>0000011: LOAD</t>
      </text>
    </comment>
    <comment ref="B23" authorId="0" shapeId="0">
      <text>
        <t>Знаковое 12-битное смещение от базового адреса</t>
      </text>
    </comment>
    <comment ref="C23" authorId="0" shapeId="0">
      <text>
        <t>Базовый регистр x5 = t0</t>
      </text>
    </comment>
    <comment ref="D23" authorId="0" shapeId="0">
      <text>
        <t>010 = LW: загрузка 32-битного слова</t>
      </text>
    </comment>
    <comment ref="E23" authorId="0" shapeId="0">
      <text>
        <t>Приёмник x31 = t6</t>
      </text>
    </comment>
    <comment ref="F23" authorId="0" shapeId="0">
      <text>
        <t>0000011: LOAD</t>
      </text>
    </comment>
    <comment ref="B32" authorId="0" shapeId="0">
      <text>
        <t>12-битная константа; в RV32I знаково расширяется</t>
      </text>
    </comment>
    <comment ref="C32" authorId="0" shapeId="0">
      <text>
        <t>Исходный регистр x0 = zero</t>
      </text>
    </comment>
    <comment ref="D32" authorId="0" shapeId="0">
      <text>
        <t>000=ADDI, 111=ANDI</t>
      </text>
    </comment>
    <comment ref="E32" authorId="0" shapeId="0">
      <text>
        <t>Приёмник x8 = s0</t>
      </text>
    </comment>
    <comment ref="F32" authorId="0" shapeId="0">
      <text>
        <t>0010011: OP-IMM</t>
      </text>
    </comment>
    <comment ref="B33" authorId="0" shapeId="0">
      <text>
        <t>12-битная константа; в RV32I знаково расширяется</t>
      </text>
    </comment>
    <comment ref="C33" authorId="0" shapeId="0">
      <text>
        <t>Исходный регистр x0 = zero</t>
      </text>
    </comment>
    <comment ref="D33" authorId="0" shapeId="0">
      <text>
        <t>000=ADDI, 111=ANDI</t>
      </text>
    </comment>
    <comment ref="E33" authorId="0" shapeId="0">
      <text>
        <t>Приёмник x8 = s0</t>
      </text>
    </comment>
    <comment ref="F33" authorId="0" shapeId="0">
      <text>
        <t>0010011: OP-IMM</t>
      </text>
    </comment>
    <comment ref="B34" authorId="0" shapeId="0">
      <text>
        <t>12-битная константа; в RV32I знаково расширяется</t>
      </text>
    </comment>
    <comment ref="C34" authorId="0" shapeId="0">
      <text>
        <t>Исходный регистр x0 = zero</t>
      </text>
    </comment>
    <comment ref="D34" authorId="0" shapeId="0">
      <text>
        <t>000=ADDI, 111=ANDI</t>
      </text>
    </comment>
    <comment ref="E34" authorId="0" shapeId="0">
      <text>
        <t>Приёмник x8 = s0</t>
      </text>
    </comment>
    <comment ref="F34" authorId="0" shapeId="0">
      <text>
        <t>0010011: OP-IMM</t>
      </text>
    </comment>
    <comment ref="B43" authorId="0" shapeId="0">
      <text>
        <t>12-битная константа; в RV32I знаково расширяется</t>
      </text>
    </comment>
    <comment ref="C43" authorId="0" shapeId="0">
      <text>
        <t>Исходный регистр x7 = t2</t>
      </text>
    </comment>
    <comment ref="D43" authorId="0" shapeId="0">
      <text>
        <t>000=ADDI, 111=ANDI</t>
      </text>
    </comment>
    <comment ref="E43" authorId="0" shapeId="0">
      <text>
        <t>Приёмник x7 = t2</t>
      </text>
    </comment>
    <comment ref="F43" authorId="0" shapeId="0">
      <text>
        <t>0010011: OP-IMM</t>
      </text>
    </comment>
    <comment ref="B44" authorId="0" shapeId="0">
      <text>
        <t>12-битная константа; в RV32I знаково расширяется</t>
      </text>
    </comment>
    <comment ref="C44" authorId="0" shapeId="0">
      <text>
        <t>Исходный регистр x7 = t2</t>
      </text>
    </comment>
    <comment ref="D44" authorId="0" shapeId="0">
      <text>
        <t>000=ADDI, 111=ANDI</t>
      </text>
    </comment>
    <comment ref="E44" authorId="0" shapeId="0">
      <text>
        <t>Приёмник x7 = t2</t>
      </text>
    </comment>
    <comment ref="F44" authorId="0" shapeId="0">
      <text>
        <t>0010011: OP-IMM</t>
      </text>
    </comment>
    <comment ref="B45" authorId="0" shapeId="0">
      <text>
        <t>12-битная константа; в RV32I знаково расширяется</t>
      </text>
    </comment>
    <comment ref="C45" authorId="0" shapeId="0">
      <text>
        <t>Исходный регистр x7 = t2</t>
      </text>
    </comment>
    <comment ref="D45" authorId="0" shapeId="0">
      <text>
        <t>000=ADDI, 111=ANDI</t>
      </text>
    </comment>
    <comment ref="E45" authorId="0" shapeId="0">
      <text>
        <t>Приёмник x7 = t2</t>
      </text>
    </comment>
    <comment ref="F45" authorId="0" shapeId="0">
      <text>
        <t>0010011: OP-IMM</t>
      </text>
    </comment>
    <comment ref="B54" authorId="0" shapeId="0">
      <text>
        <t>Знаковый бит ветвления</t>
      </text>
    </comment>
    <comment ref="C54" authorId="0" shapeId="0">
      <text>
        <t>Старшие биты смещения</t>
      </text>
    </comment>
    <comment ref="D54" authorId="0" shapeId="0">
      <text>
        <t>Второй сравниваемый регистр x0 = zero</t>
      </text>
    </comment>
    <comment ref="E54" authorId="0" shapeId="0">
      <text>
        <t>Первый сравниваемый регистр x7 = t2</t>
      </text>
    </comment>
    <comment ref="F54" authorId="0" shapeId="0">
      <text>
        <t>000=BEQ, 001=BNE</t>
      </text>
    </comment>
    <comment ref="G54" authorId="0" shapeId="0">
      <text>
        <t>Младшая группа байтового смещения; bit0=0</t>
      </text>
    </comment>
    <comment ref="H54" authorId="0" shapeId="0">
      <text>
        <t>Переставленный бит смещения</t>
      </text>
    </comment>
    <comment ref="I54" authorId="0" shapeId="0">
      <text>
        <t>1100011: BRANCH</t>
      </text>
    </comment>
    <comment ref="B55" authorId="0" shapeId="0">
      <text>
        <t>Знаковый бит ветвления</t>
      </text>
    </comment>
    <comment ref="C55" authorId="0" shapeId="0">
      <text>
        <t>Старшие биты смещения</t>
      </text>
    </comment>
    <comment ref="D55" authorId="0" shapeId="0">
      <text>
        <t>Второй сравниваемый регистр x0 = zero</t>
      </text>
    </comment>
    <comment ref="E55" authorId="0" shapeId="0">
      <text>
        <t>Первый сравниваемый регистр x7 = t2</t>
      </text>
    </comment>
    <comment ref="F55" authorId="0" shapeId="0">
      <text>
        <t>000=BEQ, 001=BNE</t>
      </text>
    </comment>
    <comment ref="G55" authorId="0" shapeId="0">
      <text>
        <t>Младшая группа байтового смещения; bit0=0</t>
      </text>
    </comment>
    <comment ref="H55" authorId="0" shapeId="0">
      <text>
        <t>Переставленный бит смещения</t>
      </text>
    </comment>
    <comment ref="I55" authorId="0" shapeId="0">
      <text>
        <t>1100011: BRANCH</t>
      </text>
    </comment>
    <comment ref="B56" authorId="0" shapeId="0">
      <text>
        <t>Знаковый бит ветвления</t>
      </text>
    </comment>
    <comment ref="C56" authorId="0" shapeId="0">
      <text>
        <t>Старшие биты смещения</t>
      </text>
    </comment>
    <comment ref="D56" authorId="0" shapeId="0">
      <text>
        <t>Второй сравниваемый регистр x0 = zero</t>
      </text>
    </comment>
    <comment ref="E56" authorId="0" shapeId="0">
      <text>
        <t>Первый сравниваемый регистр x7 = t2</t>
      </text>
    </comment>
    <comment ref="F56" authorId="0" shapeId="0">
      <text>
        <t>000=BEQ, 001=BNE</t>
      </text>
    </comment>
    <comment ref="G56" authorId="0" shapeId="0">
      <text>
        <t>Младшая группа байтового смещения; bit0=0</t>
      </text>
    </comment>
    <comment ref="H56" authorId="0" shapeId="0">
      <text>
        <t>Переставленный бит смещения</t>
      </text>
    </comment>
    <comment ref="I56" authorId="0" shapeId="0">
      <text>
        <t>1100011: BRANCH</t>
      </text>
    </comment>
    <comment ref="B65" authorId="0" shapeId="0">
      <text>
        <t>Знаковый бит PC-относительного перехода</t>
      </text>
    </comment>
    <comment ref="C65" authorId="0" shapeId="0">
      <text>
        <t>Средние биты адресного смещения</t>
      </text>
    </comment>
    <comment ref="D65" authorId="0" shapeId="0">
      <text>
        <t>Переставленный бит смещения</t>
      </text>
    </comment>
    <comment ref="E65" authorId="0" shapeId="0">
      <text>
        <t>Биты смещения перехода</t>
      </text>
    </comment>
    <comment ref="F65" authorId="0" shapeId="0">
      <text>
        <t>Приёмник адреса возврата: x0 = zero</t>
      </text>
    </comment>
    <comment ref="G65" authorId="0" shapeId="0">
      <text>
        <t>1101111: JAL</t>
      </text>
    </comment>
    <comment ref="B66" authorId="0" shapeId="0">
      <text>
        <t>Знаковый бит PC-относительного перехода</t>
      </text>
    </comment>
    <comment ref="C66" authorId="0" shapeId="0">
      <text>
        <t>Средние биты адресного смещения</t>
      </text>
    </comment>
    <comment ref="D66" authorId="0" shapeId="0">
      <text>
        <t>Переставленный бит смещения</t>
      </text>
    </comment>
    <comment ref="E66" authorId="0" shapeId="0">
      <text>
        <t>Биты смещения перехода</t>
      </text>
    </comment>
    <comment ref="F66" authorId="0" shapeId="0">
      <text>
        <t>Приёмник адреса возврата: x0 = zero</t>
      </text>
    </comment>
    <comment ref="G66" authorId="0" shapeId="0">
      <text>
        <t>1101111: JAL</t>
      </text>
    </comment>
    <comment ref="B67" authorId="0" shapeId="0">
      <text>
        <t>Знаковый бит PC-относительного перехода</t>
      </text>
    </comment>
    <comment ref="C67" authorId="0" shapeId="0">
      <text>
        <t>Средние биты адресного смещения</t>
      </text>
    </comment>
    <comment ref="D67" authorId="0" shapeId="0">
      <text>
        <t>Переставленный бит смещения</t>
      </text>
    </comment>
    <comment ref="E67" authorId="0" shapeId="0">
      <text>
        <t>Биты смещения перехода</t>
      </text>
    </comment>
    <comment ref="F67" authorId="0" shapeId="0">
      <text>
        <t>Приёмник адреса возврата: x0 = zero</t>
      </text>
    </comment>
    <comment ref="G67" authorId="0" shapeId="0">
      <text>
        <t>1101111: JAL</t>
      </text>
    </comment>
    <comment ref="B76" authorId="0" shapeId="0">
      <text>
        <t>20-битная константа; значение в rd = imm &lt;&lt; 12</t>
      </text>
    </comment>
    <comment ref="C76" authorId="0" shapeId="0">
      <text>
        <t>Приёмник x5 = t0</t>
      </text>
    </comment>
    <comment ref="D76" authorId="0" shapeId="0">
      <text>
        <t>0110111: LUI</t>
      </text>
    </comment>
    <comment ref="B77" authorId="0" shapeId="0">
      <text>
        <t>20-битная константа; значение в rd = imm &lt;&lt; 12</t>
      </text>
    </comment>
    <comment ref="C77" authorId="0" shapeId="0">
      <text>
        <t>Приёмник x5 = t0</t>
      </text>
    </comment>
    <comment ref="D77" authorId="0" shapeId="0">
      <text>
        <t>0110111: LUI</t>
      </text>
    </comment>
    <comment ref="B78" authorId="0" shapeId="0">
      <text>
        <t>20-битная константа; значение в rd = imm &lt;&lt; 12</t>
      </text>
    </comment>
    <comment ref="C78" authorId="0" shapeId="0">
      <text>
        <t>Приёмник x5 = t0</t>
      </text>
    </comment>
    <comment ref="D78" authorId="0" shapeId="0">
      <text>
        <t>0110111: LUI</t>
      </text>
    </comment>
    <comment ref="B87" authorId="0" shapeId="0">
      <text>
        <t>Знаковый бит ветвления</t>
      </text>
    </comment>
    <comment ref="C87" authorId="0" shapeId="0">
      <text>
        <t>Старшие биты смещения</t>
      </text>
    </comment>
    <comment ref="D87" authorId="0" shapeId="0">
      <text>
        <t>Второй сравниваемый регистр x29 = t4</t>
      </text>
    </comment>
    <comment ref="E87" authorId="0" shapeId="0">
      <text>
        <t>Первый сравниваемый регистр x31 = t6</t>
      </text>
    </comment>
    <comment ref="F87" authorId="0" shapeId="0">
      <text>
        <t>000=BEQ, 001=BNE</t>
      </text>
    </comment>
    <comment ref="G87" authorId="0" shapeId="0">
      <text>
        <t>Младшая группа байтового смещения; bit0=0</t>
      </text>
    </comment>
    <comment ref="H87" authorId="0" shapeId="0">
      <text>
        <t>Переставленный бит смещения</t>
      </text>
    </comment>
    <comment ref="I87" authorId="0" shapeId="0">
      <text>
        <t>1100011: BRANCH</t>
      </text>
    </comment>
    <comment ref="B88" authorId="0" shapeId="0">
      <text>
        <t>Знаковый бит ветвления</t>
      </text>
    </comment>
    <comment ref="C88" authorId="0" shapeId="0">
      <text>
        <t>Старшие биты смещения</t>
      </text>
    </comment>
    <comment ref="D88" authorId="0" shapeId="0">
      <text>
        <t>Второй сравниваемый регистр x29 = t4</t>
      </text>
    </comment>
    <comment ref="E88" authorId="0" shapeId="0">
      <text>
        <t>Первый сравниваемый регистр x31 = t6</t>
      </text>
    </comment>
    <comment ref="F88" authorId="0" shapeId="0">
      <text>
        <t>000=BEQ, 001=BNE</t>
      </text>
    </comment>
    <comment ref="G88" authorId="0" shapeId="0">
      <text>
        <t>Младшая группа байтового смещения; bit0=0</t>
      </text>
    </comment>
    <comment ref="H88" authorId="0" shapeId="0">
      <text>
        <t>Переставленный бит смещения</t>
      </text>
    </comment>
    <comment ref="I88" authorId="0" shapeId="0">
      <text>
        <t>1100011: BRANCH</t>
      </text>
    </comment>
    <comment ref="B89" authorId="0" shapeId="0">
      <text>
        <t>Знаковый бит ветвления</t>
      </text>
    </comment>
    <comment ref="C89" authorId="0" shapeId="0">
      <text>
        <t>Старшие биты смещения</t>
      </text>
    </comment>
    <comment ref="D89" authorId="0" shapeId="0">
      <text>
        <t>Второй сравниваемый регистр x29 = t4</t>
      </text>
    </comment>
    <comment ref="E89" authorId="0" shapeId="0">
      <text>
        <t>Первый сравниваемый регистр x31 = t6</t>
      </text>
    </comment>
    <comment ref="F89" authorId="0" shapeId="0">
      <text>
        <t>000=BEQ, 001=BNE</t>
      </text>
    </comment>
    <comment ref="G89" authorId="0" shapeId="0">
      <text>
        <t>Младшая группа байтового смещения; bit0=0</t>
      </text>
    </comment>
    <comment ref="H89" authorId="0" shapeId="0">
      <text>
        <t>Переставленный бит смещения</t>
      </text>
    </comment>
    <comment ref="I89" authorId="0" shapeId="0">
      <text>
        <t>1100011: BRANCH</t>
      </text>
    </comment>
    <comment ref="B98" authorId="0" shapeId="0">
      <text>
        <t>0000000 — логический сдвиг вправо</t>
      </text>
    </comment>
    <comment ref="C98" authorId="0" shapeId="0">
      <text>
        <t>Сдвиг на 28 разрядов</t>
      </text>
    </comment>
    <comment ref="D98" authorId="0" shapeId="0">
      <text>
        <t>Источник x10 = a0</t>
      </text>
    </comment>
    <comment ref="E98" authorId="0" shapeId="0">
      <text>
        <t>101: сдвиг вправо</t>
      </text>
    </comment>
    <comment ref="F98" authorId="0" shapeId="0">
      <text>
        <t>Приёмник x6 = t1</t>
      </text>
    </comment>
    <comment ref="G98" authorId="0" shapeId="0">
      <text>
        <t>0010011: OP-IMM</t>
      </text>
    </comment>
    <comment ref="B99" authorId="0" shapeId="0">
      <text>
        <t>0000000 — логический сдвиг вправо</t>
      </text>
    </comment>
    <comment ref="C99" authorId="0" shapeId="0">
      <text>
        <t>Сдвиг на 28 разрядов</t>
      </text>
    </comment>
    <comment ref="D99" authorId="0" shapeId="0">
      <text>
        <t>Источник x10 = a0</t>
      </text>
    </comment>
    <comment ref="E99" authorId="0" shapeId="0">
      <text>
        <t>101: сдвиг вправо</t>
      </text>
    </comment>
    <comment ref="F99" authorId="0" shapeId="0">
      <text>
        <t>Приёмник x6 = t1</t>
      </text>
    </comment>
    <comment ref="G99" authorId="0" shapeId="0">
      <text>
        <t>0010011: OP-IMM</t>
      </text>
    </comment>
    <comment ref="B100" authorId="0" shapeId="0">
      <text>
        <t>0000000 — логический сдвиг вправо</t>
      </text>
    </comment>
    <comment ref="C100" authorId="0" shapeId="0">
      <text>
        <t>Сдвиг на 28 разрядов</t>
      </text>
    </comment>
    <comment ref="D100" authorId="0" shapeId="0">
      <text>
        <t>Источник x10 = a0</t>
      </text>
    </comment>
    <comment ref="E100" authorId="0" shapeId="0">
      <text>
        <t>101: сдвиг вправо</t>
      </text>
    </comment>
    <comment ref="F100" authorId="0" shapeId="0">
      <text>
        <t>Приёмник x6 = t1</t>
      </text>
    </comment>
    <comment ref="G100" authorId="0" shapeId="0">
      <text>
        <t>0010011: OP-IMM</t>
      </text>
    </comment>
    <comment ref="B109" authorId="0" shapeId="0">
      <text>
        <t>12-битное знаковое смещение</t>
      </text>
    </comment>
    <comment ref="C109" authorId="0" shapeId="0">
      <text>
        <t>Базовый регистр перехода x23 = s7</t>
      </text>
    </comment>
    <comment ref="D109" authorId="0" shapeId="0">
      <text>
        <t>000: JALR</t>
      </text>
    </comment>
    <comment ref="E109" authorId="0" shapeId="0">
      <text>
        <t>Приёмник адреса возврата x0 = zero</t>
      </text>
    </comment>
    <comment ref="F109" authorId="0" shapeId="0">
      <text>
        <t>1100111: JALR</t>
      </text>
    </comment>
    <comment ref="B110" authorId="0" shapeId="0">
      <text>
        <t>12-битное знаковое смещение</t>
      </text>
    </comment>
    <comment ref="C110" authorId="0" shapeId="0">
      <text>
        <t>Базовый регистр перехода x23 = s7</t>
      </text>
    </comment>
    <comment ref="D110" authorId="0" shapeId="0">
      <text>
        <t>000: JALR</t>
      </text>
    </comment>
    <comment ref="E110" authorId="0" shapeId="0">
      <text>
        <t>Приёмник адреса возврата x0 = zero</t>
      </text>
    </comment>
    <comment ref="F110" authorId="0" shapeId="0">
      <text>
        <t>1100111: JALR</t>
      </text>
    </comment>
    <comment ref="B111" authorId="0" shapeId="0">
      <text>
        <t>12-битное знаковое смещение</t>
      </text>
    </comment>
    <comment ref="C111" authorId="0" shapeId="0">
      <text>
        <t>Базовый регистр перехода x23 = s7</t>
      </text>
    </comment>
    <comment ref="D111" authorId="0" shapeId="0">
      <text>
        <t>000: JALR</t>
      </text>
    </comment>
    <comment ref="E111" authorId="0" shapeId="0">
      <text>
        <t>Приёмник адреса возврата x0 = zero</t>
      </text>
    </comment>
    <comment ref="F111" authorId="0" shapeId="0">
      <text>
        <t>1100111: JALR</t>
      </text>
    </comment>
  </commentList>
</comments>
</file>

<file path=xl/comments/comment8.xml><?xml version="1.0" encoding="utf-8"?>
<comments xmlns="http://schemas.openxmlformats.org/spreadsheetml/2006/main">
  <authors>
    <author>LAB-03 FPGA Lab</author>
  </authors>
  <commentList>
    <comment ref="D6" authorId="0" shapeId="0">
      <text>
        <t>Номер захвата
Из 12 аппаратных T3-снимков (реальная Tang Nano 9K). Источник — неизменяемый архив LAB03_3_EVIDENCE.zip.</t>
      </text>
    </comment>
    <comment ref="I6" authorId="0" shapeId="0">
      <text>
        <t>Номер события в Excel
Номер строки в трассе начинается с 1. Для сравнения исходное поле T3 INDEX начинается с 0. Можно выбирать 1...29; за пределом данного захвата данные будут пустыми.</t>
      </text>
    </comment>
    <comment ref="I12" authorId="0" shapeId="0">
      <text>
        <t>Cycle counter
16-битный относительный номер такта от триггера UART. Не означет архитектурное завершение инструкции.</t>
      </text>
    </comment>
    <comment ref="D13" authorId="0" shapeId="0">
      <text>
        <t>PC или адрес MMIO
Для FETCH поле означает PC выборки инструкции. Для LED_WRITE — адрес периферийного регистра, не PC.</t>
      </text>
    </comment>
    <comment ref="I13" authorId="0" shapeId="0">
      <text>
        <t>Машинное слово или данные
В строке FETCH это код инструкции; в LED_WRITE — данные, записанные в GPIO.</t>
      </text>
    </comment>
    <comment ref="D15" authorId="0" shapeId="0">
      <text>
        <t>RISC-V дизассемблирование
Декодировано из машинного слова зафиксированного ROM по базовой ISA RV32I.</t>
      </text>
    </comment>
  </commentList>
</comments>
</file>

<file path=xl/comments/comment9.xml><?xml version="1.0" encoding="utf-8"?>
<comments xmlns="http://schemas.openxmlformats.org/spreadsheetml/2006/main">
  <authors>
    <author>LAB-03 FPGA Lab</author>
  </authors>
  <commentList>
    <comment ref="D8" authorId="0" shapeId="0">
      <text>
        <t>ASCII-команда UART
В приложение передаётся символ цифры: 0 выключает все LED, 1...6 включают одну лампу. Это НЕ ассемблерная инструкция!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20</row>
      <rowOff>0</rowOff>
    </from>
    <ext cx="86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056;&#1040;&#1047;&#1041;&#1054;&#1056; RV32I'!A1" TargetMode="External" Id="rId1"/><Relationship Type="http://schemas.openxmlformats.org/officeDocument/2006/relationships/hyperlink" Target="#'10 &#1050;&#1040;&#1056;&#1058;&#1054;&#1063;&#1045;&#1050;'!A1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#'&#1056;&#1040;&#1047;&#1041;&#1054;&#1056; RV32I'!A1" TargetMode="External" Id="rId1"/><Relationship Type="http://schemas.openxmlformats.org/officeDocument/2006/relationships/hyperlink" Target="#'10 &#1050;&#1040;&#1056;&#1058;&#1054;&#1063;&#1045;&#1050;'!A1" TargetMode="Externa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#'&#1056;&#1040;&#1047;&#1041;&#1054;&#1056; RV32I'!A1" TargetMode="External" Id="rId1"/><Relationship Type="http://schemas.openxmlformats.org/officeDocument/2006/relationships/hyperlink" Target="#'10 &#1050;&#1040;&#1056;&#1058;&#1054;&#1063;&#1045;&#1050;'!A1" TargetMode="Externa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#'&#1056;&#1040;&#1047;&#1041;&#1054;&#1056; RV32I'!A1" TargetMode="External" Id="rId1"/><Relationship Type="http://schemas.openxmlformats.org/officeDocument/2006/relationships/hyperlink" Target="#'10 &#1050;&#1040;&#1056;&#1058;&#1054;&#1063;&#1045;&#1050;'!A1" TargetMode="External" Id="rId2"/><Relationship Type="http://schemas.openxmlformats.org/officeDocument/2006/relationships/drawing" Target="/xl/drawings/drawing1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#'&#1056;&#1040;&#1047;&#1041;&#1054;&#1056; RV32I'!A1" TargetMode="External" Id="rId1"/><Relationship Type="http://schemas.openxmlformats.org/officeDocument/2006/relationships/hyperlink" Target="#'10 &#1050;&#1040;&#1056;&#1058;&#1054;&#1063;&#1045;&#1050;'!A1" TargetMode="External" Id="rId2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&#1048;&#1053;&#1057;&#1058;&#1056;&#1059;&#1050;&#1062;&#1048;&#1071;'!A1" TargetMode="External" Id="rId1"/><Relationship Type="http://schemas.openxmlformats.org/officeDocument/2006/relationships/hyperlink" Target="#'&#1055;&#1059;&#1051;&#1068;&#1058;'!A1" TargetMode="External" Id="rId2"/><Relationship Type="http://schemas.openxmlformats.org/officeDocument/2006/relationships/hyperlink" Target="#'&#1057;&#1056;&#1040;&#1042;&#1053;&#1045;&#1053;&#1048;&#1045;'!A1" TargetMode="External" Id="rId3"/><Relationship Type="http://schemas.openxmlformats.org/officeDocument/2006/relationships/hyperlink" Target="#'&#1052;&#1054;&#1044;&#1045;&#1051;&#1068; MMIO'!A1" TargetMode="External" Id="rId4"/><Relationship Type="http://schemas.openxmlformats.org/officeDocument/2006/relationships/hyperlink" Target="#'&#1050;&#1054;&#1052;&#1040;&#1053;&#1044;&#1067;'!A1" TargetMode="External" Id="rId5"/><Relationship Type="http://schemas.openxmlformats.org/officeDocument/2006/relationships/hyperlink" Target="#'&#1047;&#1040;&#1061;&#1042;&#1040;&#1058;&#1067;'!A1" TargetMode="External" Id="rId6"/><Relationship Type="http://schemas.openxmlformats.org/officeDocument/2006/relationships/hyperlink" Target="#'&#1044;&#1040;&#1053;&#1053;&#1067;&#1045; T3'!A1" TargetMode="External" Id="rId7"/><Relationship Type="http://schemas.openxmlformats.org/officeDocument/2006/relationships/hyperlink" Target="#'ROM LAB03'!A1" TargetMode="External" Id="rId8"/><Relationship Type="http://schemas.openxmlformats.org/officeDocument/2006/relationships/hyperlink" Target="#'&#1057;&#1051;&#1054;&#1042;&#1040;&#1056;&#1068;'!A1" TargetMode="External" Id="rId9"/><Relationship Type="http://schemas.openxmlformats.org/officeDocument/2006/relationships/hyperlink" Target="#'&#1048;&#1057;&#1058;&#1054;&#1063;&#1053;&#1048;&#1050;&#1048;'!A1" TargetMode="External" Id="rId10"/><Relationship Type="http://schemas.openxmlformats.org/officeDocument/2006/relationships/hyperlink" Target="#'&#1056;&#1040;&#1047;&#1041;&#1054;&#1056; RV32I'!A1" TargetMode="External" Id="rId11"/><Relationship Type="http://schemas.openxmlformats.org/officeDocument/2006/relationships/hyperlink" Target="#'10 &#1050;&#1040;&#1056;&#1058;&#1054;&#1063;&#1045;&#1050;'!A1" TargetMode="External" Id="rId12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#'&#1048;&#1053;&#1057;&#1058;&#1056;&#1059;&#1050;&#1062;&#1048;&#1071;'!A1" TargetMode="External" Id="rId1"/><Relationship Type="http://schemas.openxmlformats.org/officeDocument/2006/relationships/hyperlink" Target="#'&#1055;&#1059;&#1051;&#1068;&#1058;'!A1" TargetMode="External" Id="rId2"/><Relationship Type="http://schemas.openxmlformats.org/officeDocument/2006/relationships/hyperlink" Target="#'&#1057;&#1056;&#1040;&#1042;&#1053;&#1045;&#1053;&#1048;&#1045;'!A1" TargetMode="External" Id="rId3"/><Relationship Type="http://schemas.openxmlformats.org/officeDocument/2006/relationships/hyperlink" Target="#'&#1052;&#1054;&#1044;&#1045;&#1051;&#1068; MMIO'!A1" TargetMode="External" Id="rId4"/><Relationship Type="http://schemas.openxmlformats.org/officeDocument/2006/relationships/hyperlink" Target="#'&#1050;&#1054;&#1052;&#1040;&#1053;&#1044;&#1067;'!A1" TargetMode="External" Id="rId5"/><Relationship Type="http://schemas.openxmlformats.org/officeDocument/2006/relationships/hyperlink" Target="#'&#1047;&#1040;&#1061;&#1042;&#1040;&#1058;&#1067;'!A1" TargetMode="External" Id="rId6"/><Relationship Type="http://schemas.openxmlformats.org/officeDocument/2006/relationships/hyperlink" Target="#'&#1044;&#1040;&#1053;&#1053;&#1067;&#1045; T3'!A1" TargetMode="External" Id="rId7"/><Relationship Type="http://schemas.openxmlformats.org/officeDocument/2006/relationships/hyperlink" Target="#'ROM LAB03'!A1" TargetMode="External" Id="rId8"/><Relationship Type="http://schemas.openxmlformats.org/officeDocument/2006/relationships/hyperlink" Target="#'&#1057;&#1051;&#1054;&#1042;&#1040;&#1056;&#1068;'!A1" TargetMode="External" Id="rId9"/><Relationship Type="http://schemas.openxmlformats.org/officeDocument/2006/relationships/hyperlink" Target="#'&#1048;&#1057;&#1058;&#1054;&#1063;&#1053;&#1048;&#1050;&#1048;'!A1" TargetMode="External" Id="rId10"/><Relationship Type="http://schemas.openxmlformats.org/officeDocument/2006/relationships/hyperlink" Target="#'&#1056;&#1040;&#1047;&#1041;&#1054;&#1056; RV32I'!A1" TargetMode="External" Id="rId11"/><Relationship Type="http://schemas.openxmlformats.org/officeDocument/2006/relationships/hyperlink" Target="#'10 &#1050;&#1040;&#1056;&#1058;&#1054;&#1063;&#1045;&#1050;'!A1" TargetMode="External" Id="rId12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hyperlink" Target="#'&#1048;&#1053;&#1057;&#1058;&#1056;&#1059;&#1050;&#1062;&#1048;&#1071;'!A1" TargetMode="External" Id="rId1"/><Relationship Type="http://schemas.openxmlformats.org/officeDocument/2006/relationships/hyperlink" Target="#'&#1055;&#1059;&#1051;&#1068;&#1058;'!A1" TargetMode="External" Id="rId2"/><Relationship Type="http://schemas.openxmlformats.org/officeDocument/2006/relationships/hyperlink" Target="#'&#1057;&#1056;&#1040;&#1042;&#1053;&#1045;&#1053;&#1048;&#1045;'!A1" TargetMode="External" Id="rId3"/><Relationship Type="http://schemas.openxmlformats.org/officeDocument/2006/relationships/hyperlink" Target="#'&#1052;&#1054;&#1044;&#1045;&#1051;&#1068; MMIO'!A1" TargetMode="External" Id="rId4"/><Relationship Type="http://schemas.openxmlformats.org/officeDocument/2006/relationships/hyperlink" Target="#'&#1050;&#1054;&#1052;&#1040;&#1053;&#1044;&#1067;'!A1" TargetMode="External" Id="rId5"/><Relationship Type="http://schemas.openxmlformats.org/officeDocument/2006/relationships/hyperlink" Target="#'&#1047;&#1040;&#1061;&#1042;&#1040;&#1058;&#1067;'!A1" TargetMode="External" Id="rId6"/><Relationship Type="http://schemas.openxmlformats.org/officeDocument/2006/relationships/hyperlink" Target="#'&#1044;&#1040;&#1053;&#1053;&#1067;&#1045; T3'!A1" TargetMode="External" Id="rId7"/><Relationship Type="http://schemas.openxmlformats.org/officeDocument/2006/relationships/hyperlink" Target="#'ROM LAB03'!A1" TargetMode="External" Id="rId8"/><Relationship Type="http://schemas.openxmlformats.org/officeDocument/2006/relationships/hyperlink" Target="#'&#1057;&#1051;&#1054;&#1042;&#1040;&#1056;&#1068;'!A1" TargetMode="External" Id="rId9"/><Relationship Type="http://schemas.openxmlformats.org/officeDocument/2006/relationships/hyperlink" Target="#'&#1048;&#1057;&#1058;&#1054;&#1063;&#1053;&#1048;&#1050;&#1048;'!A1" TargetMode="External" Id="rId10"/><Relationship Type="http://schemas.openxmlformats.org/officeDocument/2006/relationships/hyperlink" Target="#'&#1056;&#1040;&#1047;&#1041;&#1054;&#1056; RV32I'!A1" TargetMode="External" Id="rId11"/><Relationship Type="http://schemas.openxmlformats.org/officeDocument/2006/relationships/hyperlink" Target="#'10 &#1050;&#1040;&#1056;&#1058;&#1054;&#1063;&#1045;&#1050;'!A1" TargetMode="External" Id="rId12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hyperlink" Target="#'&#1056;&#1040;&#1047;&#1041;&#1054;&#1056; RV32I'!A1" TargetMode="External" Id="rId1"/><Relationship Type="http://schemas.openxmlformats.org/officeDocument/2006/relationships/hyperlink" Target="#'10 &#1050;&#1040;&#1056;&#1058;&#1054;&#1063;&#1045;&#1050;'!A1" TargetMode="External" Id="rId2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hyperlink" Target="#'&#1056;&#1040;&#1047;&#1041;&#1054;&#1056; RV32I'!A1" TargetMode="External" Id="rId1"/><Relationship Type="http://schemas.openxmlformats.org/officeDocument/2006/relationships/hyperlink" Target="#'10 &#1050;&#1040;&#1056;&#1058;&#1054;&#1063;&#1045;&#1050;'!A1" TargetMode="External" Id="rId2"/></Relationships>
</file>

<file path=xl/worksheets/_rels/sheet11.xml.rels><Relationships xmlns="http://schemas.openxmlformats.org/package/2006/relationships"><Relationship Type="http://schemas.openxmlformats.org/officeDocument/2006/relationships/hyperlink" Target="#'&#1056;&#1040;&#1047;&#1041;&#1054;&#1056; RV32I'!A1" TargetMode="External" Id="rId1"/><Relationship Type="http://schemas.openxmlformats.org/officeDocument/2006/relationships/hyperlink" Target="#'10 &#1050;&#1040;&#1056;&#1058;&#1054;&#1063;&#1045;&#1050;'!A1" TargetMode="External" Id="rId2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2.xml.rels><Relationships xmlns="http://schemas.openxmlformats.org/package/2006/relationships"><Relationship Type="http://schemas.openxmlformats.org/officeDocument/2006/relationships/hyperlink" Target="#'&#1056;&#1040;&#1047;&#1041;&#1054;&#1056; RV32I'!A1" TargetMode="External" Id="rId1"/><Relationship Type="http://schemas.openxmlformats.org/officeDocument/2006/relationships/hyperlink" Target="#'10 &#1050;&#1040;&#1056;&#1058;&#1054;&#1063;&#1045;&#1050;'!A1" TargetMode="External" Id="rId2"/></Relationships>
</file>

<file path=xl/worksheets/_rels/sheet13.xml.rels><Relationships xmlns="http://schemas.openxmlformats.org/package/2006/relationships"><Relationship Type="http://schemas.openxmlformats.org/officeDocument/2006/relationships/hyperlink" Target="#'&#1056;&#1040;&#1047;&#1041;&#1054;&#1056; RV32I'!A1" TargetMode="External" Id="rId1"/><Relationship Type="http://schemas.openxmlformats.org/officeDocument/2006/relationships/hyperlink" Target="#'10 &#1050;&#1040;&#1056;&#1058;&#1054;&#1063;&#1045;&#1050;'!A1" TargetMode="External" Id="rId2"/><Relationship Type="http://schemas.openxmlformats.org/officeDocument/2006/relationships/hyperlink" Target="https://github.com/AIDevelopersMonster/Sipeed-FPGA" TargetMode="External" Id="rId3"/><Relationship Type="http://schemas.openxmlformats.org/officeDocument/2006/relationships/hyperlink" Target="https://github.com/AIDevelopersMonster/Sipeed-FPGA/tree/feature/picorv32-lab03-uart-trace" TargetMode="External" Id="rId4"/><Relationship Type="http://schemas.openxmlformats.org/officeDocument/2006/relationships/hyperlink" Target="https://github.com/AIDevelopersMonster/Sipeed-FPGA/tree/feature/picorv32-lab03-uart-trace/docs/lab03/observatory" TargetMode="External" Id="rId5"/><Relationship Type="http://schemas.openxmlformats.org/officeDocument/2006/relationships/hyperlink" Target="https://github.com/AIDevelopersMonster/Sipeed-FPGA/tree/feature/picorv32-lab03-uart-trace/docs/lab03/observatory/methodics/ISA_REAL_DATA_RU.md" TargetMode="External" Id="rId6"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>
    <ns0:tabColor rgb="00007C91"/>
    <ns0:outlinePr summaryBelow="1" summaryRight="1"/>
    <ns0:pageSetUpPr fitToPage="1"/>
  </ns0:sheetPr>
  <ns0:dimension ref="A1:N29"/>
  <ns0:sheetViews>
    <ns0:sheetView showGridLines="0" zoomScale="90" workbookViewId="0">
      <ns0:selection activeCell="A1" sqref="A1"/>
    </ns0:sheetView>
  </ns0:sheetViews>
  <ns0:sheetFormatPr baseColWidth="8" defaultRowHeight="19"/>
  <ns0:cols>
    <ns0:col width="4" customWidth="1" min="1" max="1"/>
    <ns0:col width="18" customWidth="1" min="2" max="2"/>
    <ns0:col width="18" customWidth="1" min="3" max="3"/>
    <ns0:col width="18" customWidth="1" min="4" max="4"/>
    <ns0:col width="18" customWidth="1" min="5" max="5"/>
    <ns0:col width="18" customWidth="1" min="6" max="6"/>
    <ns0:col width="18" customWidth="1" min="7" max="7"/>
    <ns0:col width="18" customWidth="1" min="8" max="8"/>
    <ns0:col width="18" customWidth="1" min="9" max="9"/>
    <ns0:col width="18" customWidth="1" min="10" max="10"/>
    <ns0:col width="15" customWidth="1" min="11" max="11"/>
    <ns0:col width="15" customWidth="1" min="12" max="12"/>
    <ns0:col width="12" customWidth="1" min="13" max="13"/>
    <ns0:col width="12" customWidth="1" min="14" max="14"/>
  </ns0:cols>
  <ns0:sheetData>
    <ns0:row r="1" ht="26" customHeight="1">
      <ns0:c r="A1" s="1" t="inlineStr">
        <ns0:is>
          <ns0:t>LAB-03  /  RISC-V ПОД МИКРОСКОПОМ</ns0:t>
        </ns0:is>
      </ns0:c>
    </ns0:row>
    <ns0:row r="2" ht="20" customHeight="1"/>
    <ns0:row r="3" ht="29" customHeight="1">
      <ns0:c r="A3" s="3" t="inlineStr">
        <ns0:is>
          <ns0:t>Excel Observatory • PicoRV32 / Tang Nano 9K • 12 настоящих T3-снимков • RV32I</ns0:t>
        </ns0:is>
      </ns0:c>
    </ns0:row>
    <ns0:row r="4" ht="26" customHeight="1">
      <ns0:c r="A4" s="4" t="inlineStr">
        <ns0:is>
          <ns0:t>СТАРТ</ns0:t>
        </ns0:is>
      </ns0:c>
      <ns0:c r="B4" s="5" t="inlineStr">
        <ns0:is>
          <ns0:t>НАБЛЮДЕНИЕ</ns0:t>
        </ns0:is>
      </ns0:c>
      <ns0:c r="C4" s="5" t="inlineStr">
        <ns0:is>
          <ns0:t>СРАВНЕНИЕ</ns0:t>
        </ns0:is>
      </ns0:c>
      <ns0:c r="D4" s="5" t="inlineStr">
        <ns0:is>
          <ns0:t>LED / MMIO</ns0:t>
        </ns0:is>
      </ns0:c>
      <ns0:c r="E4" s="5" t="inlineStr">
        <ns0:is>
          <ns0:t>КОМАНДЫ</ns0:t>
        </ns0:is>
      </ns0:c>
      <ns0:c r="F4" s="5" t="inlineStr">
        <ns0:is>
          <ns0:t>12 ТРАСС</ns0:t>
        </ns0:is>
      </ns0:c>
      <ns0:c r="G4" s="5" t="inlineStr">
        <ns0:is>
          <ns0:t>RAW T3</ns0:t>
        </ns0:is>
      </ns0:c>
      <ns0:c r="H4" s="5" t="inlineStr">
        <ns0:is>
          <ns0:t>ROM</ns0:t>
        </ns0:is>
      </ns0:c>
      <ns0:c r="I4" s="5" t="inlineStr">
        <ns0:is>
          <ns0:t>ТЕРМИНЫ</ns0:t>
        </ns0:is>
      </ns0:c>
      <ns0:c r="J4" s="5" t="inlineStr">
        <ns0:is>
          <ns0:t>ПРОИСХОЖДЕНИЕ</ns0:t>
        </ns0:is>
      </ns0:c>
      <ns0:c r="K4" s="59" t="inlineStr">
        <ns0:is>
          <ns0:t>БИТЫ 202</ns0:t>
        </ns0:is>
      </ns0:c>
      <ns0:c r="L4" s="59" t="inlineStr">
        <ns0:is>
          <ns0:t>10 КАРТОЧЕК</ns0:t>
        </ns0:is>
      </ns0:c>
    </ns0:row>
    <ns0:row r="6" ht="25" customHeight="1">
      <ns0:c r="A6" s="6" t="inlineStr">
        <ns0:is>
          <ns0:t>КАК РАБОТАЕТ ДЕМОНСТРАЦИОННАЯ МОДЕЛЬ</ns0:t>
        </ns0:is>
      </ns0:c>
    </ns0:row>
    <ns0:row r="8" ht="54" customHeight="1">
      <ns0:c r="B8" s="8" t="inlineStr">
        <ns0:is>
          <ns0:t>01 · НАБЛЮДЕНИЕ</ns0:t>
        </ns0:is>
      </ns0:c>
      <ns0:c r="E8" s="9" t="inlineStr">
        <ns0:is>
          <ns0:t>Откройте «ПУЛЬТ». Желтые ячейки D6 и I6 — выбираются номер аппаратной трассы и номер события. Пошагово исследуйте FETCH и финальную запись LED_WRITE.</ns0:t>
        </ns0:is>
      </ns0:c>
    </ns0:row>
    <ns0:row r="9" ht="54" customHeight="1">
      <ns0:c r="B9" s="8" t="inlineStr">
        <ns0:is>
          <ns0:t>02 · ПОВТОРЯЕМОСТЬ</ns0:t>
        </ns0:is>
      </ns0:c>
      <ns0:c r="E9" s="9" t="inlineStr">
        <ns0:is>
          <ns0:t>Откройте «ЗАХВАТЫ» и график 12 запусков. Для одной и той же UART-команды число FETCH может изменяться из-за ожидания байта.</ns0:t>
        </ns0:is>
      </ns0:c>
    </ns0:row>
    <ns0:row r="10" ht="54" customHeight="1">
      <ns0:c r="B10" s="8" t="inlineStr">
        <ns0:is>
          <ns0:t>03 · СОПОСТАВЛЕНИЕ</ns0:t>
        </ns0:is>
      </ns0:c>
      <ns0:c r="E10" s="9" t="inlineStr">
        <ns0:is>
          <ns0:t>Откройте «СРАВНЕНИЕ». Исходно выбраны захваты 03 и 05 команды 4: 24 против 28 FETCH, но нормализованный CORE совпадает.</ns0:t>
        </ns0:is>
      </ns0:c>
    </ns0:row>
    <ns0:row r="11" ht="54" customHeight="1">
      <ns0:c r="B11" s="8" t="inlineStr">
        <ns0:is>
          <ns0:t>04 · КОМАНДЫ RV32I</ns0:t>
        </ns0:is>
      </ns0:c>
      <ns0:c r="E11" s="9" t="inlineStr">
        <ns0:is>
          <ns0:t>Откройте «КОМАНДЫ», найдите sw, а затем «ROM LAB03». Все примеры взяты из нашего ROM и аппаратных FETCH, а не придуманы.</ns0:t>
        </ns0:is>
      </ns0:c>
    </ns0:row>
    <ns0:row r="12" ht="54" customHeight="1">
      <ns0:c r="B12" s="8" t="inlineStr">
        <ns0:is>
          <ns0:t>05 · МОДЕЛЬ MMIO</ns0:t>
        </ns0:is>
      </ns0:c>
      <ns0:c r="E12" s="9" t="inlineStr">
        <ns0:is>
          <ns0:t>Откройте «МОДЕЛЬ MMIO»: выбирайте 0…6 и наблюдайте вычисляемую маску GPIO при НЕИЗМЕННОМ машинном коде sw.</ns0:t>
        </ns0:is>
      </ns0:c>
    </ns0:row>
    <ns0:row r="13" ht="54" customHeight="1">
      <ns0:c r="B13" s="8" t="inlineStr">
        <ns0:is>
          <ns0:t>06 · ПРОИСХОЖДЕНИЕ</ns0:t>
        </ns0:is>
      </ns0:c>
      <ns0:c r="E13" s="9" t="inlineStr">
        <ns0:is>
          <ns0:t>Трассы импортированы из проверенного архивного ZIP. Лист «ИСТОЧНИКИ» содержит хеши, ссылки и ограничения доказательства.</ns0:t>
        </ns0:is>
      </ns0:c>
    </ns0:row>
    <ns0:row r="14" ht="37" customHeight="1">
      <ns0:c r="B14" s="53" t="inlineStr">
        <ns0:is>
          <ns0:t>07 · БИТОВЫЙ ДЕКОДЕР</ns0:t>
        </ns0:is>
      </ns0:c>
      <ns0:c r="E14" s="60" t="inlineStr">
        <ns0:is>
          <ns0:t>Новый лист «РАЗБОР RV32I»: источник ТРАССА автоматически повторяет FETCH из ПУЛЬТА. В режиме РОМ индекс 1…202 выбирает любое рабочее слово.</ns0:t>
        </ns0:is>
      </ns0:c>
    </ns0:row>
    <ns0:row r="15" ht="37" customHeight="1">
      <ns0:c r="B15" s="53" t="inlineStr">
        <ns0:is>
          <ns0:t>08 · КАРТОЧКИ</ns0:t>
        </ns0:is>
      </ns0:c>
      <ns0:c r="E15" s="60" t="inlineStr">
        <ns0:is>
          <ns0:t>Лист «10 КАРТОЧЕК» подробно показывает битовые поля каждого типа команды на настоящем машинном слове; «КАТАЛОГ БИТОВ» раскрывает все 202 адреса.</ns0:t>
        </ns0:is>
      </ns0:c>
    </ns0:row>
    <ns0:row r="16" ht="25" customHeight="1">
      <ns0:c r="A16" s="6" t="inlineStr">
        <ns0:is>
          <ns0:t>ТРЁХМИНУТНЫЙ ВИДЕОЭКСПЕРИМЕНТ</ns0:t>
        </ns0:is>
      </ns0:c>
    </ns0:row>
    <ns0:row r="18" ht="36" customHeight="1">
      <ns0:c r="B18" s="10" t="inlineStr">
        <ns0:is>
          <ns0:t>1. На «ПУЛЬТ» выберите захват 05, событие 27: PC=0x00000100, WORD=0x01D2A023, sw t4,0(t0).</ns0:t>
        </ns0:is>
      </ns0:c>
    </ns0:row>
    <ns0:row r="19" ht="36" customHeight="1">
      <ns0:c r="B19" s="10" t="inlineStr">
        <ns0:is>
          <ns0:t>2. Измените номер события на 28: fetch инструкции lw t6,0(t0). Затем 29: LED_WRITE по 0x20000000 со значением 0x00000008.</ns0:t>
        </ns0:is>
      </ns0:c>
    </ns0:row>
    <ns0:row r="20" ht="36" customHeight="1">
      <ns0:c r="B20" s="10" t="inlineStr">
        <ns0:is>
          <ns0:t>3. На «СРАВНЕНИЕ» убедитесь: захваты 03 и 05 различаются 24/28 FETCH, но совпадают по 23 событиям от PC=0x048 до LED_WRITE.</ns0:t>
        </ns0:is>
      </ns0:c>
    </ns0:row>
    <ns0:row r="21" ht="36" customHeight="1">
      <ns0:c r="B21" s="10" t="inlineStr">
        <ns0:is>
          <ns0:t>4. На «МОДЕЛЬ MMIO» замените команду 4 на 5: маска станет 0x10, а машинное слово sw останется 0x01D2A023.</ns0:t>
        </ns0:is>
      </ns0:c>
    </ns0:row>
    <ns0:row r="24" ht="30" customHeight="1">
      <ns0:c r="B24" s="11" t="inlineStr">
        <ns0:is>
          <ns0:t>ВАЖНО: Excel — офлайн-проигрыватель реальных сохранённых шинных событий. Он НЕ соединяется с COM, НЕ программирует FPGA, НЕ измеряет исполнение в реальном времени. FETCH ≠ retirement; модель MMIO ≠ аппаратное измерение.</ns0:t>
        </ns0:is>
      </ns0:c>
    </ns0:row>
    <ns0:row r="25" ht="30" customHeight="1"/>
    <ns0:row r="28">
      <ns0:c r="B28" s="12" t="inlineStr">
        <ns0:is>
          <ns0:t>Исходник: https://github.com/AIDevelopersMonster/Sipeed-FPGA/tree/feature/picorv32-lab03-uart-trace/docs/lab03/observatory
ROM SHA-256: 14b85bc20ce43cdf4ce09ef1db7a20af5677c1c728c64b71258f6c63ab5b8a3d</ns0:t>
        </ns0:is>
      </ns0:c>
    </ns0:row>
    <ns0:row r="29"/>
  </ns0:sheetData>
  <ns0:mergeCells count="22">
    <ns0:mergeCell ref="B11:D11"/>
    <ns0:mergeCell ref="E10:M10"/>
    <ns0:mergeCell ref="B8:D8"/>
    <ns0:mergeCell ref="E13:M13"/>
    <ns0:mergeCell ref="B13:D13"/>
    <ns0:mergeCell ref="E9:M9"/>
    <ns0:mergeCell ref="B10:D10"/>
    <ns0:mergeCell ref="A6:N6"/>
    <ns0:mergeCell ref="E11:M11"/>
    <ns0:mergeCell ref="B19:M19"/>
    <ns0:mergeCell ref="A16:N16"/>
    <ns0:mergeCell ref="B9:D9"/>
    <ns0:mergeCell ref="A3:N3"/>
    <ns0:mergeCell ref="B20:M20"/>
    <ns0:mergeCell ref="E12:M12"/>
    <ns0:mergeCell ref="A1:N2"/>
    <ns0:mergeCell ref="B28:M29"/>
    <ns0:mergeCell ref="B24:M25"/>
    <ns0:mergeCell ref="E8:M8"/>
    <ns0:mergeCell ref="B18:M18"/>
    <ns0:mergeCell ref="B12:D12"/>
    <ns0:mergeCell ref="B21:M21"/>
  </ns0:mergeCells>
  <ns0:hyperlinks>
    <ns0:hyperlink ref="A4" location="'ИНСТРУКЦИЯ'!A1" display="СТАРТ"/>
    <ns0:hyperlink ref="B4" location="'ПУЛЬТ'!A1" display="НАБЛЮДЕНИЕ"/>
    <ns0:hyperlink ref="C4" location="'СРАВНЕНИЕ'!A1" display="СРАВНЕНИЕ"/>
    <ns0:hyperlink ref="D4" location="'МОДЕЛЬ MMIO'!A1" display="LED / MMIO"/>
    <ns0:hyperlink ref="E4" location="'КОМАНДЫ'!A1" display="КОМАНДЫ"/>
    <ns0:hyperlink ref="F4" location="'ЗАХВАТЫ'!A1" display="12 ТРАСС"/>
    <ns0:hyperlink ref="G4" location="'ДАННЫЕ T3'!A1" display="RAW T3"/>
    <ns0:hyperlink ref="H4" location="'ROM LAB03'!A1" display="ROM"/>
    <ns0:hyperlink ref="I4" location="'СЛОВАРЬ'!A1" display="ТЕРМИНЫ"/>
    <ns0:hyperlink ref="J4" location="'ИСТОЧНИКИ'!A1" display="ПРОИСХОЖДЕНИЕ"/>
    <ns0:hyperlink ref="K4" ns1:id="rId1"/>
    <ns0:hyperlink ref="L4" ns1:id="rId2"/>
  </ns0:hyperlinks>
  <ns0:printOptions horizontalCentered="0" gridLines="0"/>
  <ns0:pageMargins left="0.75" right="0.75" top="1" bottom="1" header="0.5" footer="0.5"/>
  <ns0:pageSetup fitToHeight="0" fitToWidth="1"/>
</ns0:worksheet>
</file>

<file path=xl/worksheets/sheet2.xml><?xml version="1.0" encoding="utf-8"?>
<ns0:worksheet xmlns:ns0="http://schemas.openxmlformats.org/spreadsheetml/2006/main" xmlns:ns1="http://schemas.openxmlformats.org/officeDocument/2006/relationships">
  <ns0:sheetPr>
    <ns0:tabColor rgb="0016744C"/>
    <ns0:outlinePr summaryBelow="1" summaryRight="1"/>
    <ns0:pageSetUpPr fitToPage="1"/>
  </ns0:sheetPr>
  <ns0:dimension ref="A1:Q286"/>
  <ns0:sheetViews>
    <ns0:sheetView showGridLines="0" zoomScale="82" workbookViewId="0">
      <ns0:pane xSplit="5" ySplit="5" topLeftCell="F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9"/>
  <ns0:cols>
    <ns0:col width="8" customWidth="1" min="1" max="1"/>
    <ns0:col width="11" customWidth="1" min="2" max="2"/>
    <ns0:col width="9" customWidth="1" min="3" max="3"/>
    <ns0:col width="11" customWidth="1" min="4" max="4"/>
    <ns0:col width="14" customWidth="1" min="5" max="5"/>
    <ns0:col width="17" customWidth="1" min="6" max="6"/>
    <ns0:col width="17" customWidth="1" min="7" max="7"/>
    <ns0:col width="28" customWidth="1" min="8" max="8"/>
    <ns0:col width="15" customWidth="1" min="9" max="9"/>
    <ns0:col width="13" customWidth="1" min="10" max="10"/>
    <ns0:col width="14" customWidth="1" min="11" max="11"/>
    <ns0:col width="51" customWidth="1" min="12" max="12"/>
    <ns0:col width="29" customWidth="1" min="13" max="13"/>
    <ns0:col width="12" customWidth="1" min="14" max="14"/>
    <ns0:col width="13" customWidth="1" min="15" max="15"/>
    <ns0:col width="13" customWidth="1" min="16" max="16"/>
    <ns0:col width="58" customWidth="1" min="17" max="17"/>
  </ns0:cols>
  <ns0:sheetData>
    <ns0:row r="1" ht="26" customHeight="1">
      <ns0:c r="A1" s="1" t="inlineStr">
        <ns0:is>
          <ns0:t>АППАРАТНЫЕ ДАННЫЕ  /  T3 RAW</ns0:t>
        </ns0:is>
      </ns0:c>
    </ns0:row>
    <ns0:row r="2" ht="20" customHeight="1"/>
    <ns0:row r="3" ht="29" customHeight="1">
      <ns0:c r="A3" s="3" t="inlineStr">
        <ns0:is>
          <ns0:t>281 событий из 12 физических запусков • импорт исходных T3-кадров • не синтетические циклы</ns0:t>
        </ns0:is>
      </ns0:c>
    </ns0:row>
    <ns0:row r="4" ht="26" customHeight="1">
      <ns0:c r="A4" s="5" t="inlineStr">
        <ns0:is>
          <ns0:t>СТАРТ</ns0:t>
        </ns0:is>
      </ns0:c>
      <ns0:c r="B4" s="5" t="inlineStr">
        <ns0:is>
          <ns0:t>НАБЛЮДЕНИЕ</ns0:t>
        </ns0:is>
      </ns0:c>
      <ns0:c r="C4" s="5" t="inlineStr">
        <ns0:is>
          <ns0:t>СРАВНЕНИЕ</ns0:t>
        </ns0:is>
      </ns0:c>
      <ns0:c r="D4" s="5" t="inlineStr">
        <ns0:is>
          <ns0:t>LED / MMIO</ns0:t>
        </ns0:is>
      </ns0:c>
      <ns0:c r="E4" s="5" t="inlineStr">
        <ns0:is>
          <ns0:t>КОМАНДЫ</ns0:t>
        </ns0:is>
      </ns0:c>
      <ns0:c r="F4" s="5" t="inlineStr">
        <ns0:is>
          <ns0:t>12 ТРАСС</ns0:t>
        </ns0:is>
      </ns0:c>
      <ns0:c r="G4" s="4" t="inlineStr">
        <ns0:is>
          <ns0:t>RAW T3</ns0:t>
        </ns0:is>
      </ns0:c>
      <ns0:c r="H4" s="5" t="inlineStr">
        <ns0:is>
          <ns0:t>ROM</ns0:t>
        </ns0:is>
      </ns0:c>
      <ns0:c r="I4" s="5" t="inlineStr">
        <ns0:is>
          <ns0:t>ТЕРМИНЫ</ns0:t>
        </ns0:is>
      </ns0:c>
      <ns0:c r="J4" s="5" t="inlineStr">
        <ns0:is>
          <ns0:t>ПРОИСХОЖДЕНИЕ</ns0:t>
        </ns0:is>
      </ns0:c>
      <ns0:c r="K4" s="59" t="inlineStr">
        <ns0:is>
          <ns0:t>БИТЫ 202</ns0:t>
        </ns0:is>
      </ns0:c>
      <ns0:c r="L4" s="59" t="inlineStr">
        <ns0:is>
          <ns0:t>10 КАРТОЧЕК</ns0:t>
        </ns0:is>
      </ns0:c>
    </ns0:row>
    <ns0:row r="5" ht="35" customHeight="1">
      <ns0:c r="A5" s="13" t="inlineStr">
        <ns0:is>
          <ns0:t>Захват</ns0:t>
        </ns0:is>
      </ns0:c>
      <ns0:c r="B5" s="13" t="inlineStr">
        <ns0:is>
          <ns0:t>UART</ns0:t>
        </ns0:is>
      </ns0:c>
      <ns0:c r="C5" s="13" t="inlineStr">
        <ns0:is>
          <ns0:t>№ (Excel)</ns0:t>
        </ns0:is>
      </ns0:c>
      <ns0:c r="D5" s="13" t="inlineStr">
        <ns0:is>
          <ns0:t>Цикл T3</ns0:t>
        </ns0:is>
      </ns0:c>
      <ns0:c r="E5" s="13" t="inlineStr">
        <ns0:is>
          <ns0:t>Событие</ns0:t>
        </ns0:is>
      </ns0:c>
      <ns0:c r="F5" s="13" t="inlineStr">
        <ns0:is>
          <ns0:t>PC / адрес</ns0:t>
        </ns0:is>
      </ns0:c>
      <ns0:c r="G5" s="13" t="inlineStr">
        <ns0:is>
          <ns0:t>WORD / DATA</ns0:t>
        </ns0:is>
      </ns0:c>
      <ns0:c r="H5" s="13" t="inlineStr">
        <ns0:is>
          <ns0:t>Ассемблер</ns0:t>
        </ns0:is>
      </ns0:c>
      <ns0:c r="I5" s="13" t="inlineStr">
        <ns0:is>
          <ns0:t>Мнемоника</ns0:t>
        </ns0:is>
      </ns0:c>
      <ns0:c r="J5" s="13" t="inlineStr">
        <ns0:is>
          <ns0:t>Участок</ns0:t>
        </ns0:is>
      </ns0:c>
      <ns0:c r="K5" s="13" t="inlineStr">
        <ns0:is>
          <ns0:t>Ключ</ns0:t>
        </ns0:is>
      </ns0:c>
      <ns0:c r="L5" s="13" t="inlineStr">
        <ns0:is>
          <ns0:t>Сигнатура</ns0:t>
        </ns0:is>
      </ns0:c>
      <ns0:c r="M5" s="13" t="inlineStr">
        <ns0:is>
          <ns0:t>MNEM+PC</ns0:t>
        </ns0:is>
      </ns0:c>
      <ns0:c r="N5" s="13" t="inlineStr">
        <ns0:is>
          <ns0:t>1-й PC</ns0:t>
        </ns0:is>
      </ns0:c>
      <ns0:c r="O5" s="13" t="inlineStr">
        <ns0:is>
          <ns0:t>ROM-check</ns0:t>
        </ns0:is>
      </ns0:c>
      <ns0:c r="P5" s="13" t="inlineStr">
        <ns0:is>
          <ns0:t>Префикс</ns0:t>
        </ns0:is>
      </ns0:c>
      <ns0:c r="Q5" s="13" t="inlineStr">
        <ns0:is>
          <ns0:t>Оригинал E:…</ns0:t>
        </ns0:is>
      </ns0:c>
    </ns0:row>
    <ns0:row r="6">
      <ns0:c r="A6" t="n">
        <ns0:v>1</ns0:v>
      </ns0:c>
      <ns0:c r="B6" t="inlineStr">
        <ns0:is>
          <ns0:t>4</ns0:t>
        </ns0:is>
      </ns0:c>
      <ns0:c r="C6" t="n">
        <ns0:v>1</ns0:v>
      </ns0:c>
      <ns0:c r="D6" t="n">
        <ns0:v>1</ns0:v>
      </ns0:c>
      <ns0:c r="E6" s="14" t="inlineStr">
        <ns0:is>
          <ns0:t>FETCH</ns0:t>
        </ns0:is>
      </ns0:c>
      <ns0:c r="F6" s="15" t="inlineStr">
        <ns0:is>
          <ns0:t>0x0000003C</ns0:t>
        </ns0:is>
      </ns0:c>
      <ns0:c r="G6" s="15" t="inlineStr">
        <ns0:is>
          <ns0:t>0x0013F393</ns0:t>
        </ns0:is>
      </ns0:c>
      <ns0:c r="H6" s="15" t="inlineStr">
        <ns0:is>
          <ns0:t>andi t2, t2, 1</ns0:t>
        </ns0:is>
      </ns0:c>
      <ns0:c r="I6" t="inlineStr">
        <ns0:is>
          <ns0:t>andi</ns0:t>
        </ns0:is>
      </ns0:c>
      <ns0:c r="J6" s="16" t="inlineStr">
        <ns0:is>
          <ns0:t>POLL</ns0:t>
        </ns0:is>
      </ns0:c>
      <ns0:c r="K6" s="15" t="n">
        <ns0:v>1001</ns0:v>
      </ns0:c>
      <ns0:c r="L6" t="inlineStr">
        <ns0:is>
          <ns0:t>FETCH|0x0000003C|0x0013F393</ns0:t>
        </ns0:is>
      </ns0:c>
      <ns0:c r="M6" t="inlineStr">
        <ns0:is>
          <ns0:t>andi@0x0000003C</ns0:t>
        </ns0:is>
      </ns0:c>
      <ns0:c r="N6">
        <ns0:f>IF(E6="FETCH",IF(COUNTIF($M$6:M6,M6)=1,1,0),0)</ns0:f>
        <ns0:v>1</ns0:v>
      </ns0:c>
      <ns0:c r="O6" t="inlineStr">
        <ns0:is>
          <ns0:t>ROM OK</ns0:t>
        </ns0:is>
      </ns0:c>
      <ns0:c r="P6">
        <ns0:f>IF(AND(E6="FETCH",F6="0x00000048"),C6-1,0)</ns0:f>
        <ns0:v>0</ns0:v>
      </ns0:c>
      <ns0:c r="Q6" s="15" t="inlineStr">
        <ns0:is>
          <ns0:t>E:00000000:00010001:0000003c:0013f393</ns0:t>
        </ns0:is>
      </ns0:c>
    </ns0:row>
    <ns0:row r="7">
      <ns0:c r="A7" t="n">
        <ns0:v>1</ns0:v>
      </ns0:c>
      <ns0:c r="B7" t="inlineStr">
        <ns0:is>
          <ns0:t>4</ns0:t>
        </ns0:is>
      </ns0:c>
      <ns0:c r="C7" t="n">
        <ns0:v>2</ns0:v>
      </ns0:c>
      <ns0:c r="D7" t="n">
        <ns0:v>8</ns0:v>
      </ns0:c>
      <ns0:c r="E7" s="14" t="inlineStr">
        <ns0:is>
          <ns0:t>FETCH</ns0:t>
        </ns0:is>
      </ns0:c>
      <ns0:c r="F7" s="15" t="inlineStr">
        <ns0:is>
          <ns0:t>0x00000040</ns0:t>
        </ns0:is>
      </ns0:c>
      <ns0:c r="G7" s="15" t="inlineStr">
        <ns0:is>
          <ns0:t>0xFE038CE3</ns0:t>
        </ns0:is>
      </ns0:c>
      <ns0:c r="H7" s="15" t="inlineStr">
        <ns0:is>
          <ns0:t>beq t2, zero, 0x00000038</ns0:t>
        </ns0:is>
      </ns0:c>
      <ns0:c r="I7" t="inlineStr">
        <ns0:is>
          <ns0:t>beq</ns0:t>
        </ns0:is>
      </ns0:c>
      <ns0:c r="J7" s="16" t="inlineStr">
        <ns0:is>
          <ns0:t>POLL</ns0:t>
        </ns0:is>
      </ns0:c>
      <ns0:c r="K7" s="15" t="n">
        <ns0:v>1002</ns0:v>
      </ns0:c>
      <ns0:c r="L7" t="inlineStr">
        <ns0:is>
          <ns0:t>FETCH|0x00000040|0xFE038CE3</ns0:t>
        </ns0:is>
      </ns0:c>
      <ns0:c r="M7" t="inlineStr">
        <ns0:is>
          <ns0:t>beq@0x00000040</ns0:t>
        </ns0:is>
      </ns0:c>
      <ns0:c r="N7">
        <ns0:f>IF(E7="FETCH",IF(COUNTIF($M$6:M7,M7)=1,1,0),0)</ns0:f>
        <ns0:v>1</ns0:v>
      </ns0:c>
      <ns0:c r="O7" t="inlineStr">
        <ns0:is>
          <ns0:t>ROM OK</ns0:t>
        </ns0:is>
      </ns0:c>
      <ns0:c r="P7">
        <ns0:f>IF(AND(E7="FETCH",F7="0x00000048"),C7-1,0)</ns0:f>
        <ns0:v>0</ns0:v>
      </ns0:c>
      <ns0:c r="Q7" s="15" t="inlineStr">
        <ns0:is>
          <ns0:t>E:00000001:00010008:00000040:fe038ce3</ns0:t>
        </ns0:is>
      </ns0:c>
    </ns0:row>
    <ns0:row r="8">
      <ns0:c r="A8" t="n">
        <ns0:v>1</ns0:v>
      </ns0:c>
      <ns0:c r="B8" t="inlineStr">
        <ns0:is>
          <ns0:t>4</ns0:t>
        </ns0:is>
      </ns0:c>
      <ns0:c r="C8" t="n">
        <ns0:v>3</ns0:v>
      </ns0:c>
      <ns0:c r="D8" t="n">
        <ns0:v>12</ns0:v>
      </ns0:c>
      <ns0:c r="E8" s="14" t="inlineStr">
        <ns0:is>
          <ns0:t>FETCH</ns0:t>
        </ns0:is>
      </ns0:c>
      <ns0:c r="F8" s="15" t="inlineStr">
        <ns0:is>
          <ns0:t>0x00000044</ns0:t>
        </ns0:is>
      </ns0:c>
      <ns0:c r="G8" s="15" t="inlineStr">
        <ns0:is>
          <ns0:t>0x0182AE03</ns0:t>
        </ns0:is>
      </ns0:c>
      <ns0:c r="H8" s="15" t="inlineStr">
        <ns0:is>
          <ns0:t>lw t3, 24(t0)</ns0:t>
        </ns0:is>
      </ns0:c>
      <ns0:c r="I8" t="inlineStr">
        <ns0:is>
          <ns0:t>lw</ns0:t>
        </ns0:is>
      </ns0:c>
      <ns0:c r="J8" s="16" t="inlineStr">
        <ns0:is>
          <ns0:t>POLL</ns0:t>
        </ns0:is>
      </ns0:c>
      <ns0:c r="K8" s="15" t="n">
        <ns0:v>1003</ns0:v>
      </ns0:c>
      <ns0:c r="L8" t="inlineStr">
        <ns0:is>
          <ns0:t>FETCH|0x00000044|0x0182AE03</ns0:t>
        </ns0:is>
      </ns0:c>
      <ns0:c r="M8" t="inlineStr">
        <ns0:is>
          <ns0:t>lw@0x00000044</ns0:t>
        </ns0:is>
      </ns0:c>
      <ns0:c r="N8">
        <ns0:f>IF(E8="FETCH",IF(COUNTIF($M$6:M8,M8)=1,1,0),0)</ns0:f>
        <ns0:v>1</ns0:v>
      </ns0:c>
      <ns0:c r="O8" t="inlineStr">
        <ns0:is>
          <ns0:t>ROM OK</ns0:t>
        </ns0:is>
      </ns0:c>
      <ns0:c r="P8">
        <ns0:f>IF(AND(E8="FETCH",F8="0x00000048"),C8-1,0)</ns0:f>
        <ns0:v>0</ns0:v>
      </ns0:c>
      <ns0:c r="Q8" s="15" t="inlineStr">
        <ns0:is>
          <ns0:t>E:00000002:0001000c:00000044:0182ae03</ns0:t>
        </ns0:is>
      </ns0:c>
    </ns0:row>
    <ns0:row r="9">
      <ns0:c r="A9" t="n">
        <ns0:v>1</ns0:v>
      </ns0:c>
      <ns0:c r="B9" t="inlineStr">
        <ns0:is>
          <ns0:t>4</ns0:t>
        </ns0:is>
      </ns0:c>
      <ns0:c r="C9" t="n">
        <ns0:v>4</ns0:v>
      </ns0:c>
      <ns0:c r="D9" t="n">
        <ns0:v>16</ns0:v>
      </ns0:c>
      <ns0:c r="E9" s="14" t="inlineStr">
        <ns0:is>
          <ns0:t>FETCH</ns0:t>
        </ns0:is>
      </ns0:c>
      <ns0:c r="F9" s="15" t="inlineStr">
        <ns0:is>
          <ns0:t>0x00000048</ns0:t>
        </ns0:is>
      </ns0:c>
      <ns0:c r="G9" s="15" t="inlineStr">
        <ns0:is>
          <ns0:t>0x05400413</ns0:t>
        </ns0:is>
      </ns0:c>
      <ns0:c r="H9" s="15" t="inlineStr">
        <ns0:is>
          <ns0:t>addi s0, zero, 84</ns0:t>
        </ns0:is>
      </ns0:c>
      <ns0:c r="I9" t="inlineStr">
        <ns0:is>
          <ns0:t>addi</ns0:t>
        </ns0:is>
      </ns0:c>
      <ns0:c r="J9" t="inlineStr">
        <ns0:is>
          <ns0:t>CORE</ns0:t>
        </ns0:is>
      </ns0:c>
      <ns0:c r="K9" s="15" t="n">
        <ns0:v>1004</ns0:v>
      </ns0:c>
      <ns0:c r="L9" t="inlineStr">
        <ns0:is>
          <ns0:t>FETCH|0x00000048|0x05400413</ns0:t>
        </ns0:is>
      </ns0:c>
      <ns0:c r="M9" t="inlineStr">
        <ns0:is>
          <ns0:t>addi@0x00000048</ns0:t>
        </ns0:is>
      </ns0:c>
      <ns0:c r="N9">
        <ns0:f>IF(E9="FETCH",IF(COUNTIF($M$6:M9,M9)=1,1,0),0)</ns0:f>
        <ns0:v>1</ns0:v>
      </ns0:c>
      <ns0:c r="O9" t="inlineStr">
        <ns0:is>
          <ns0:t>ROM OK</ns0:t>
        </ns0:is>
      </ns0:c>
      <ns0:c r="P9">
        <ns0:f>IF(AND(E9="FETCH",F9="0x00000048"),C9-1,0)</ns0:f>
        <ns0:v>3</ns0:v>
      </ns0:c>
      <ns0:c r="Q9" s="15" t="inlineStr">
        <ns0:is>
          <ns0:t>E:00000003:00010010:00000048:05400413</ns0:t>
        </ns0:is>
      </ns0:c>
    </ns0:row>
    <ns0:row r="10">
      <ns0:c r="A10" t="n">
        <ns0:v>1</ns0:v>
      </ns0:c>
      <ns0:c r="B10" t="inlineStr">
        <ns0:is>
          <ns0:t>4</ns0:t>
        </ns0:is>
      </ns0:c>
      <ns0:c r="C10" t="n">
        <ns0:v>5</ns0:v>
      </ns0:c>
      <ns0:c r="D10" t="n">
        <ns0:v>23</ns0:v>
      </ns0:c>
      <ns0:c r="E10" s="14" t="inlineStr">
        <ns0:is>
          <ns0:t>FETCH</ns0:t>
        </ns0:is>
      </ns0:c>
      <ns0:c r="F10" s="15" t="inlineStr">
        <ns0:is>
          <ns0:t>0x0000004C</ns0:t>
        </ns0:is>
      </ns0:c>
      <ns0:c r="G10" s="15" t="inlineStr">
        <ns0:is>
          <ns0:t>0x1A8E0063</ns0:t>
        </ns0:is>
      </ns0:c>
      <ns0:c r="H10" s="15" t="inlineStr">
        <ns0:is>
          <ns0:t>beq t3, s0, 0x000001EC</ns0:t>
        </ns0:is>
      </ns0:c>
      <ns0:c r="I10" t="inlineStr">
        <ns0:is>
          <ns0:t>beq</ns0:t>
        </ns0:is>
      </ns0:c>
      <ns0:c r="J10" t="inlineStr">
        <ns0:is>
          <ns0:t>CORE</ns0:t>
        </ns0:is>
      </ns0:c>
      <ns0:c r="K10" s="15" t="n">
        <ns0:v>1005</ns0:v>
      </ns0:c>
      <ns0:c r="L10" t="inlineStr">
        <ns0:is>
          <ns0:t>FETCH|0x0000004C|0x1A8E0063</ns0:t>
        </ns0:is>
      </ns0:c>
      <ns0:c r="M10" t="inlineStr">
        <ns0:is>
          <ns0:t>beq@0x0000004C</ns0:t>
        </ns0:is>
      </ns0:c>
      <ns0:c r="N10">
        <ns0:f>IF(E10="FETCH",IF(COUNTIF($M$6:M10,M10)=1,1,0),0)</ns0:f>
        <ns0:v>1</ns0:v>
      </ns0:c>
      <ns0:c r="O10" t="inlineStr">
        <ns0:is>
          <ns0:t>ROM OK</ns0:t>
        </ns0:is>
      </ns0:c>
      <ns0:c r="P10">
        <ns0:f>IF(AND(E10="FETCH",F10="0x00000048"),C10-1,0)</ns0:f>
        <ns0:v>0</ns0:v>
      </ns0:c>
      <ns0:c r="Q10" s="15" t="inlineStr">
        <ns0:is>
          <ns0:t>E:00000004:00010017:0000004c:1a8e0063</ns0:t>
        </ns0:is>
      </ns0:c>
    </ns0:row>
    <ns0:row r="11">
      <ns0:c r="A11" t="n">
        <ns0:v>1</ns0:v>
      </ns0:c>
      <ns0:c r="B11" t="inlineStr">
        <ns0:is>
          <ns0:t>4</ns0:t>
        </ns0:is>
      </ns0:c>
      <ns0:c r="C11" t="n">
        <ns0:v>6</ns0:v>
      </ns0:c>
      <ns0:c r="D11" t="n">
        <ns0:v>27</ns0:v>
      </ns0:c>
      <ns0:c r="E11" s="14" t="inlineStr">
        <ns0:is>
          <ns0:t>FETCH</ns0:t>
        </ns0:is>
      </ns0:c>
      <ns0:c r="F11" s="15" t="inlineStr">
        <ns0:is>
          <ns0:t>0x00000050</ns0:t>
        </ns0:is>
      </ns0:c>
      <ns0:c r="G11" s="15" t="inlineStr">
        <ns0:is>
          <ns0:t>0x04300413</ns0:t>
        </ns0:is>
      </ns0:c>
      <ns0:c r="H11" s="15" t="inlineStr">
        <ns0:is>
          <ns0:t>addi s0, zero, 67</ns0:t>
        </ns0:is>
      </ns0:c>
      <ns0:c r="I11" t="inlineStr">
        <ns0:is>
          <ns0:t>addi</ns0:t>
        </ns0:is>
      </ns0:c>
      <ns0:c r="J11" t="inlineStr">
        <ns0:is>
          <ns0:t>CORE</ns0:t>
        </ns0:is>
      </ns0:c>
      <ns0:c r="K11" s="15" t="n">
        <ns0:v>1006</ns0:v>
      </ns0:c>
      <ns0:c r="L11" t="inlineStr">
        <ns0:is>
          <ns0:t>FETCH|0x00000050|0x04300413</ns0:t>
        </ns0:is>
      </ns0:c>
      <ns0:c r="M11" t="inlineStr">
        <ns0:is>
          <ns0:t>addi@0x00000050</ns0:t>
        </ns0:is>
      </ns0:c>
      <ns0:c r="N11">
        <ns0:f>IF(E11="FETCH",IF(COUNTIF($M$6:M11,M11)=1,1,0),0)</ns0:f>
        <ns0:v>1</ns0:v>
      </ns0:c>
      <ns0:c r="O11" t="inlineStr">
        <ns0:is>
          <ns0:t>ROM OK</ns0:t>
        </ns0:is>
      </ns0:c>
      <ns0:c r="P11">
        <ns0:f>IF(AND(E11="FETCH",F11="0x00000048"),C11-1,0)</ns0:f>
        <ns0:v>0</ns0:v>
      </ns0:c>
      <ns0:c r="Q11" s="15" t="inlineStr">
        <ns0:is>
          <ns0:t>E:00000005:0001001b:00000050:04300413</ns0:t>
        </ns0:is>
      </ns0:c>
    </ns0:row>
    <ns0:row r="12">
      <ns0:c r="A12" t="n">
        <ns0:v>1</ns0:v>
      </ns0:c>
      <ns0:c r="B12" t="inlineStr">
        <ns0:is>
          <ns0:t>4</ns0:t>
        </ns0:is>
      </ns0:c>
      <ns0:c r="C12" t="n">
        <ns0:v>7</ns0:v>
      </ns0:c>
      <ns0:c r="D12" t="n">
        <ns0:v>31</ns0:v>
      </ns0:c>
      <ns0:c r="E12" s="14" t="inlineStr">
        <ns0:is>
          <ns0:t>FETCH</ns0:t>
        </ns0:is>
      </ns0:c>
      <ns0:c r="F12" s="15" t="inlineStr">
        <ns0:is>
          <ns0:t>0x00000054</ns0:t>
        </ns0:is>
      </ns0:c>
      <ns0:c r="G12" s="15" t="inlineStr">
        <ns0:is>
          <ns0:t>0x188E0063</ns0:t>
        </ns0:is>
      </ns0:c>
      <ns0:c r="H12" s="15" t="inlineStr">
        <ns0:is>
          <ns0:t>beq t3, s0, 0x000001D4</ns0:t>
        </ns0:is>
      </ns0:c>
      <ns0:c r="I12" t="inlineStr">
        <ns0:is>
          <ns0:t>beq</ns0:t>
        </ns0:is>
      </ns0:c>
      <ns0:c r="J12" t="inlineStr">
        <ns0:is>
          <ns0:t>CORE</ns0:t>
        </ns0:is>
      </ns0:c>
      <ns0:c r="K12" s="15" t="n">
        <ns0:v>1007</ns0:v>
      </ns0:c>
      <ns0:c r="L12" t="inlineStr">
        <ns0:is>
          <ns0:t>FETCH|0x00000054|0x188E0063</ns0:t>
        </ns0:is>
      </ns0:c>
      <ns0:c r="M12" t="inlineStr">
        <ns0:is>
          <ns0:t>beq@0x00000054</ns0:t>
        </ns0:is>
      </ns0:c>
      <ns0:c r="N12">
        <ns0:f>IF(E12="FETCH",IF(COUNTIF($M$6:M12,M12)=1,1,0),0)</ns0:f>
        <ns0:v>1</ns0:v>
      </ns0:c>
      <ns0:c r="O12" t="inlineStr">
        <ns0:is>
          <ns0:t>ROM OK</ns0:t>
        </ns0:is>
      </ns0:c>
      <ns0:c r="P12">
        <ns0:f>IF(AND(E12="FETCH",F12="0x00000048"),C12-1,0)</ns0:f>
        <ns0:v>0</ns0:v>
      </ns0:c>
      <ns0:c r="Q12" s="15" t="inlineStr">
        <ns0:is>
          <ns0:t>E:00000006:0001001f:00000054:188e0063</ns0:t>
        </ns0:is>
      </ns0:c>
    </ns0:row>
    <ns0:row r="13">
      <ns0:c r="A13" t="n">
        <ns0:v>1</ns0:v>
      </ns0:c>
      <ns0:c r="B13" t="inlineStr">
        <ns0:is>
          <ns0:t>4</ns0:t>
        </ns0:is>
      </ns0:c>
      <ns0:c r="C13" t="n">
        <ns0:v>8</ns0:v>
      </ns0:c>
      <ns0:c r="D13" t="n">
        <ns0:v>35</ns0:v>
      </ns0:c>
      <ns0:c r="E13" s="14" t="inlineStr">
        <ns0:is>
          <ns0:t>FETCH</ns0:t>
        </ns0:is>
      </ns0:c>
      <ns0:c r="F13" s="15" t="inlineStr">
        <ns0:is>
          <ns0:t>0x00000058</ns0:t>
        </ns0:is>
      </ns0:c>
      <ns0:c r="G13" s="15" t="inlineStr">
        <ns0:is>
          <ns0:t>0x03F00413</ns0:t>
        </ns0:is>
      </ns0:c>
      <ns0:c r="H13" s="15" t="inlineStr">
        <ns0:is>
          <ns0:t>addi s0, zero, 63</ns0:t>
        </ns0:is>
      </ns0:c>
      <ns0:c r="I13" t="inlineStr">
        <ns0:is>
          <ns0:t>addi</ns0:t>
        </ns0:is>
      </ns0:c>
      <ns0:c r="J13" t="inlineStr">
        <ns0:is>
          <ns0:t>CORE</ns0:t>
        </ns0:is>
      </ns0:c>
      <ns0:c r="K13" s="15" t="n">
        <ns0:v>1008</ns0:v>
      </ns0:c>
      <ns0:c r="L13" t="inlineStr">
        <ns0:is>
          <ns0:t>FETCH|0x00000058|0x03F00413</ns0:t>
        </ns0:is>
      </ns0:c>
      <ns0:c r="M13" t="inlineStr">
        <ns0:is>
          <ns0:t>addi@0x00000058</ns0:t>
        </ns0:is>
      </ns0:c>
      <ns0:c r="N13">
        <ns0:f>IF(E13="FETCH",IF(COUNTIF($M$6:M13,M13)=1,1,0),0)</ns0:f>
        <ns0:v>1</ns0:v>
      </ns0:c>
      <ns0:c r="O13" t="inlineStr">
        <ns0:is>
          <ns0:t>ROM OK</ns0:t>
        </ns0:is>
      </ns0:c>
      <ns0:c r="P13">
        <ns0:f>IF(AND(E13="FETCH",F13="0x00000048"),C13-1,0)</ns0:f>
        <ns0:v>0</ns0:v>
      </ns0:c>
      <ns0:c r="Q13" s="15" t="inlineStr">
        <ns0:is>
          <ns0:t>E:00000007:00010023:00000058:03f00413</ns0:t>
        </ns0:is>
      </ns0:c>
    </ns0:row>
    <ns0:row r="14">
      <ns0:c r="A14" t="n">
        <ns0:v>1</ns0:v>
      </ns0:c>
      <ns0:c r="B14" t="inlineStr">
        <ns0:is>
          <ns0:t>4</ns0:t>
        </ns0:is>
      </ns0:c>
      <ns0:c r="C14" t="n">
        <ns0:v>9</ns0:v>
      </ns0:c>
      <ns0:c r="D14" t="n">
        <ns0:v>39</ns0:v>
      </ns0:c>
      <ns0:c r="E14" s="14" t="inlineStr">
        <ns0:is>
          <ns0:t>FETCH</ns0:t>
        </ns0:is>
      </ns0:c>
      <ns0:c r="F14" s="15" t="inlineStr">
        <ns0:is>
          <ns0:t>0x0000005C</ns0:t>
        </ns0:is>
      </ns0:c>
      <ns0:c r="G14" s="15" t="inlineStr">
        <ns0:is>
          <ns0:t>0x0A8E0A63</ns0:t>
        </ns0:is>
      </ns0:c>
      <ns0:c r="H14" s="15" t="inlineStr">
        <ns0:is>
          <ns0:t>beq t3, s0, 0x00000110</ns0:t>
        </ns0:is>
      </ns0:c>
      <ns0:c r="I14" t="inlineStr">
        <ns0:is>
          <ns0:t>beq</ns0:t>
        </ns0:is>
      </ns0:c>
      <ns0:c r="J14" t="inlineStr">
        <ns0:is>
          <ns0:t>CORE</ns0:t>
        </ns0:is>
      </ns0:c>
      <ns0:c r="K14" s="15" t="n">
        <ns0:v>1009</ns0:v>
      </ns0:c>
      <ns0:c r="L14" t="inlineStr">
        <ns0:is>
          <ns0:t>FETCH|0x0000005C|0x0A8E0A63</ns0:t>
        </ns0:is>
      </ns0:c>
      <ns0:c r="M14" t="inlineStr">
        <ns0:is>
          <ns0:t>beq@0x0000005C</ns0:t>
        </ns0:is>
      </ns0:c>
      <ns0:c r="N14">
        <ns0:f>IF(E14="FETCH",IF(COUNTIF($M$6:M14,M14)=1,1,0),0)</ns0:f>
        <ns0:v>1</ns0:v>
      </ns0:c>
      <ns0:c r="O14" t="inlineStr">
        <ns0:is>
          <ns0:t>ROM OK</ns0:t>
        </ns0:is>
      </ns0:c>
      <ns0:c r="P14">
        <ns0:f>IF(AND(E14="FETCH",F14="0x00000048"),C14-1,0)</ns0:f>
        <ns0:v>0</ns0:v>
      </ns0:c>
      <ns0:c r="Q14" s="15" t="inlineStr">
        <ns0:is>
          <ns0:t>E:00000008:00010027:0000005c:0a8e0a63</ns0:t>
        </ns0:is>
      </ns0:c>
    </ns0:row>
    <ns0:row r="15">
      <ns0:c r="A15" t="n">
        <ns0:v>1</ns0:v>
      </ns0:c>
      <ns0:c r="B15" t="inlineStr">
        <ns0:is>
          <ns0:t>4</ns0:t>
        </ns0:is>
      </ns0:c>
      <ns0:c r="C15" t="n">
        <ns0:v>10</ns0:v>
      </ns0:c>
      <ns0:c r="D15" t="n">
        <ns0:v>43</ns0:v>
      </ns0:c>
      <ns0:c r="E15" s="14" t="inlineStr">
        <ns0:is>
          <ns0:t>FETCH</ns0:t>
        </ns0:is>
      </ns0:c>
      <ns0:c r="F15" s="15" t="inlineStr">
        <ns0:is>
          <ns0:t>0x00000060</ns0:t>
        </ns0:is>
      </ns0:c>
      <ns0:c r="G15" s="15" t="inlineStr">
        <ns0:is>
          <ns0:t>0x03000413</ns0:t>
        </ns0:is>
      </ns0:c>
      <ns0:c r="H15" s="15" t="inlineStr">
        <ns0:is>
          <ns0:t>addi s0, zero, 48</ns0:t>
        </ns0:is>
      </ns0:c>
      <ns0:c r="I15" t="inlineStr">
        <ns0:is>
          <ns0:t>addi</ns0:t>
        </ns0:is>
      </ns0:c>
      <ns0:c r="J15" t="inlineStr">
        <ns0:is>
          <ns0:t>CORE</ns0:t>
        </ns0:is>
      </ns0:c>
      <ns0:c r="K15" s="15" t="n">
        <ns0:v>1010</ns0:v>
      </ns0:c>
      <ns0:c r="L15" t="inlineStr">
        <ns0:is>
          <ns0:t>FETCH|0x00000060|0x03000413</ns0:t>
        </ns0:is>
      </ns0:c>
      <ns0:c r="M15" t="inlineStr">
        <ns0:is>
          <ns0:t>addi@0x00000060</ns0:t>
        </ns0:is>
      </ns0:c>
      <ns0:c r="N15">
        <ns0:f>IF(E15="FETCH",IF(COUNTIF($M$6:M15,M15)=1,1,0),0)</ns0:f>
        <ns0:v>1</ns0:v>
      </ns0:c>
      <ns0:c r="O15" t="inlineStr">
        <ns0:is>
          <ns0:t>ROM OK</ns0:t>
        </ns0:is>
      </ns0:c>
      <ns0:c r="P15">
        <ns0:f>IF(AND(E15="FETCH",F15="0x00000048"),C15-1,0)</ns0:f>
        <ns0:v>0</ns0:v>
      </ns0:c>
      <ns0:c r="Q15" s="15" t="inlineStr">
        <ns0:is>
          <ns0:t>E:00000009:0001002b:00000060:03000413</ns0:t>
        </ns0:is>
      </ns0:c>
    </ns0:row>
    <ns0:row r="16">
      <ns0:c r="A16" t="n">
        <ns0:v>1</ns0:v>
      </ns0:c>
      <ns0:c r="B16" t="inlineStr">
        <ns0:is>
          <ns0:t>4</ns0:t>
        </ns0:is>
      </ns0:c>
      <ns0:c r="C16" t="n">
        <ns0:v>11</ns0:v>
      </ns0:c>
      <ns0:c r="D16" t="n">
        <ns0:v>47</ns0:v>
      </ns0:c>
      <ns0:c r="E16" s="14" t="inlineStr">
        <ns0:is>
          <ns0:t>FETCH</ns0:t>
        </ns0:is>
      </ns0:c>
      <ns0:c r="F16" s="15" t="inlineStr">
        <ns0:is>
          <ns0:t>0x00000064</ns0:t>
        </ns0:is>
      </ns0:c>
      <ns0:c r="G16" s="15" t="inlineStr">
        <ns0:is>
          <ns0:t>0x048E0463</ns0:t>
        </ns0:is>
      </ns0:c>
      <ns0:c r="H16" s="15" t="inlineStr">
        <ns0:is>
          <ns0:t>beq t3, s0, 0x000000AC</ns0:t>
        </ns0:is>
      </ns0:c>
      <ns0:c r="I16" t="inlineStr">
        <ns0:is>
          <ns0:t>beq</ns0:t>
        </ns0:is>
      </ns0:c>
      <ns0:c r="J16" t="inlineStr">
        <ns0:is>
          <ns0:t>CORE</ns0:t>
        </ns0:is>
      </ns0:c>
      <ns0:c r="K16" s="15" t="n">
        <ns0:v>1011</ns0:v>
      </ns0:c>
      <ns0:c r="L16" t="inlineStr">
        <ns0:is>
          <ns0:t>FETCH|0x00000064|0x048E0463</ns0:t>
        </ns0:is>
      </ns0:c>
      <ns0:c r="M16" t="inlineStr">
        <ns0:is>
          <ns0:t>beq@0x00000064</ns0:t>
        </ns0:is>
      </ns0:c>
      <ns0:c r="N16">
        <ns0:f>IF(E16="FETCH",IF(COUNTIF($M$6:M16,M16)=1,1,0),0)</ns0:f>
        <ns0:v>1</ns0:v>
      </ns0:c>
      <ns0:c r="O16" t="inlineStr">
        <ns0:is>
          <ns0:t>ROM OK</ns0:t>
        </ns0:is>
      </ns0:c>
      <ns0:c r="P16">
        <ns0:f>IF(AND(E16="FETCH",F16="0x00000048"),C16-1,0)</ns0:f>
        <ns0:v>0</ns0:v>
      </ns0:c>
      <ns0:c r="Q16" s="15" t="inlineStr">
        <ns0:is>
          <ns0:t>E:0000000a:0001002f:00000064:048e0463</ns0:t>
        </ns0:is>
      </ns0:c>
    </ns0:row>
    <ns0:row r="17">
      <ns0:c r="A17" t="n">
        <ns0:v>1</ns0:v>
      </ns0:c>
      <ns0:c r="B17" t="inlineStr">
        <ns0:is>
          <ns0:t>4</ns0:t>
        </ns0:is>
      </ns0:c>
      <ns0:c r="C17" t="n">
        <ns0:v>12</ns0:v>
      </ns0:c>
      <ns0:c r="D17" t="n">
        <ns0:v>51</ns0:v>
      </ns0:c>
      <ns0:c r="E17" s="14" t="inlineStr">
        <ns0:is>
          <ns0:t>FETCH</ns0:t>
        </ns0:is>
      </ns0:c>
      <ns0:c r="F17" s="15" t="inlineStr">
        <ns0:is>
          <ns0:t>0x00000068</ns0:t>
        </ns0:is>
      </ns0:c>
      <ns0:c r="G17" s="15" t="inlineStr">
        <ns0:is>
          <ns0:t>0x03100413</ns0:t>
        </ns0:is>
      </ns0:c>
      <ns0:c r="H17" s="15" t="inlineStr">
        <ns0:is>
          <ns0:t>addi s0, zero, 49</ns0:t>
        </ns0:is>
      </ns0:c>
      <ns0:c r="I17" t="inlineStr">
        <ns0:is>
          <ns0:t>addi</ns0:t>
        </ns0:is>
      </ns0:c>
      <ns0:c r="J17" t="inlineStr">
        <ns0:is>
          <ns0:t>CORE</ns0:t>
        </ns0:is>
      </ns0:c>
      <ns0:c r="K17" s="15" t="n">
        <ns0:v>1012</ns0:v>
      </ns0:c>
      <ns0:c r="L17" t="inlineStr">
        <ns0:is>
          <ns0:t>FETCH|0x00000068|0x03100413</ns0:t>
        </ns0:is>
      </ns0:c>
      <ns0:c r="M17" t="inlineStr">
        <ns0:is>
          <ns0:t>addi@0x00000068</ns0:t>
        </ns0:is>
      </ns0:c>
      <ns0:c r="N17">
        <ns0:f>IF(E17="FETCH",IF(COUNTIF($M$6:M17,M17)=1,1,0),0)</ns0:f>
        <ns0:v>1</ns0:v>
      </ns0:c>
      <ns0:c r="O17" t="inlineStr">
        <ns0:is>
          <ns0:t>ROM OK</ns0:t>
        </ns0:is>
      </ns0:c>
      <ns0:c r="P17">
        <ns0:f>IF(AND(E17="FETCH",F17="0x00000048"),C17-1,0)</ns0:f>
        <ns0:v>0</ns0:v>
      </ns0:c>
      <ns0:c r="Q17" s="15" t="inlineStr">
        <ns0:is>
          <ns0:t>E:0000000b:00010033:00000068:03100413</ns0:t>
        </ns0:is>
      </ns0:c>
    </ns0:row>
    <ns0:row r="18">
      <ns0:c r="A18" t="n">
        <ns0:v>1</ns0:v>
      </ns0:c>
      <ns0:c r="B18" t="inlineStr">
        <ns0:is>
          <ns0:t>4</ns0:t>
        </ns0:is>
      </ns0:c>
      <ns0:c r="C18" t="n">
        <ns0:v>13</ns0:v>
      </ns0:c>
      <ns0:c r="D18" t="n">
        <ns0:v>55</ns0:v>
      </ns0:c>
      <ns0:c r="E18" s="14" t="inlineStr">
        <ns0:is>
          <ns0:t>FETCH</ns0:t>
        </ns0:is>
      </ns0:c>
      <ns0:c r="F18" s="15" t="inlineStr">
        <ns0:is>
          <ns0:t>0x0000006C</ns0:t>
        </ns0:is>
      </ns0:c>
      <ns0:c r="G18" s="15" t="inlineStr">
        <ns0:is>
          <ns0:t>0x048E0663</ns0:t>
        </ns0:is>
      </ns0:c>
      <ns0:c r="H18" s="15" t="inlineStr">
        <ns0:is>
          <ns0:t>beq t3, s0, 0x000000B8</ns0:t>
        </ns0:is>
      </ns0:c>
      <ns0:c r="I18" t="inlineStr">
        <ns0:is>
          <ns0:t>beq</ns0:t>
        </ns0:is>
      </ns0:c>
      <ns0:c r="J18" t="inlineStr">
        <ns0:is>
          <ns0:t>CORE</ns0:t>
        </ns0:is>
      </ns0:c>
      <ns0:c r="K18" s="15" t="n">
        <ns0:v>1013</ns0:v>
      </ns0:c>
      <ns0:c r="L18" t="inlineStr">
        <ns0:is>
          <ns0:t>FETCH|0x0000006C|0x048E0663</ns0:t>
        </ns0:is>
      </ns0:c>
      <ns0:c r="M18" t="inlineStr">
        <ns0:is>
          <ns0:t>beq@0x0000006C</ns0:t>
        </ns0:is>
      </ns0:c>
      <ns0:c r="N18">
        <ns0:f>IF(E18="FETCH",IF(COUNTIF($M$6:M18,M18)=1,1,0),0)</ns0:f>
        <ns0:v>1</ns0:v>
      </ns0:c>
      <ns0:c r="O18" t="inlineStr">
        <ns0:is>
          <ns0:t>ROM OK</ns0:t>
        </ns0:is>
      </ns0:c>
      <ns0:c r="P18">
        <ns0:f>IF(AND(E18="FETCH",F18="0x00000048"),C18-1,0)</ns0:f>
        <ns0:v>0</ns0:v>
      </ns0:c>
      <ns0:c r="Q18" s="15" t="inlineStr">
        <ns0:is>
          <ns0:t>E:0000000c:00010037:0000006c:048e0663</ns0:t>
        </ns0:is>
      </ns0:c>
    </ns0:row>
    <ns0:row r="19">
      <ns0:c r="A19" t="n">
        <ns0:v>1</ns0:v>
      </ns0:c>
      <ns0:c r="B19" t="inlineStr">
        <ns0:is>
          <ns0:t>4</ns0:t>
        </ns0:is>
      </ns0:c>
      <ns0:c r="C19" t="n">
        <ns0:v>14</ns0:v>
      </ns0:c>
      <ns0:c r="D19" t="n">
        <ns0:v>59</ns0:v>
      </ns0:c>
      <ns0:c r="E19" s="14" t="inlineStr">
        <ns0:is>
          <ns0:t>FETCH</ns0:t>
        </ns0:is>
      </ns0:c>
      <ns0:c r="F19" s="15" t="inlineStr">
        <ns0:is>
          <ns0:t>0x00000070</ns0:t>
        </ns0:is>
      </ns0:c>
      <ns0:c r="G19" s="15" t="inlineStr">
        <ns0:is>
          <ns0:t>0x03200413</ns0:t>
        </ns0:is>
      </ns0:c>
      <ns0:c r="H19" s="15" t="inlineStr">
        <ns0:is>
          <ns0:t>addi s0, zero, 50</ns0:t>
        </ns0:is>
      </ns0:c>
      <ns0:c r="I19" t="inlineStr">
        <ns0:is>
          <ns0:t>addi</ns0:t>
        </ns0:is>
      </ns0:c>
      <ns0:c r="J19" t="inlineStr">
        <ns0:is>
          <ns0:t>CORE</ns0:t>
        </ns0:is>
      </ns0:c>
      <ns0:c r="K19" s="15" t="n">
        <ns0:v>1014</ns0:v>
      </ns0:c>
      <ns0:c r="L19" t="inlineStr">
        <ns0:is>
          <ns0:t>FETCH|0x00000070|0x03200413</ns0:t>
        </ns0:is>
      </ns0:c>
      <ns0:c r="M19" t="inlineStr">
        <ns0:is>
          <ns0:t>addi@0x00000070</ns0:t>
        </ns0:is>
      </ns0:c>
      <ns0:c r="N19">
        <ns0:f>IF(E19="FETCH",IF(COUNTIF($M$6:M19,M19)=1,1,0),0)</ns0:f>
        <ns0:v>1</ns0:v>
      </ns0:c>
      <ns0:c r="O19" t="inlineStr">
        <ns0:is>
          <ns0:t>ROM OK</ns0:t>
        </ns0:is>
      </ns0:c>
      <ns0:c r="P19">
        <ns0:f>IF(AND(E19="FETCH",F19="0x00000048"),C19-1,0)</ns0:f>
        <ns0:v>0</ns0:v>
      </ns0:c>
      <ns0:c r="Q19" s="15" t="inlineStr">
        <ns0:is>
          <ns0:t>E:0000000d:0001003b:00000070:03200413</ns0:t>
        </ns0:is>
      </ns0:c>
    </ns0:row>
    <ns0:row r="20">
      <ns0:c r="A20" t="n">
        <ns0:v>1</ns0:v>
      </ns0:c>
      <ns0:c r="B20" t="inlineStr">
        <ns0:is>
          <ns0:t>4</ns0:t>
        </ns0:is>
      </ns0:c>
      <ns0:c r="C20" t="n">
        <ns0:v>15</ns0:v>
      </ns0:c>
      <ns0:c r="D20" t="n">
        <ns0:v>63</ns0:v>
      </ns0:c>
      <ns0:c r="E20" s="14" t="inlineStr">
        <ns0:is>
          <ns0:t>FETCH</ns0:t>
        </ns0:is>
      </ns0:c>
      <ns0:c r="F20" s="15" t="inlineStr">
        <ns0:is>
          <ns0:t>0x00000074</ns0:t>
        </ns0:is>
      </ns0:c>
      <ns0:c r="G20" s="15" t="inlineStr">
        <ns0:is>
          <ns0:t>0x048E0863</ns0:t>
        </ns0:is>
      </ns0:c>
      <ns0:c r="H20" s="15" t="inlineStr">
        <ns0:is>
          <ns0:t>beq t3, s0, 0x000000C4</ns0:t>
        </ns0:is>
      </ns0:c>
      <ns0:c r="I20" t="inlineStr">
        <ns0:is>
          <ns0:t>beq</ns0:t>
        </ns0:is>
      </ns0:c>
      <ns0:c r="J20" t="inlineStr">
        <ns0:is>
          <ns0:t>CORE</ns0:t>
        </ns0:is>
      </ns0:c>
      <ns0:c r="K20" s="15" t="n">
        <ns0:v>1015</ns0:v>
      </ns0:c>
      <ns0:c r="L20" t="inlineStr">
        <ns0:is>
          <ns0:t>FETCH|0x00000074|0x048E0863</ns0:t>
        </ns0:is>
      </ns0:c>
      <ns0:c r="M20" t="inlineStr">
        <ns0:is>
          <ns0:t>beq@0x00000074</ns0:t>
        </ns0:is>
      </ns0:c>
      <ns0:c r="N20">
        <ns0:f>IF(E20="FETCH",IF(COUNTIF($M$6:M20,M20)=1,1,0),0)</ns0:f>
        <ns0:v>1</ns0:v>
      </ns0:c>
      <ns0:c r="O20" t="inlineStr">
        <ns0:is>
          <ns0:t>ROM OK</ns0:t>
        </ns0:is>
      </ns0:c>
      <ns0:c r="P20">
        <ns0:f>IF(AND(E20="FETCH",F20="0x00000048"),C20-1,0)</ns0:f>
        <ns0:v>0</ns0:v>
      </ns0:c>
      <ns0:c r="Q20" s="15" t="inlineStr">
        <ns0:is>
          <ns0:t>E:0000000e:0001003f:00000074:048e0863</ns0:t>
        </ns0:is>
      </ns0:c>
    </ns0:row>
    <ns0:row r="21">
      <ns0:c r="A21" t="n">
        <ns0:v>1</ns0:v>
      </ns0:c>
      <ns0:c r="B21" t="inlineStr">
        <ns0:is>
          <ns0:t>4</ns0:t>
        </ns0:is>
      </ns0:c>
      <ns0:c r="C21" t="n">
        <ns0:v>16</ns0:v>
      </ns0:c>
      <ns0:c r="D21" t="n">
        <ns0:v>67</ns0:v>
      </ns0:c>
      <ns0:c r="E21" s="14" t="inlineStr">
        <ns0:is>
          <ns0:t>FETCH</ns0:t>
        </ns0:is>
      </ns0:c>
      <ns0:c r="F21" s="15" t="inlineStr">
        <ns0:is>
          <ns0:t>0x00000078</ns0:t>
        </ns0:is>
      </ns0:c>
      <ns0:c r="G21" s="15" t="inlineStr">
        <ns0:is>
          <ns0:t>0x03300413</ns0:t>
        </ns0:is>
      </ns0:c>
      <ns0:c r="H21" s="15" t="inlineStr">
        <ns0:is>
          <ns0:t>addi s0, zero, 51</ns0:t>
        </ns0:is>
      </ns0:c>
      <ns0:c r="I21" t="inlineStr">
        <ns0:is>
          <ns0:t>addi</ns0:t>
        </ns0:is>
      </ns0:c>
      <ns0:c r="J21" t="inlineStr">
        <ns0:is>
          <ns0:t>CORE</ns0:t>
        </ns0:is>
      </ns0:c>
      <ns0:c r="K21" s="15" t="n">
        <ns0:v>1016</ns0:v>
      </ns0:c>
      <ns0:c r="L21" t="inlineStr">
        <ns0:is>
          <ns0:t>FETCH|0x00000078|0x03300413</ns0:t>
        </ns0:is>
      </ns0:c>
      <ns0:c r="M21" t="inlineStr">
        <ns0:is>
          <ns0:t>addi@0x00000078</ns0:t>
        </ns0:is>
      </ns0:c>
      <ns0:c r="N21">
        <ns0:f>IF(E21="FETCH",IF(COUNTIF($M$6:M21,M21)=1,1,0),0)</ns0:f>
        <ns0:v>1</ns0:v>
      </ns0:c>
      <ns0:c r="O21" t="inlineStr">
        <ns0:is>
          <ns0:t>ROM OK</ns0:t>
        </ns0:is>
      </ns0:c>
      <ns0:c r="P21">
        <ns0:f>IF(AND(E21="FETCH",F21="0x00000048"),C21-1,0)</ns0:f>
        <ns0:v>0</ns0:v>
      </ns0:c>
      <ns0:c r="Q21" s="15" t="inlineStr">
        <ns0:is>
          <ns0:t>E:0000000f:00010043:00000078:03300413</ns0:t>
        </ns0:is>
      </ns0:c>
    </ns0:row>
    <ns0:row r="22">
      <ns0:c r="A22" t="n">
        <ns0:v>1</ns0:v>
      </ns0:c>
      <ns0:c r="B22" t="inlineStr">
        <ns0:is>
          <ns0:t>4</ns0:t>
        </ns0:is>
      </ns0:c>
      <ns0:c r="C22" t="n">
        <ns0:v>17</ns0:v>
      </ns0:c>
      <ns0:c r="D22" t="n">
        <ns0:v>71</ns0:v>
      </ns0:c>
      <ns0:c r="E22" s="14" t="inlineStr">
        <ns0:is>
          <ns0:t>FETCH</ns0:t>
        </ns0:is>
      </ns0:c>
      <ns0:c r="F22" s="15" t="inlineStr">
        <ns0:is>
          <ns0:t>0x0000007C</ns0:t>
        </ns0:is>
      </ns0:c>
      <ns0:c r="G22" s="15" t="inlineStr">
        <ns0:is>
          <ns0:t>0x048E0A63</ns0:t>
        </ns0:is>
      </ns0:c>
      <ns0:c r="H22" s="15" t="inlineStr">
        <ns0:is>
          <ns0:t>beq t3, s0, 0x000000D0</ns0:t>
        </ns0:is>
      </ns0:c>
      <ns0:c r="I22" t="inlineStr">
        <ns0:is>
          <ns0:t>beq</ns0:t>
        </ns0:is>
      </ns0:c>
      <ns0:c r="J22" t="inlineStr">
        <ns0:is>
          <ns0:t>CORE</ns0:t>
        </ns0:is>
      </ns0:c>
      <ns0:c r="K22" s="15" t="n">
        <ns0:v>1017</ns0:v>
      </ns0:c>
      <ns0:c r="L22" t="inlineStr">
        <ns0:is>
          <ns0:t>FETCH|0x0000007C|0x048E0A63</ns0:t>
        </ns0:is>
      </ns0:c>
      <ns0:c r="M22" t="inlineStr">
        <ns0:is>
          <ns0:t>beq@0x0000007C</ns0:t>
        </ns0:is>
      </ns0:c>
      <ns0:c r="N22">
        <ns0:f>IF(E22="FETCH",IF(COUNTIF($M$6:M22,M22)=1,1,0),0)</ns0:f>
        <ns0:v>1</ns0:v>
      </ns0:c>
      <ns0:c r="O22" t="inlineStr">
        <ns0:is>
          <ns0:t>ROM OK</ns0:t>
        </ns0:is>
      </ns0:c>
      <ns0:c r="P22">
        <ns0:f>IF(AND(E22="FETCH",F22="0x00000048"),C22-1,0)</ns0:f>
        <ns0:v>0</ns0:v>
      </ns0:c>
      <ns0:c r="Q22" s="15" t="inlineStr">
        <ns0:is>
          <ns0:t>E:00000010:00010047:0000007c:048e0a63</ns0:t>
        </ns0:is>
      </ns0:c>
    </ns0:row>
    <ns0:row r="23">
      <ns0:c r="A23" t="n">
        <ns0:v>1</ns0:v>
      </ns0:c>
      <ns0:c r="B23" t="inlineStr">
        <ns0:is>
          <ns0:t>4</ns0:t>
        </ns0:is>
      </ns0:c>
      <ns0:c r="C23" t="n">
        <ns0:v>18</ns0:v>
      </ns0:c>
      <ns0:c r="D23" t="n">
        <ns0:v>75</ns0:v>
      </ns0:c>
      <ns0:c r="E23" s="14" t="inlineStr">
        <ns0:is>
          <ns0:t>FETCH</ns0:t>
        </ns0:is>
      </ns0:c>
      <ns0:c r="F23" s="15" t="inlineStr">
        <ns0:is>
          <ns0:t>0x00000080</ns0:t>
        </ns0:is>
      </ns0:c>
      <ns0:c r="G23" s="15" t="inlineStr">
        <ns0:is>
          <ns0:t>0x03400413</ns0:t>
        </ns0:is>
      </ns0:c>
      <ns0:c r="H23" s="15" t="inlineStr">
        <ns0:is>
          <ns0:t>addi s0, zero, 52</ns0:t>
        </ns0:is>
      </ns0:c>
      <ns0:c r="I23" t="inlineStr">
        <ns0:is>
          <ns0:t>addi</ns0:t>
        </ns0:is>
      </ns0:c>
      <ns0:c r="J23" t="inlineStr">
        <ns0:is>
          <ns0:t>CORE</ns0:t>
        </ns0:is>
      </ns0:c>
      <ns0:c r="K23" s="15" t="n">
        <ns0:v>1018</ns0:v>
      </ns0:c>
      <ns0:c r="L23" t="inlineStr">
        <ns0:is>
          <ns0:t>FETCH|0x00000080|0x03400413</ns0:t>
        </ns0:is>
      </ns0:c>
      <ns0:c r="M23" t="inlineStr">
        <ns0:is>
          <ns0:t>addi@0x00000080</ns0:t>
        </ns0:is>
      </ns0:c>
      <ns0:c r="N23">
        <ns0:f>IF(E23="FETCH",IF(COUNTIF($M$6:M23,M23)=1,1,0),0)</ns0:f>
        <ns0:v>1</ns0:v>
      </ns0:c>
      <ns0:c r="O23" t="inlineStr">
        <ns0:is>
          <ns0:t>ROM OK</ns0:t>
        </ns0:is>
      </ns0:c>
      <ns0:c r="P23">
        <ns0:f>IF(AND(E23="FETCH",F23="0x00000048"),C23-1,0)</ns0:f>
        <ns0:v>0</ns0:v>
      </ns0:c>
      <ns0:c r="Q23" s="15" t="inlineStr">
        <ns0:is>
          <ns0:t>E:00000011:0001004b:00000080:03400413</ns0:t>
        </ns0:is>
      </ns0:c>
    </ns0:row>
    <ns0:row r="24">
      <ns0:c r="A24" t="n">
        <ns0:v>1</ns0:v>
      </ns0:c>
      <ns0:c r="B24" t="inlineStr">
        <ns0:is>
          <ns0:t>4</ns0:t>
        </ns0:is>
      </ns0:c>
      <ns0:c r="C24" t="n">
        <ns0:v>19</ns0:v>
      </ns0:c>
      <ns0:c r="D24" t="n">
        <ns0:v>79</ns0:v>
      </ns0:c>
      <ns0:c r="E24" s="14" t="inlineStr">
        <ns0:is>
          <ns0:t>FETCH</ns0:t>
        </ns0:is>
      </ns0:c>
      <ns0:c r="F24" s="15" t="inlineStr">
        <ns0:is>
          <ns0:t>0x00000084</ns0:t>
        </ns0:is>
      </ns0:c>
      <ns0:c r="G24" s="15" t="inlineStr">
        <ns0:is>
          <ns0:t>0x048E0C63</ns0:t>
        </ns0:is>
      </ns0:c>
      <ns0:c r="H24" s="15" t="inlineStr">
        <ns0:is>
          <ns0:t>beq t3, s0, 0x000000DC</ns0:t>
        </ns0:is>
      </ns0:c>
      <ns0:c r="I24" t="inlineStr">
        <ns0:is>
          <ns0:t>beq</ns0:t>
        </ns0:is>
      </ns0:c>
      <ns0:c r="J24" t="inlineStr">
        <ns0:is>
          <ns0:t>CORE</ns0:t>
        </ns0:is>
      </ns0:c>
      <ns0:c r="K24" s="15" t="n">
        <ns0:v>1019</ns0:v>
      </ns0:c>
      <ns0:c r="L24" t="inlineStr">
        <ns0:is>
          <ns0:t>FETCH|0x00000084|0x048E0C63</ns0:t>
        </ns0:is>
      </ns0:c>
      <ns0:c r="M24" t="inlineStr">
        <ns0:is>
          <ns0:t>beq@0x00000084</ns0:t>
        </ns0:is>
      </ns0:c>
      <ns0:c r="N24">
        <ns0:f>IF(E24="FETCH",IF(COUNTIF($M$6:M24,M24)=1,1,0),0)</ns0:f>
        <ns0:v>1</ns0:v>
      </ns0:c>
      <ns0:c r="O24" t="inlineStr">
        <ns0:is>
          <ns0:t>ROM OK</ns0:t>
        </ns0:is>
      </ns0:c>
      <ns0:c r="P24">
        <ns0:f>IF(AND(E24="FETCH",F24="0x00000048"),C24-1,0)</ns0:f>
        <ns0:v>0</ns0:v>
      </ns0:c>
      <ns0:c r="Q24" s="15" t="inlineStr">
        <ns0:is>
          <ns0:t>E:00000012:0001004f:00000084:048e0c63</ns0:t>
        </ns0:is>
      </ns0:c>
    </ns0:row>
    <ns0:row r="25">
      <ns0:c r="A25" t="n">
        <ns0:v>1</ns0:v>
      </ns0:c>
      <ns0:c r="B25" t="inlineStr">
        <ns0:is>
          <ns0:t>4</ns0:t>
        </ns0:is>
      </ns0:c>
      <ns0:c r="C25" t="n">
        <ns0:v>20</ns0:v>
      </ns0:c>
      <ns0:c r="D25" t="n">
        <ns0:v>83</ns0:v>
      </ns0:c>
      <ns0:c r="E25" s="14" t="inlineStr">
        <ns0:is>
          <ns0:t>FETCH</ns0:t>
        </ns0:is>
      </ns0:c>
      <ns0:c r="F25" s="15" t="inlineStr">
        <ns0:is>
          <ns0:t>0x00000088</ns0:t>
        </ns0:is>
      </ns0:c>
      <ns0:c r="G25" s="15" t="inlineStr">
        <ns0:is>
          <ns0:t>0x03500413</ns0:t>
        </ns0:is>
      </ns0:c>
      <ns0:c r="H25" s="15" t="inlineStr">
        <ns0:is>
          <ns0:t>addi s0, zero, 53</ns0:t>
        </ns0:is>
      </ns0:c>
      <ns0:c r="I25" t="inlineStr">
        <ns0:is>
          <ns0:t>addi</ns0:t>
        </ns0:is>
      </ns0:c>
      <ns0:c r="J25" t="inlineStr">
        <ns0:is>
          <ns0:t>CORE</ns0:t>
        </ns0:is>
      </ns0:c>
      <ns0:c r="K25" s="15" t="n">
        <ns0:v>1020</ns0:v>
      </ns0:c>
      <ns0:c r="L25" t="inlineStr">
        <ns0:is>
          <ns0:t>FETCH|0x00000088|0x03500413</ns0:t>
        </ns0:is>
      </ns0:c>
      <ns0:c r="M25" t="inlineStr">
        <ns0:is>
          <ns0:t>addi@0x00000088</ns0:t>
        </ns0:is>
      </ns0:c>
      <ns0:c r="N25">
        <ns0:f>IF(E25="FETCH",IF(COUNTIF($M$6:M25,M25)=1,1,0),0)</ns0:f>
        <ns0:v>1</ns0:v>
      </ns0:c>
      <ns0:c r="O25" t="inlineStr">
        <ns0:is>
          <ns0:t>ROM OK</ns0:t>
        </ns0:is>
      </ns0:c>
      <ns0:c r="P25">
        <ns0:f>IF(AND(E25="FETCH",F25="0x00000048"),C25-1,0)</ns0:f>
        <ns0:v>0</ns0:v>
      </ns0:c>
      <ns0:c r="Q25" s="15" t="inlineStr">
        <ns0:is>
          <ns0:t>E:00000013:00010053:00000088:03500413</ns0:t>
        </ns0:is>
      </ns0:c>
    </ns0:row>
    <ns0:row r="26">
      <ns0:c r="A26" t="n">
        <ns0:v>1</ns0:v>
      </ns0:c>
      <ns0:c r="B26" t="inlineStr">
        <ns0:is>
          <ns0:t>4</ns0:t>
        </ns0:is>
      </ns0:c>
      <ns0:c r="C26" t="n">
        <ns0:v>21</ns0:v>
      </ns0:c>
      <ns0:c r="D26" t="n">
        <ns0:v>86</ns0:v>
      </ns0:c>
      <ns0:c r="E26" s="14" t="inlineStr">
        <ns0:is>
          <ns0:t>FETCH</ns0:t>
        </ns0:is>
      </ns0:c>
      <ns0:c r="F26" s="15" t="inlineStr">
        <ns0:is>
          <ns0:t>0x000000DC</ns0:t>
        </ns0:is>
      </ns0:c>
      <ns0:c r="G26" s="15" t="inlineStr">
        <ns0:is>
          <ns0:t>0x00800E93</ns0:t>
        </ns0:is>
      </ns0:c>
      <ns0:c r="H26" s="15" t="inlineStr">
        <ns0:is>
          <ns0:t>addi t4, zero, 8</ns0:t>
        </ns0:is>
      </ns0:c>
      <ns0:c r="I26" t="inlineStr">
        <ns0:is>
          <ns0:t>addi</ns0:t>
        </ns0:is>
      </ns0:c>
      <ns0:c r="J26" t="inlineStr">
        <ns0:is>
          <ns0:t>CORE</ns0:t>
        </ns0:is>
      </ns0:c>
      <ns0:c r="K26" s="15" t="n">
        <ns0:v>1021</ns0:v>
      </ns0:c>
      <ns0:c r="L26" t="inlineStr">
        <ns0:is>
          <ns0:t>FETCH|0x000000DC|0x00800E93</ns0:t>
        </ns0:is>
      </ns0:c>
      <ns0:c r="M26" t="inlineStr">
        <ns0:is>
          <ns0:t>addi@0x000000DC</ns0:t>
        </ns0:is>
      </ns0:c>
      <ns0:c r="N26">
        <ns0:f>IF(E26="FETCH",IF(COUNTIF($M$6:M26,M26)=1,1,0),0)</ns0:f>
        <ns0:v>1</ns0:v>
      </ns0:c>
      <ns0:c r="O26" t="inlineStr">
        <ns0:is>
          <ns0:t>ROM OK</ns0:t>
        </ns0:is>
      </ns0:c>
      <ns0:c r="P26">
        <ns0:f>IF(AND(E26="FETCH",F26="0x00000048"),C26-1,0)</ns0:f>
        <ns0:v>0</ns0:v>
      </ns0:c>
      <ns0:c r="Q26" s="15" t="inlineStr">
        <ns0:is>
          <ns0:t>E:00000014:00010056:000000dc:00800e93</ns0:t>
        </ns0:is>
      </ns0:c>
    </ns0:row>
    <ns0:row r="27">
      <ns0:c r="A27" t="n">
        <ns0:v>1</ns0:v>
      </ns0:c>
      <ns0:c r="B27" t="inlineStr">
        <ns0:is>
          <ns0:t>4</ns0:t>
        </ns0:is>
      </ns0:c>
      <ns0:c r="C27" t="n">
        <ns0:v>22</ns0:v>
      </ns0:c>
      <ns0:c r="D27" t="n">
        <ns0:v>90</ns0:v>
      </ns0:c>
      <ns0:c r="E27" s="14" t="inlineStr">
        <ns0:is>
          <ns0:t>FETCH</ns0:t>
        </ns0:is>
      </ns0:c>
      <ns0:c r="F27" s="15" t="inlineStr">
        <ns0:is>
          <ns0:t>0x000000E0</ns0:t>
        </ns0:is>
      </ns0:c>
      <ns0:c r="G27" s="15" t="inlineStr">
        <ns0:is>
          <ns0:t>0x03400F13</ns0:t>
        </ns0:is>
      </ns0:c>
      <ns0:c r="H27" s="15" t="inlineStr">
        <ns0:is>
          <ns0:t>addi t5, zero, 52</ns0:t>
        </ns0:is>
      </ns0:c>
      <ns0:c r="I27" t="inlineStr">
        <ns0:is>
          <ns0:t>addi</ns0:t>
        </ns0:is>
      </ns0:c>
      <ns0:c r="J27" t="inlineStr">
        <ns0:is>
          <ns0:t>CORE</ns0:t>
        </ns0:is>
      </ns0:c>
      <ns0:c r="K27" s="15" t="n">
        <ns0:v>1022</ns0:v>
      </ns0:c>
      <ns0:c r="L27" t="inlineStr">
        <ns0:is>
          <ns0:t>FETCH|0x000000E0|0x03400F13</ns0:t>
        </ns0:is>
      </ns0:c>
      <ns0:c r="M27" t="inlineStr">
        <ns0:is>
          <ns0:t>addi@0x000000E0</ns0:t>
        </ns0:is>
      </ns0:c>
      <ns0:c r="N27">
        <ns0:f>IF(E27="FETCH",IF(COUNTIF($M$6:M27,M27)=1,1,0),0)</ns0:f>
        <ns0:v>1</ns0:v>
      </ns0:c>
      <ns0:c r="O27" t="inlineStr">
        <ns0:is>
          <ns0:t>ROM OK</ns0:t>
        </ns0:is>
      </ns0:c>
      <ns0:c r="P27">
        <ns0:f>IF(AND(E27="FETCH",F27="0x00000048"),C27-1,0)</ns0:f>
        <ns0:v>0</ns0:v>
      </ns0:c>
      <ns0:c r="Q27" s="15" t="inlineStr">
        <ns0:is>
          <ns0:t>E:00000015:0001005a:000000e0:03400f13</ns0:t>
        </ns0:is>
      </ns0:c>
    </ns0:row>
    <ns0:row r="28">
      <ns0:c r="A28" t="n">
        <ns0:v>1</ns0:v>
      </ns0:c>
      <ns0:c r="B28" t="inlineStr">
        <ns0:is>
          <ns0:t>4</ns0:t>
        </ns0:is>
      </ns0:c>
      <ns0:c r="C28" t="n">
        <ns0:v>23</ns0:v>
      </ns0:c>
      <ns0:c r="D28" t="n">
        <ns0:v>94</ns0:v>
      </ns0:c>
      <ns0:c r="E28" s="14" t="inlineStr">
        <ns0:is>
          <ns0:t>FETCH</ns0:t>
        </ns0:is>
      </ns0:c>
      <ns0:c r="F28" s="15" t="inlineStr">
        <ns0:is>
          <ns0:t>0x000000E4</ns0:t>
        </ns0:is>
      </ns0:c>
      <ns0:c r="G28" s="15" t="inlineStr">
        <ns0:is>
          <ns0:t>0x01C0006F</ns0:t>
        </ns0:is>
      </ns0:c>
      <ns0:c r="H28" s="15" t="inlineStr">
        <ns0:is>
          <ns0:t>jal zero, 0x00000100</ns0:t>
        </ns0:is>
      </ns0:c>
      <ns0:c r="I28" t="inlineStr">
        <ns0:is>
          <ns0:t>jal</ns0:t>
        </ns0:is>
      </ns0:c>
      <ns0:c r="J28" t="inlineStr">
        <ns0:is>
          <ns0:t>CORE</ns0:t>
        </ns0:is>
      </ns0:c>
      <ns0:c r="K28" s="15" t="n">
        <ns0:v>1023</ns0:v>
      </ns0:c>
      <ns0:c r="L28" t="inlineStr">
        <ns0:is>
          <ns0:t>FETCH|0x000000E4|0x01C0006F</ns0:t>
        </ns0:is>
      </ns0:c>
      <ns0:c r="M28" t="inlineStr">
        <ns0:is>
          <ns0:t>jal@0x000000E4</ns0:t>
        </ns0:is>
      </ns0:c>
      <ns0:c r="N28">
        <ns0:f>IF(E28="FETCH",IF(COUNTIF($M$6:M28,M28)=1,1,0),0)</ns0:f>
        <ns0:v>1</ns0:v>
      </ns0:c>
      <ns0:c r="O28" t="inlineStr">
        <ns0:is>
          <ns0:t>ROM OK</ns0:t>
        </ns0:is>
      </ns0:c>
      <ns0:c r="P28">
        <ns0:f>IF(AND(E28="FETCH",F28="0x00000048"),C28-1,0)</ns0:f>
        <ns0:v>0</ns0:v>
      </ns0:c>
      <ns0:c r="Q28" s="15" t="inlineStr">
        <ns0:is>
          <ns0:t>E:00000016:0001005e:000000e4:01c0006f</ns0:t>
        </ns0:is>
      </ns0:c>
    </ns0:row>
    <ns0:row r="29">
      <ns0:c r="A29" t="n">
        <ns0:v>1</ns0:v>
      </ns0:c>
      <ns0:c r="B29" t="inlineStr">
        <ns0:is>
          <ns0:t>4</ns0:t>
        </ns0:is>
      </ns0:c>
      <ns0:c r="C29" t="n">
        <ns0:v>24</ns0:v>
      </ns0:c>
      <ns0:c r="D29" t="n">
        <ns0:v>98</ns0:v>
      </ns0:c>
      <ns0:c r="E29" s="14" t="inlineStr">
        <ns0:is>
          <ns0:t>FETCH</ns0:t>
        </ns0:is>
      </ns0:c>
      <ns0:c r="F29" s="15" t="inlineStr">
        <ns0:is>
          <ns0:t>0x00000100</ns0:t>
        </ns0:is>
      </ns0:c>
      <ns0:c r="G29" s="15" t="inlineStr">
        <ns0:is>
          <ns0:t>0x01D2A023</ns0:t>
        </ns0:is>
      </ns0:c>
      <ns0:c r="H29" s="15" t="inlineStr">
        <ns0:is>
          <ns0:t>sw t4, 0(t0)</ns0:t>
        </ns0:is>
      </ns0:c>
      <ns0:c r="I29" t="inlineStr">
        <ns0:is>
          <ns0:t>sw</ns0:t>
        </ns0:is>
      </ns0:c>
      <ns0:c r="J29" t="inlineStr">
        <ns0:is>
          <ns0:t>CORE</ns0:t>
        </ns0:is>
      </ns0:c>
      <ns0:c r="K29" s="15" t="n">
        <ns0:v>1024</ns0:v>
      </ns0:c>
      <ns0:c r="L29" t="inlineStr">
        <ns0:is>
          <ns0:t>FETCH|0x00000100|0x01D2A023</ns0:t>
        </ns0:is>
      </ns0:c>
      <ns0:c r="M29" t="inlineStr">
        <ns0:is>
          <ns0:t>sw@0x00000100</ns0:t>
        </ns0:is>
      </ns0:c>
      <ns0:c r="N29">
        <ns0:f>IF(E29="FETCH",IF(COUNTIF($M$6:M29,M29)=1,1,0),0)</ns0:f>
        <ns0:v>1</ns0:v>
      </ns0:c>
      <ns0:c r="O29" t="inlineStr">
        <ns0:is>
          <ns0:t>ROM OK</ns0:t>
        </ns0:is>
      </ns0:c>
      <ns0:c r="P29">
        <ns0:f>IF(AND(E29="FETCH",F29="0x00000048"),C29-1,0)</ns0:f>
        <ns0:v>0</ns0:v>
      </ns0:c>
      <ns0:c r="Q29" s="15" t="inlineStr">
        <ns0:is>
          <ns0:t>E:00000017:00010062:00000100:01d2a023</ns0:t>
        </ns0:is>
      </ns0:c>
    </ns0:row>
    <ns0:row r="30">
      <ns0:c r="A30" t="n">
        <ns0:v>1</ns0:v>
      </ns0:c>
      <ns0:c r="B30" t="inlineStr">
        <ns0:is>
          <ns0:t>4</ns0:t>
        </ns0:is>
      </ns0:c>
      <ns0:c r="C30" t="n">
        <ns0:v>25</ns0:v>
      </ns0:c>
      <ns0:c r="D30" t="n">
        <ns0:v>102</ns0:v>
      </ns0:c>
      <ns0:c r="E30" s="14" t="inlineStr">
        <ns0:is>
          <ns0:t>FETCH</ns0:t>
        </ns0:is>
      </ns0:c>
      <ns0:c r="F30" s="15" t="inlineStr">
        <ns0:is>
          <ns0:t>0x00000104</ns0:t>
        </ns0:is>
      </ns0:c>
      <ns0:c r="G30" s="15" t="inlineStr">
        <ns0:is>
          <ns0:t>0x0002AF83</ns0:t>
        </ns0:is>
      </ns0:c>
      <ns0:c r="H30" s="15" t="inlineStr">
        <ns0:is>
          <ns0:t>lw t6, 0(t0)</ns0:t>
        </ns0:is>
      </ns0:c>
      <ns0:c r="I30" t="inlineStr">
        <ns0:is>
          <ns0:t>lw</ns0:t>
        </ns0:is>
      </ns0:c>
      <ns0:c r="J30" t="inlineStr">
        <ns0:is>
          <ns0:t>CORE</ns0:t>
        </ns0:is>
      </ns0:c>
      <ns0:c r="K30" s="15" t="n">
        <ns0:v>1025</ns0:v>
      </ns0:c>
      <ns0:c r="L30" t="inlineStr">
        <ns0:is>
          <ns0:t>FETCH|0x00000104|0x0002AF83</ns0:t>
        </ns0:is>
      </ns0:c>
      <ns0:c r="M30" t="inlineStr">
        <ns0:is>
          <ns0:t>lw@0x00000104</ns0:t>
        </ns0:is>
      </ns0:c>
      <ns0:c r="N30">
        <ns0:f>IF(E30="FETCH",IF(COUNTIF($M$6:M30,M30)=1,1,0),0)</ns0:f>
        <ns0:v>1</ns0:v>
      </ns0:c>
      <ns0:c r="O30" t="inlineStr">
        <ns0:is>
          <ns0:t>ROM OK</ns0:t>
        </ns0:is>
      </ns0:c>
      <ns0:c r="P30">
        <ns0:f>IF(AND(E30="FETCH",F30="0x00000048"),C30-1,0)</ns0:f>
        <ns0:v>0</ns0:v>
      </ns0:c>
      <ns0:c r="Q30" s="15" t="inlineStr">
        <ns0:is>
          <ns0:t>E:00000018:00010066:00000104:0002af83</ns0:t>
        </ns0:is>
      </ns0:c>
    </ns0:row>
    <ns0:row r="31">
      <ns0:c r="A31" s="17" t="n">
        <ns0:v>1</ns0:v>
      </ns0:c>
      <ns0:c r="B31" s="17" t="inlineStr">
        <ns0:is>
          <ns0:t>4</ns0:t>
        </ns0:is>
      </ns0:c>
      <ns0:c r="C31" s="17" t="n">
        <ns0:v>26</ns0:v>
      </ns0:c>
      <ns0:c r="D31" s="17" t="n">
        <ns0:v>105</ns0:v>
      </ns0:c>
      <ns0:c r="E31" s="18" t="inlineStr">
        <ns0:is>
          <ns0:t>LED_WRITE</ns0:t>
        </ns0:is>
      </ns0:c>
      <ns0:c r="F31" s="19" t="inlineStr">
        <ns0:is>
          <ns0:t>0x20000000</ns0:t>
        </ns0:is>
      </ns0:c>
      <ns0:c r="G31" s="19" t="inlineStr">
        <ns0:is>
          <ns0:t>0x00000008</ns0:t>
        </ns0:is>
      </ns0:c>
      <ns0:c r="H31" s="19" t="inlineStr">
        <ns0:is>
          <ns0:t>MMIO GPIO write</ns0:t>
        </ns0:is>
      </ns0:c>
      <ns0:c r="I31" s="17" t="inlineStr">
        <ns0:is>
          <ns0:t>LED_WRITE</ns0:t>
        </ns0:is>
      </ns0:c>
      <ns0:c r="J31" s="17" t="inlineStr">
        <ns0:is>
          <ns0:t>MMIO</ns0:t>
        </ns0:is>
      </ns0:c>
      <ns0:c r="K31" s="19" t="n">
        <ns0:v>1026</ns0:v>
      </ns0:c>
      <ns0:c r="L31" s="17" t="inlineStr">
        <ns0:is>
          <ns0:t>LED_WRITE|0x20000000|0x00000008</ns0:t>
        </ns0:is>
      </ns0:c>
      <ns0:c r="M31" s="17" t="inlineStr"/>
      <ns0:c r="N31" s="17">
        <ns0:f>IF(E31="FETCH",IF(COUNTIF($M$6:M31,M31)=1,1,0),0)</ns0:f>
        <ns0:v>0</ns0:v>
      </ns0:c>
      <ns0:c r="O31" s="17" t="inlineStr">
        <ns0:is>
          <ns0:t>MMIO OK</ns0:t>
        </ns0:is>
      </ns0:c>
      <ns0:c r="P31" s="17">
        <ns0:f>IF(AND(E31="FETCH",F31="0x00000048"),C31-1,0)</ns0:f>
        <ns0:v>0</ns0:v>
      </ns0:c>
      <ns0:c r="Q31" s="19" t="inlineStr">
        <ns0:is>
          <ns0:t>E:00000019:00020069:20000000:00000008</ns0:t>
        </ns0:is>
      </ns0:c>
    </ns0:row>
    <ns0:row r="32">
      <ns0:c r="A32" t="n">
        <ns0:v>2</ns0:v>
      </ns0:c>
      <ns0:c r="B32" t="inlineStr">
        <ns0:is>
          <ns0:t>0</ns0:t>
        </ns0:is>
      </ns0:c>
      <ns0:c r="C32" t="n">
        <ns0:v>1</ns0:v>
      </ns0:c>
      <ns0:c r="D32" t="n">
        <ns0:v>2</ns0:v>
      </ns0:c>
      <ns0:c r="E32" s="14" t="inlineStr">
        <ns0:is>
          <ns0:t>FETCH</ns0:t>
        </ns0:is>
      </ns0:c>
      <ns0:c r="F32" s="15" t="inlineStr">
        <ns0:is>
          <ns0:t>0x00000044</ns0:t>
        </ns0:is>
      </ns0:c>
      <ns0:c r="G32" s="15" t="inlineStr">
        <ns0:is>
          <ns0:t>0x0182AE03</ns0:t>
        </ns0:is>
      </ns0:c>
      <ns0:c r="H32" s="15" t="inlineStr">
        <ns0:is>
          <ns0:t>lw t3, 24(t0)</ns0:t>
        </ns0:is>
      </ns0:c>
      <ns0:c r="I32" t="inlineStr">
        <ns0:is>
          <ns0:t>lw</ns0:t>
        </ns0:is>
      </ns0:c>
      <ns0:c r="J32" s="16" t="inlineStr">
        <ns0:is>
          <ns0:t>POLL</ns0:t>
        </ns0:is>
      </ns0:c>
      <ns0:c r="K32" s="15" t="n">
        <ns0:v>2001</ns0:v>
      </ns0:c>
      <ns0:c r="L32" t="inlineStr">
        <ns0:is>
          <ns0:t>FETCH|0x00000044|0x0182AE03</ns0:t>
        </ns0:is>
      </ns0:c>
      <ns0:c r="M32" t="inlineStr">
        <ns0:is>
          <ns0:t>lw@0x00000044</ns0:t>
        </ns0:is>
      </ns0:c>
      <ns0:c r="N32">
        <ns0:f>IF(E32="FETCH",IF(COUNTIF($M$6:M32,M32)=1,1,0),0)</ns0:f>
        <ns0:v>0</ns0:v>
      </ns0:c>
      <ns0:c r="O32" t="inlineStr">
        <ns0:is>
          <ns0:t>ROM OK</ns0:t>
        </ns0:is>
      </ns0:c>
      <ns0:c r="P32">
        <ns0:f>IF(AND(E32="FETCH",F32="0x00000048"),C32-1,0)</ns0:f>
        <ns0:v>0</ns0:v>
      </ns0:c>
      <ns0:c r="Q32" s="15" t="inlineStr">
        <ns0:is>
          <ns0:t>E:00000000:00010002:00000044:0182ae03</ns0:t>
        </ns0:is>
      </ns0:c>
    </ns0:row>
    <ns0:row r="33">
      <ns0:c r="A33" t="n">
        <ns0:v>2</ns0:v>
      </ns0:c>
      <ns0:c r="B33" t="inlineStr">
        <ns0:is>
          <ns0:t>0</ns0:t>
        </ns0:is>
      </ns0:c>
      <ns0:c r="C33" t="n">
        <ns0:v>2</ns0:v>
      </ns0:c>
      <ns0:c r="D33" t="n">
        <ns0:v>5</ns0:v>
      </ns0:c>
      <ns0:c r="E33" s="14" t="inlineStr">
        <ns0:is>
          <ns0:t>FETCH</ns0:t>
        </ns0:is>
      </ns0:c>
      <ns0:c r="F33" s="15" t="inlineStr">
        <ns0:is>
          <ns0:t>0x00000038</ns0:t>
        </ns0:is>
      </ns0:c>
      <ns0:c r="G33" s="15" t="inlineStr">
        <ns0:is>
          <ns0:t>0x01C2A383</ns0:t>
        </ns0:is>
      </ns0:c>
      <ns0:c r="H33" s="15" t="inlineStr">
        <ns0:is>
          <ns0:t>lw t2, 28(t0)</ns0:t>
        </ns0:is>
      </ns0:c>
      <ns0:c r="I33" t="inlineStr">
        <ns0:is>
          <ns0:t>lw</ns0:t>
        </ns0:is>
      </ns0:c>
      <ns0:c r="J33" s="16" t="inlineStr">
        <ns0:is>
          <ns0:t>POLL</ns0:t>
        </ns0:is>
      </ns0:c>
      <ns0:c r="K33" s="15" t="n">
        <ns0:v>2002</ns0:v>
      </ns0:c>
      <ns0:c r="L33" t="inlineStr">
        <ns0:is>
          <ns0:t>FETCH|0x00000038|0x01C2A383</ns0:t>
        </ns0:is>
      </ns0:c>
      <ns0:c r="M33" t="inlineStr">
        <ns0:is>
          <ns0:t>lw@0x00000038</ns0:t>
        </ns0:is>
      </ns0:c>
      <ns0:c r="N33">
        <ns0:f>IF(E33="FETCH",IF(COUNTIF($M$6:M33,M33)=1,1,0),0)</ns0:f>
        <ns0:v>1</ns0:v>
      </ns0:c>
      <ns0:c r="O33" t="inlineStr">
        <ns0:is>
          <ns0:t>ROM OK</ns0:t>
        </ns0:is>
      </ns0:c>
      <ns0:c r="P33">
        <ns0:f>IF(AND(E33="FETCH",F33="0x00000048"),C33-1,0)</ns0:f>
        <ns0:v>0</ns0:v>
      </ns0:c>
      <ns0:c r="Q33" s="15" t="inlineStr">
        <ns0:is>
          <ns0:t>E:00000001:00010005:00000038:01c2a383</ns0:t>
        </ns0:is>
      </ns0:c>
    </ns0:row>
    <ns0:row r="34">
      <ns0:c r="A34" t="n">
        <ns0:v>2</ns0:v>
      </ns0:c>
      <ns0:c r="B34" t="inlineStr">
        <ns0:is>
          <ns0:t>0</ns0:t>
        </ns0:is>
      </ns0:c>
      <ns0:c r="C34" t="n">
        <ns0:v>3</ns0:v>
      </ns0:c>
      <ns0:c r="D34" t="n">
        <ns0:v>9</ns0:v>
      </ns0:c>
      <ns0:c r="E34" s="14" t="inlineStr">
        <ns0:is>
          <ns0:t>FETCH</ns0:t>
        </ns0:is>
      </ns0:c>
      <ns0:c r="F34" s="15" t="inlineStr">
        <ns0:is>
          <ns0:t>0x0000003C</ns0:t>
        </ns0:is>
      </ns0:c>
      <ns0:c r="G34" s="15" t="inlineStr">
        <ns0:is>
          <ns0:t>0x0013F393</ns0:t>
        </ns0:is>
      </ns0:c>
      <ns0:c r="H34" s="15" t="inlineStr">
        <ns0:is>
          <ns0:t>andi t2, t2, 1</ns0:t>
        </ns0:is>
      </ns0:c>
      <ns0:c r="I34" t="inlineStr">
        <ns0:is>
          <ns0:t>andi</ns0:t>
        </ns0:is>
      </ns0:c>
      <ns0:c r="J34" s="16" t="inlineStr">
        <ns0:is>
          <ns0:t>POLL</ns0:t>
        </ns0:is>
      </ns0:c>
      <ns0:c r="K34" s="15" t="n">
        <ns0:v>2003</ns0:v>
      </ns0:c>
      <ns0:c r="L34" t="inlineStr">
        <ns0:is>
          <ns0:t>FETCH|0x0000003C|0x0013F393</ns0:t>
        </ns0:is>
      </ns0:c>
      <ns0:c r="M34" t="inlineStr">
        <ns0:is>
          <ns0:t>andi@0x0000003C</ns0:t>
        </ns0:is>
      </ns0:c>
      <ns0:c r="N34">
        <ns0:f>IF(E34="FETCH",IF(COUNTIF($M$6:M34,M34)=1,1,0),0)</ns0:f>
        <ns0:v>0</ns0:v>
      </ns0:c>
      <ns0:c r="O34" t="inlineStr">
        <ns0:is>
          <ns0:t>ROM OK</ns0:t>
        </ns0:is>
      </ns0:c>
      <ns0:c r="P34">
        <ns0:f>IF(AND(E34="FETCH",F34="0x00000048"),C34-1,0)</ns0:f>
        <ns0:v>0</ns0:v>
      </ns0:c>
      <ns0:c r="Q34" s="15" t="inlineStr">
        <ns0:is>
          <ns0:t>E:00000002:00010009:0000003c:0013f393</ns0:t>
        </ns0:is>
      </ns0:c>
    </ns0:row>
    <ns0:row r="35">
      <ns0:c r="A35" t="n">
        <ns0:v>2</ns0:v>
      </ns0:c>
      <ns0:c r="B35" t="inlineStr">
        <ns0:is>
          <ns0:t>0</ns0:t>
        </ns0:is>
      </ns0:c>
      <ns0:c r="C35" t="n">
        <ns0:v>4</ns0:v>
      </ns0:c>
      <ns0:c r="D35" t="n">
        <ns0:v>16</ns0:v>
      </ns0:c>
      <ns0:c r="E35" s="14" t="inlineStr">
        <ns0:is>
          <ns0:t>FETCH</ns0:t>
        </ns0:is>
      </ns0:c>
      <ns0:c r="F35" s="15" t="inlineStr">
        <ns0:is>
          <ns0:t>0x00000040</ns0:t>
        </ns0:is>
      </ns0:c>
      <ns0:c r="G35" s="15" t="inlineStr">
        <ns0:is>
          <ns0:t>0xFE038CE3</ns0:t>
        </ns0:is>
      </ns0:c>
      <ns0:c r="H35" s="15" t="inlineStr">
        <ns0:is>
          <ns0:t>beq t2, zero, 0x00000038</ns0:t>
        </ns0:is>
      </ns0:c>
      <ns0:c r="I35" t="inlineStr">
        <ns0:is>
          <ns0:t>beq</ns0:t>
        </ns0:is>
      </ns0:c>
      <ns0:c r="J35" s="16" t="inlineStr">
        <ns0:is>
          <ns0:t>POLL</ns0:t>
        </ns0:is>
      </ns0:c>
      <ns0:c r="K35" s="15" t="n">
        <ns0:v>2004</ns0:v>
      </ns0:c>
      <ns0:c r="L35" t="inlineStr">
        <ns0:is>
          <ns0:t>FETCH|0x00000040|0xFE038CE3</ns0:t>
        </ns0:is>
      </ns0:c>
      <ns0:c r="M35" t="inlineStr">
        <ns0:is>
          <ns0:t>beq@0x00000040</ns0:t>
        </ns0:is>
      </ns0:c>
      <ns0:c r="N35">
        <ns0:f>IF(E35="FETCH",IF(COUNTIF($M$6:M35,M35)=1,1,0),0)</ns0:f>
        <ns0:v>0</ns0:v>
      </ns0:c>
      <ns0:c r="O35" t="inlineStr">
        <ns0:is>
          <ns0:t>ROM OK</ns0:t>
        </ns0:is>
      </ns0:c>
      <ns0:c r="P35">
        <ns0:f>IF(AND(E35="FETCH",F35="0x00000048"),C35-1,0)</ns0:f>
        <ns0:v>0</ns0:v>
      </ns0:c>
      <ns0:c r="Q35" s="15" t="inlineStr">
        <ns0:is>
          <ns0:t>E:00000003:00010010:00000040:fe038ce3</ns0:t>
        </ns0:is>
      </ns0:c>
    </ns0:row>
    <ns0:row r="36">
      <ns0:c r="A36" t="n">
        <ns0:v>2</ns0:v>
      </ns0:c>
      <ns0:c r="B36" t="inlineStr">
        <ns0:is>
          <ns0:t>0</ns0:t>
        </ns0:is>
      </ns0:c>
      <ns0:c r="C36" t="n">
        <ns0:v>5</ns0:v>
      </ns0:c>
      <ns0:c r="D36" t="n">
        <ns0:v>20</ns0:v>
      </ns0:c>
      <ns0:c r="E36" s="14" t="inlineStr">
        <ns0:is>
          <ns0:t>FETCH</ns0:t>
        </ns0:is>
      </ns0:c>
      <ns0:c r="F36" s="15" t="inlineStr">
        <ns0:is>
          <ns0:t>0x00000044</ns0:t>
        </ns0:is>
      </ns0:c>
      <ns0:c r="G36" s="15" t="inlineStr">
        <ns0:is>
          <ns0:t>0x0182AE03</ns0:t>
        </ns0:is>
      </ns0:c>
      <ns0:c r="H36" s="15" t="inlineStr">
        <ns0:is>
          <ns0:t>lw t3, 24(t0)</ns0:t>
        </ns0:is>
      </ns0:c>
      <ns0:c r="I36" t="inlineStr">
        <ns0:is>
          <ns0:t>lw</ns0:t>
        </ns0:is>
      </ns0:c>
      <ns0:c r="J36" s="16" t="inlineStr">
        <ns0:is>
          <ns0:t>POLL</ns0:t>
        </ns0:is>
      </ns0:c>
      <ns0:c r="K36" s="15" t="n">
        <ns0:v>2005</ns0:v>
      </ns0:c>
      <ns0:c r="L36" t="inlineStr">
        <ns0:is>
          <ns0:t>FETCH|0x00000044|0x0182AE03</ns0:t>
        </ns0:is>
      </ns0:c>
      <ns0:c r="M36" t="inlineStr">
        <ns0:is>
          <ns0:t>lw@0x00000044</ns0:t>
        </ns0:is>
      </ns0:c>
      <ns0:c r="N36">
        <ns0:f>IF(E36="FETCH",IF(COUNTIF($M$6:M36,M36)=1,1,0),0)</ns0:f>
        <ns0:v>0</ns0:v>
      </ns0:c>
      <ns0:c r="O36" t="inlineStr">
        <ns0:is>
          <ns0:t>ROM OK</ns0:t>
        </ns0:is>
      </ns0:c>
      <ns0:c r="P36">
        <ns0:f>IF(AND(E36="FETCH",F36="0x00000048"),C36-1,0)</ns0:f>
        <ns0:v>0</ns0:v>
      </ns0:c>
      <ns0:c r="Q36" s="15" t="inlineStr">
        <ns0:is>
          <ns0:t>E:00000004:00010014:00000044:0182ae03</ns0:t>
        </ns0:is>
      </ns0:c>
    </ns0:row>
    <ns0:row r="37">
      <ns0:c r="A37" t="n">
        <ns0:v>2</ns0:v>
      </ns0:c>
      <ns0:c r="B37" t="inlineStr">
        <ns0:is>
          <ns0:t>0</ns0:t>
        </ns0:is>
      </ns0:c>
      <ns0:c r="C37" t="n">
        <ns0:v>6</ns0:v>
      </ns0:c>
      <ns0:c r="D37" t="n">
        <ns0:v>24</ns0:v>
      </ns0:c>
      <ns0:c r="E37" s="14" t="inlineStr">
        <ns0:is>
          <ns0:t>FETCH</ns0:t>
        </ns0:is>
      </ns0:c>
      <ns0:c r="F37" s="15" t="inlineStr">
        <ns0:is>
          <ns0:t>0x00000048</ns0:t>
        </ns0:is>
      </ns0:c>
      <ns0:c r="G37" s="15" t="inlineStr">
        <ns0:is>
          <ns0:t>0x05400413</ns0:t>
        </ns0:is>
      </ns0:c>
      <ns0:c r="H37" s="15" t="inlineStr">
        <ns0:is>
          <ns0:t>addi s0, zero, 84</ns0:t>
        </ns0:is>
      </ns0:c>
      <ns0:c r="I37" t="inlineStr">
        <ns0:is>
          <ns0:t>addi</ns0:t>
        </ns0:is>
      </ns0:c>
      <ns0:c r="J37" t="inlineStr">
        <ns0:is>
          <ns0:t>CORE</ns0:t>
        </ns0:is>
      </ns0:c>
      <ns0:c r="K37" s="15" t="n">
        <ns0:v>2006</ns0:v>
      </ns0:c>
      <ns0:c r="L37" t="inlineStr">
        <ns0:is>
          <ns0:t>FETCH|0x00000048|0x05400413</ns0:t>
        </ns0:is>
      </ns0:c>
      <ns0:c r="M37" t="inlineStr">
        <ns0:is>
          <ns0:t>addi@0x00000048</ns0:t>
        </ns0:is>
      </ns0:c>
      <ns0:c r="N37">
        <ns0:f>IF(E37="FETCH",IF(COUNTIF($M$6:M37,M37)=1,1,0),0)</ns0:f>
        <ns0:v>0</ns0:v>
      </ns0:c>
      <ns0:c r="O37" t="inlineStr">
        <ns0:is>
          <ns0:t>ROM OK</ns0:t>
        </ns0:is>
      </ns0:c>
      <ns0:c r="P37">
        <ns0:f>IF(AND(E37="FETCH",F37="0x00000048"),C37-1,0)</ns0:f>
        <ns0:v>5</ns0:v>
      </ns0:c>
      <ns0:c r="Q37" s="15" t="inlineStr">
        <ns0:is>
          <ns0:t>E:00000005:00010018:00000048:05400413</ns0:t>
        </ns0:is>
      </ns0:c>
    </ns0:row>
    <ns0:row r="38">
      <ns0:c r="A38" t="n">
        <ns0:v>2</ns0:v>
      </ns0:c>
      <ns0:c r="B38" t="inlineStr">
        <ns0:is>
          <ns0:t>0</ns0:t>
        </ns0:is>
      </ns0:c>
      <ns0:c r="C38" t="n">
        <ns0:v>7</ns0:v>
      </ns0:c>
      <ns0:c r="D38" t="n">
        <ns0:v>31</ns0:v>
      </ns0:c>
      <ns0:c r="E38" s="14" t="inlineStr">
        <ns0:is>
          <ns0:t>FETCH</ns0:t>
        </ns0:is>
      </ns0:c>
      <ns0:c r="F38" s="15" t="inlineStr">
        <ns0:is>
          <ns0:t>0x0000004C</ns0:t>
        </ns0:is>
      </ns0:c>
      <ns0:c r="G38" s="15" t="inlineStr">
        <ns0:is>
          <ns0:t>0x1A8E0063</ns0:t>
        </ns0:is>
      </ns0:c>
      <ns0:c r="H38" s="15" t="inlineStr">
        <ns0:is>
          <ns0:t>beq t3, s0, 0x000001EC</ns0:t>
        </ns0:is>
      </ns0:c>
      <ns0:c r="I38" t="inlineStr">
        <ns0:is>
          <ns0:t>beq</ns0:t>
        </ns0:is>
      </ns0:c>
      <ns0:c r="J38" t="inlineStr">
        <ns0:is>
          <ns0:t>CORE</ns0:t>
        </ns0:is>
      </ns0:c>
      <ns0:c r="K38" s="15" t="n">
        <ns0:v>2007</ns0:v>
      </ns0:c>
      <ns0:c r="L38" t="inlineStr">
        <ns0:is>
          <ns0:t>FETCH|0x0000004C|0x1A8E0063</ns0:t>
        </ns0:is>
      </ns0:c>
      <ns0:c r="M38" t="inlineStr">
        <ns0:is>
          <ns0:t>beq@0x0000004C</ns0:t>
        </ns0:is>
      </ns0:c>
      <ns0:c r="N38">
        <ns0:f>IF(E38="FETCH",IF(COUNTIF($M$6:M38,M38)=1,1,0),0)</ns0:f>
        <ns0:v>0</ns0:v>
      </ns0:c>
      <ns0:c r="O38" t="inlineStr">
        <ns0:is>
          <ns0:t>ROM OK</ns0:t>
        </ns0:is>
      </ns0:c>
      <ns0:c r="P38">
        <ns0:f>IF(AND(E38="FETCH",F38="0x00000048"),C38-1,0)</ns0:f>
        <ns0:v>0</ns0:v>
      </ns0:c>
      <ns0:c r="Q38" s="15" t="inlineStr">
        <ns0:is>
          <ns0:t>E:00000006:0001001f:0000004c:1a8e0063</ns0:t>
        </ns0:is>
      </ns0:c>
    </ns0:row>
    <ns0:row r="39">
      <ns0:c r="A39" t="n">
        <ns0:v>2</ns0:v>
      </ns0:c>
      <ns0:c r="B39" t="inlineStr">
        <ns0:is>
          <ns0:t>0</ns0:t>
        </ns0:is>
      </ns0:c>
      <ns0:c r="C39" t="n">
        <ns0:v>8</ns0:v>
      </ns0:c>
      <ns0:c r="D39" t="n">
        <ns0:v>35</ns0:v>
      </ns0:c>
      <ns0:c r="E39" s="14" t="inlineStr">
        <ns0:is>
          <ns0:t>FETCH</ns0:t>
        </ns0:is>
      </ns0:c>
      <ns0:c r="F39" s="15" t="inlineStr">
        <ns0:is>
          <ns0:t>0x00000050</ns0:t>
        </ns0:is>
      </ns0:c>
      <ns0:c r="G39" s="15" t="inlineStr">
        <ns0:is>
          <ns0:t>0x04300413</ns0:t>
        </ns0:is>
      </ns0:c>
      <ns0:c r="H39" s="15" t="inlineStr">
        <ns0:is>
          <ns0:t>addi s0, zero, 67</ns0:t>
        </ns0:is>
      </ns0:c>
      <ns0:c r="I39" t="inlineStr">
        <ns0:is>
          <ns0:t>addi</ns0:t>
        </ns0:is>
      </ns0:c>
      <ns0:c r="J39" t="inlineStr">
        <ns0:is>
          <ns0:t>CORE</ns0:t>
        </ns0:is>
      </ns0:c>
      <ns0:c r="K39" s="15" t="n">
        <ns0:v>2008</ns0:v>
      </ns0:c>
      <ns0:c r="L39" t="inlineStr">
        <ns0:is>
          <ns0:t>FETCH|0x00000050|0x04300413</ns0:t>
        </ns0:is>
      </ns0:c>
      <ns0:c r="M39" t="inlineStr">
        <ns0:is>
          <ns0:t>addi@0x00000050</ns0:t>
        </ns0:is>
      </ns0:c>
      <ns0:c r="N39">
        <ns0:f>IF(E39="FETCH",IF(COUNTIF($M$6:M39,M39)=1,1,0),0)</ns0:f>
        <ns0:v>0</ns0:v>
      </ns0:c>
      <ns0:c r="O39" t="inlineStr">
        <ns0:is>
          <ns0:t>ROM OK</ns0:t>
        </ns0:is>
      </ns0:c>
      <ns0:c r="P39">
        <ns0:f>IF(AND(E39="FETCH",F39="0x00000048"),C39-1,0)</ns0:f>
        <ns0:v>0</ns0:v>
      </ns0:c>
      <ns0:c r="Q39" s="15" t="inlineStr">
        <ns0:is>
          <ns0:t>E:00000007:00010023:00000050:04300413</ns0:t>
        </ns0:is>
      </ns0:c>
    </ns0:row>
    <ns0:row r="40">
      <ns0:c r="A40" t="n">
        <ns0:v>2</ns0:v>
      </ns0:c>
      <ns0:c r="B40" t="inlineStr">
        <ns0:is>
          <ns0:t>0</ns0:t>
        </ns0:is>
      </ns0:c>
      <ns0:c r="C40" t="n">
        <ns0:v>9</ns0:v>
      </ns0:c>
      <ns0:c r="D40" t="n">
        <ns0:v>39</ns0:v>
      </ns0:c>
      <ns0:c r="E40" s="14" t="inlineStr">
        <ns0:is>
          <ns0:t>FETCH</ns0:t>
        </ns0:is>
      </ns0:c>
      <ns0:c r="F40" s="15" t="inlineStr">
        <ns0:is>
          <ns0:t>0x00000054</ns0:t>
        </ns0:is>
      </ns0:c>
      <ns0:c r="G40" s="15" t="inlineStr">
        <ns0:is>
          <ns0:t>0x188E0063</ns0:t>
        </ns0:is>
      </ns0:c>
      <ns0:c r="H40" s="15" t="inlineStr">
        <ns0:is>
          <ns0:t>beq t3, s0, 0x000001D4</ns0:t>
        </ns0:is>
      </ns0:c>
      <ns0:c r="I40" t="inlineStr">
        <ns0:is>
          <ns0:t>beq</ns0:t>
        </ns0:is>
      </ns0:c>
      <ns0:c r="J40" t="inlineStr">
        <ns0:is>
          <ns0:t>CORE</ns0:t>
        </ns0:is>
      </ns0:c>
      <ns0:c r="K40" s="15" t="n">
        <ns0:v>2009</ns0:v>
      </ns0:c>
      <ns0:c r="L40" t="inlineStr">
        <ns0:is>
          <ns0:t>FETCH|0x00000054|0x188E0063</ns0:t>
        </ns0:is>
      </ns0:c>
      <ns0:c r="M40" t="inlineStr">
        <ns0:is>
          <ns0:t>beq@0x00000054</ns0:t>
        </ns0:is>
      </ns0:c>
      <ns0:c r="N40">
        <ns0:f>IF(E40="FETCH",IF(COUNTIF($M$6:M40,M40)=1,1,0),0)</ns0:f>
        <ns0:v>0</ns0:v>
      </ns0:c>
      <ns0:c r="O40" t="inlineStr">
        <ns0:is>
          <ns0:t>ROM OK</ns0:t>
        </ns0:is>
      </ns0:c>
      <ns0:c r="P40">
        <ns0:f>IF(AND(E40="FETCH",F40="0x00000048"),C40-1,0)</ns0:f>
        <ns0:v>0</ns0:v>
      </ns0:c>
      <ns0:c r="Q40" s="15" t="inlineStr">
        <ns0:is>
          <ns0:t>E:00000008:00010027:00000054:188e0063</ns0:t>
        </ns0:is>
      </ns0:c>
    </ns0:row>
    <ns0:row r="41">
      <ns0:c r="A41" t="n">
        <ns0:v>2</ns0:v>
      </ns0:c>
      <ns0:c r="B41" t="inlineStr">
        <ns0:is>
          <ns0:t>0</ns0:t>
        </ns0:is>
      </ns0:c>
      <ns0:c r="C41" t="n">
        <ns0:v>10</ns0:v>
      </ns0:c>
      <ns0:c r="D41" t="n">
        <ns0:v>43</ns0:v>
      </ns0:c>
      <ns0:c r="E41" s="14" t="inlineStr">
        <ns0:is>
          <ns0:t>FETCH</ns0:t>
        </ns0:is>
      </ns0:c>
      <ns0:c r="F41" s="15" t="inlineStr">
        <ns0:is>
          <ns0:t>0x00000058</ns0:t>
        </ns0:is>
      </ns0:c>
      <ns0:c r="G41" s="15" t="inlineStr">
        <ns0:is>
          <ns0:t>0x03F00413</ns0:t>
        </ns0:is>
      </ns0:c>
      <ns0:c r="H41" s="15" t="inlineStr">
        <ns0:is>
          <ns0:t>addi s0, zero, 63</ns0:t>
        </ns0:is>
      </ns0:c>
      <ns0:c r="I41" t="inlineStr">
        <ns0:is>
          <ns0:t>addi</ns0:t>
        </ns0:is>
      </ns0:c>
      <ns0:c r="J41" t="inlineStr">
        <ns0:is>
          <ns0:t>CORE</ns0:t>
        </ns0:is>
      </ns0:c>
      <ns0:c r="K41" s="15" t="n">
        <ns0:v>2010</ns0:v>
      </ns0:c>
      <ns0:c r="L41" t="inlineStr">
        <ns0:is>
          <ns0:t>FETCH|0x00000058|0x03F00413</ns0:t>
        </ns0:is>
      </ns0:c>
      <ns0:c r="M41" t="inlineStr">
        <ns0:is>
          <ns0:t>addi@0x00000058</ns0:t>
        </ns0:is>
      </ns0:c>
      <ns0:c r="N41">
        <ns0:f>IF(E41="FETCH",IF(COUNTIF($M$6:M41,M41)=1,1,0),0)</ns0:f>
        <ns0:v>0</ns0:v>
      </ns0:c>
      <ns0:c r="O41" t="inlineStr">
        <ns0:is>
          <ns0:t>ROM OK</ns0:t>
        </ns0:is>
      </ns0:c>
      <ns0:c r="P41">
        <ns0:f>IF(AND(E41="FETCH",F41="0x00000048"),C41-1,0)</ns0:f>
        <ns0:v>0</ns0:v>
      </ns0:c>
      <ns0:c r="Q41" s="15" t="inlineStr">
        <ns0:is>
          <ns0:t>E:00000009:0001002b:00000058:03f00413</ns0:t>
        </ns0:is>
      </ns0:c>
    </ns0:row>
    <ns0:row r="42">
      <ns0:c r="A42" t="n">
        <ns0:v>2</ns0:v>
      </ns0:c>
      <ns0:c r="B42" t="inlineStr">
        <ns0:is>
          <ns0:t>0</ns0:t>
        </ns0:is>
      </ns0:c>
      <ns0:c r="C42" t="n">
        <ns0:v>11</ns0:v>
      </ns0:c>
      <ns0:c r="D42" t="n">
        <ns0:v>47</ns0:v>
      </ns0:c>
      <ns0:c r="E42" s="14" t="inlineStr">
        <ns0:is>
          <ns0:t>FETCH</ns0:t>
        </ns0:is>
      </ns0:c>
      <ns0:c r="F42" s="15" t="inlineStr">
        <ns0:is>
          <ns0:t>0x0000005C</ns0:t>
        </ns0:is>
      </ns0:c>
      <ns0:c r="G42" s="15" t="inlineStr">
        <ns0:is>
          <ns0:t>0x0A8E0A63</ns0:t>
        </ns0:is>
      </ns0:c>
      <ns0:c r="H42" s="15" t="inlineStr">
        <ns0:is>
          <ns0:t>beq t3, s0, 0x00000110</ns0:t>
        </ns0:is>
      </ns0:c>
      <ns0:c r="I42" t="inlineStr">
        <ns0:is>
          <ns0:t>beq</ns0:t>
        </ns0:is>
      </ns0:c>
      <ns0:c r="J42" t="inlineStr">
        <ns0:is>
          <ns0:t>CORE</ns0:t>
        </ns0:is>
      </ns0:c>
      <ns0:c r="K42" s="15" t="n">
        <ns0:v>2011</ns0:v>
      </ns0:c>
      <ns0:c r="L42" t="inlineStr">
        <ns0:is>
          <ns0:t>FETCH|0x0000005C|0x0A8E0A63</ns0:t>
        </ns0:is>
      </ns0:c>
      <ns0:c r="M42" t="inlineStr">
        <ns0:is>
          <ns0:t>beq@0x0000005C</ns0:t>
        </ns0:is>
      </ns0:c>
      <ns0:c r="N42">
        <ns0:f>IF(E42="FETCH",IF(COUNTIF($M$6:M42,M42)=1,1,0),0)</ns0:f>
        <ns0:v>0</ns0:v>
      </ns0:c>
      <ns0:c r="O42" t="inlineStr">
        <ns0:is>
          <ns0:t>ROM OK</ns0:t>
        </ns0:is>
      </ns0:c>
      <ns0:c r="P42">
        <ns0:f>IF(AND(E42="FETCH",F42="0x00000048"),C42-1,0)</ns0:f>
        <ns0:v>0</ns0:v>
      </ns0:c>
      <ns0:c r="Q42" s="15" t="inlineStr">
        <ns0:is>
          <ns0:t>E:0000000a:0001002f:0000005c:0a8e0a63</ns0:t>
        </ns0:is>
      </ns0:c>
    </ns0:row>
    <ns0:row r="43">
      <ns0:c r="A43" t="n">
        <ns0:v>2</ns0:v>
      </ns0:c>
      <ns0:c r="B43" t="inlineStr">
        <ns0:is>
          <ns0:t>0</ns0:t>
        </ns0:is>
      </ns0:c>
      <ns0:c r="C43" t="n">
        <ns0:v>12</ns0:v>
      </ns0:c>
      <ns0:c r="D43" t="n">
        <ns0:v>51</ns0:v>
      </ns0:c>
      <ns0:c r="E43" s="14" t="inlineStr">
        <ns0:is>
          <ns0:t>FETCH</ns0:t>
        </ns0:is>
      </ns0:c>
      <ns0:c r="F43" s="15" t="inlineStr">
        <ns0:is>
          <ns0:t>0x00000060</ns0:t>
        </ns0:is>
      </ns0:c>
      <ns0:c r="G43" s="15" t="inlineStr">
        <ns0:is>
          <ns0:t>0x03000413</ns0:t>
        </ns0:is>
      </ns0:c>
      <ns0:c r="H43" s="15" t="inlineStr">
        <ns0:is>
          <ns0:t>addi s0, zero, 48</ns0:t>
        </ns0:is>
      </ns0:c>
      <ns0:c r="I43" t="inlineStr">
        <ns0:is>
          <ns0:t>addi</ns0:t>
        </ns0:is>
      </ns0:c>
      <ns0:c r="J43" t="inlineStr">
        <ns0:is>
          <ns0:t>CORE</ns0:t>
        </ns0:is>
      </ns0:c>
      <ns0:c r="K43" s="15" t="n">
        <ns0:v>2012</ns0:v>
      </ns0:c>
      <ns0:c r="L43" t="inlineStr">
        <ns0:is>
          <ns0:t>FETCH|0x00000060|0x03000413</ns0:t>
        </ns0:is>
      </ns0:c>
      <ns0:c r="M43" t="inlineStr">
        <ns0:is>
          <ns0:t>addi@0x00000060</ns0:t>
        </ns0:is>
      </ns0:c>
      <ns0:c r="N43">
        <ns0:f>IF(E43="FETCH",IF(COUNTIF($M$6:M43,M43)=1,1,0),0)</ns0:f>
        <ns0:v>0</ns0:v>
      </ns0:c>
      <ns0:c r="O43" t="inlineStr">
        <ns0:is>
          <ns0:t>ROM OK</ns0:t>
        </ns0:is>
      </ns0:c>
      <ns0:c r="P43">
        <ns0:f>IF(AND(E43="FETCH",F43="0x00000048"),C43-1,0)</ns0:f>
        <ns0:v>0</ns0:v>
      </ns0:c>
      <ns0:c r="Q43" s="15" t="inlineStr">
        <ns0:is>
          <ns0:t>E:0000000b:00010033:00000060:03000413</ns0:t>
        </ns0:is>
      </ns0:c>
    </ns0:row>
    <ns0:row r="44">
      <ns0:c r="A44" t="n">
        <ns0:v>2</ns0:v>
      </ns0:c>
      <ns0:c r="B44" t="inlineStr">
        <ns0:is>
          <ns0:t>0</ns0:t>
        </ns0:is>
      </ns0:c>
      <ns0:c r="C44" t="n">
        <ns0:v>13</ns0:v>
      </ns0:c>
      <ns0:c r="D44" t="n">
        <ns0:v>55</ns0:v>
      </ns0:c>
      <ns0:c r="E44" s="14" t="inlineStr">
        <ns0:is>
          <ns0:t>FETCH</ns0:t>
        </ns0:is>
      </ns0:c>
      <ns0:c r="F44" s="15" t="inlineStr">
        <ns0:is>
          <ns0:t>0x00000064</ns0:t>
        </ns0:is>
      </ns0:c>
      <ns0:c r="G44" s="15" t="inlineStr">
        <ns0:is>
          <ns0:t>0x048E0463</ns0:t>
        </ns0:is>
      </ns0:c>
      <ns0:c r="H44" s="15" t="inlineStr">
        <ns0:is>
          <ns0:t>beq t3, s0, 0x000000AC</ns0:t>
        </ns0:is>
      </ns0:c>
      <ns0:c r="I44" t="inlineStr">
        <ns0:is>
          <ns0:t>beq</ns0:t>
        </ns0:is>
      </ns0:c>
      <ns0:c r="J44" t="inlineStr">
        <ns0:is>
          <ns0:t>CORE</ns0:t>
        </ns0:is>
      </ns0:c>
      <ns0:c r="K44" s="15" t="n">
        <ns0:v>2013</ns0:v>
      </ns0:c>
      <ns0:c r="L44" t="inlineStr">
        <ns0:is>
          <ns0:t>FETCH|0x00000064|0x048E0463</ns0:t>
        </ns0:is>
      </ns0:c>
      <ns0:c r="M44" t="inlineStr">
        <ns0:is>
          <ns0:t>beq@0x00000064</ns0:t>
        </ns0:is>
      </ns0:c>
      <ns0:c r="N44">
        <ns0:f>IF(E44="FETCH",IF(COUNTIF($M$6:M44,M44)=1,1,0),0)</ns0:f>
        <ns0:v>0</ns0:v>
      </ns0:c>
      <ns0:c r="O44" t="inlineStr">
        <ns0:is>
          <ns0:t>ROM OK</ns0:t>
        </ns0:is>
      </ns0:c>
      <ns0:c r="P44">
        <ns0:f>IF(AND(E44="FETCH",F44="0x00000048"),C44-1,0)</ns0:f>
        <ns0:v>0</ns0:v>
      </ns0:c>
      <ns0:c r="Q44" s="15" t="inlineStr">
        <ns0:is>
          <ns0:t>E:0000000c:00010037:00000064:048e0463</ns0:t>
        </ns0:is>
      </ns0:c>
    </ns0:row>
    <ns0:row r="45">
      <ns0:c r="A45" t="n">
        <ns0:v>2</ns0:v>
      </ns0:c>
      <ns0:c r="B45" t="inlineStr">
        <ns0:is>
          <ns0:t>0</ns0:t>
        </ns0:is>
      </ns0:c>
      <ns0:c r="C45" t="n">
        <ns0:v>14</ns0:v>
      </ns0:c>
      <ns0:c r="D45" t="n">
        <ns0:v>59</ns0:v>
      </ns0:c>
      <ns0:c r="E45" s="14" t="inlineStr">
        <ns0:is>
          <ns0:t>FETCH</ns0:t>
        </ns0:is>
      </ns0:c>
      <ns0:c r="F45" s="15" t="inlineStr">
        <ns0:is>
          <ns0:t>0x00000068</ns0:t>
        </ns0:is>
      </ns0:c>
      <ns0:c r="G45" s="15" t="inlineStr">
        <ns0:is>
          <ns0:t>0x03100413</ns0:t>
        </ns0:is>
      </ns0:c>
      <ns0:c r="H45" s="15" t="inlineStr">
        <ns0:is>
          <ns0:t>addi s0, zero, 49</ns0:t>
        </ns0:is>
      </ns0:c>
      <ns0:c r="I45" t="inlineStr">
        <ns0:is>
          <ns0:t>addi</ns0:t>
        </ns0:is>
      </ns0:c>
      <ns0:c r="J45" t="inlineStr">
        <ns0:is>
          <ns0:t>CORE</ns0:t>
        </ns0:is>
      </ns0:c>
      <ns0:c r="K45" s="15" t="n">
        <ns0:v>2014</ns0:v>
      </ns0:c>
      <ns0:c r="L45" t="inlineStr">
        <ns0:is>
          <ns0:t>FETCH|0x00000068|0x03100413</ns0:t>
        </ns0:is>
      </ns0:c>
      <ns0:c r="M45" t="inlineStr">
        <ns0:is>
          <ns0:t>addi@0x00000068</ns0:t>
        </ns0:is>
      </ns0:c>
      <ns0:c r="N45">
        <ns0:f>IF(E45="FETCH",IF(COUNTIF($M$6:M45,M45)=1,1,0),0)</ns0:f>
        <ns0:v>0</ns0:v>
      </ns0:c>
      <ns0:c r="O45" t="inlineStr">
        <ns0:is>
          <ns0:t>ROM OK</ns0:t>
        </ns0:is>
      </ns0:c>
      <ns0:c r="P45">
        <ns0:f>IF(AND(E45="FETCH",F45="0x00000048"),C45-1,0)</ns0:f>
        <ns0:v>0</ns0:v>
      </ns0:c>
      <ns0:c r="Q45" s="15" t="inlineStr">
        <ns0:is>
          <ns0:t>E:0000000d:0001003b:00000068:03100413</ns0:t>
        </ns0:is>
      </ns0:c>
    </ns0:row>
    <ns0:row r="46">
      <ns0:c r="A46" t="n">
        <ns0:v>2</ns0:v>
      </ns0:c>
      <ns0:c r="B46" t="inlineStr">
        <ns0:is>
          <ns0:t>0</ns0:t>
        </ns0:is>
      </ns0:c>
      <ns0:c r="C46" t="n">
        <ns0:v>15</ns0:v>
      </ns0:c>
      <ns0:c r="D46" t="n">
        <ns0:v>62</ns0:v>
      </ns0:c>
      <ns0:c r="E46" s="14" t="inlineStr">
        <ns0:is>
          <ns0:t>FETCH</ns0:t>
        </ns0:is>
      </ns0:c>
      <ns0:c r="F46" s="15" t="inlineStr">
        <ns0:is>
          <ns0:t>0x000000AC</ns0:t>
        </ns0:is>
      </ns0:c>
      <ns0:c r="G46" s="15" t="inlineStr">
        <ns0:is>
          <ns0:t>0x00000E93</ns0:t>
        </ns0:is>
      </ns0:c>
      <ns0:c r="H46" s="15" t="inlineStr">
        <ns0:is>
          <ns0:t>addi t4, zero, 0</ns0:t>
        </ns0:is>
      </ns0:c>
      <ns0:c r="I46" t="inlineStr">
        <ns0:is>
          <ns0:t>addi</ns0:t>
        </ns0:is>
      </ns0:c>
      <ns0:c r="J46" t="inlineStr">
        <ns0:is>
          <ns0:t>CORE</ns0:t>
        </ns0:is>
      </ns0:c>
      <ns0:c r="K46" s="15" t="n">
        <ns0:v>2015</ns0:v>
      </ns0:c>
      <ns0:c r="L46" t="inlineStr">
        <ns0:is>
          <ns0:t>FETCH|0x000000AC|0x00000E93</ns0:t>
        </ns0:is>
      </ns0:c>
      <ns0:c r="M46" t="inlineStr">
        <ns0:is>
          <ns0:t>addi@0x000000AC</ns0:t>
        </ns0:is>
      </ns0:c>
      <ns0:c r="N46">
        <ns0:f>IF(E46="FETCH",IF(COUNTIF($M$6:M46,M46)=1,1,0),0)</ns0:f>
        <ns0:v>1</ns0:v>
      </ns0:c>
      <ns0:c r="O46" t="inlineStr">
        <ns0:is>
          <ns0:t>ROM OK</ns0:t>
        </ns0:is>
      </ns0:c>
      <ns0:c r="P46">
        <ns0:f>IF(AND(E46="FETCH",F46="0x00000048"),C46-1,0)</ns0:f>
        <ns0:v>0</ns0:v>
      </ns0:c>
      <ns0:c r="Q46" s="15" t="inlineStr">
        <ns0:is>
          <ns0:t>E:0000000e:0001003e:000000ac:00000e93</ns0:t>
        </ns0:is>
      </ns0:c>
    </ns0:row>
    <ns0:row r="47">
      <ns0:c r="A47" t="n">
        <ns0:v>2</ns0:v>
      </ns0:c>
      <ns0:c r="B47" t="inlineStr">
        <ns0:is>
          <ns0:t>0</ns0:t>
        </ns0:is>
      </ns0:c>
      <ns0:c r="C47" t="n">
        <ns0:v>16</ns0:v>
      </ns0:c>
      <ns0:c r="D47" t="n">
        <ns0:v>66</ns0:v>
      </ns0:c>
      <ns0:c r="E47" s="14" t="inlineStr">
        <ns0:is>
          <ns0:t>FETCH</ns0:t>
        </ns0:is>
      </ns0:c>
      <ns0:c r="F47" s="15" t="inlineStr">
        <ns0:is>
          <ns0:t>0x000000B0</ns0:t>
        </ns0:is>
      </ns0:c>
      <ns0:c r="G47" s="15" t="inlineStr">
        <ns0:is>
          <ns0:t>0x03000F13</ns0:t>
        </ns0:is>
      </ns0:c>
      <ns0:c r="H47" s="15" t="inlineStr">
        <ns0:is>
          <ns0:t>addi t5, zero, 48</ns0:t>
        </ns0:is>
      </ns0:c>
      <ns0:c r="I47" t="inlineStr">
        <ns0:is>
          <ns0:t>addi</ns0:t>
        </ns0:is>
      </ns0:c>
      <ns0:c r="J47" t="inlineStr">
        <ns0:is>
          <ns0:t>CORE</ns0:t>
        </ns0:is>
      </ns0:c>
      <ns0:c r="K47" s="15" t="n">
        <ns0:v>2016</ns0:v>
      </ns0:c>
      <ns0:c r="L47" t="inlineStr">
        <ns0:is>
          <ns0:t>FETCH|0x000000B0|0x03000F13</ns0:t>
        </ns0:is>
      </ns0:c>
      <ns0:c r="M47" t="inlineStr">
        <ns0:is>
          <ns0:t>addi@0x000000B0</ns0:t>
        </ns0:is>
      </ns0:c>
      <ns0:c r="N47">
        <ns0:f>IF(E47="FETCH",IF(COUNTIF($M$6:M47,M47)=1,1,0),0)</ns0:f>
        <ns0:v>1</ns0:v>
      </ns0:c>
      <ns0:c r="O47" t="inlineStr">
        <ns0:is>
          <ns0:t>ROM OK</ns0:t>
        </ns0:is>
      </ns0:c>
      <ns0:c r="P47">
        <ns0:f>IF(AND(E47="FETCH",F47="0x00000048"),C47-1,0)</ns0:f>
        <ns0:v>0</ns0:v>
      </ns0:c>
      <ns0:c r="Q47" s="15" t="inlineStr">
        <ns0:is>
          <ns0:t>E:0000000f:00010042:000000b0:03000f13</ns0:t>
        </ns0:is>
      </ns0:c>
    </ns0:row>
    <ns0:row r="48">
      <ns0:c r="A48" t="n">
        <ns0:v>2</ns0:v>
      </ns0:c>
      <ns0:c r="B48" t="inlineStr">
        <ns0:is>
          <ns0:t>0</ns0:t>
        </ns0:is>
      </ns0:c>
      <ns0:c r="C48" t="n">
        <ns0:v>17</ns0:v>
      </ns0:c>
      <ns0:c r="D48" t="n">
        <ns0:v>70</ns0:v>
      </ns0:c>
      <ns0:c r="E48" s="14" t="inlineStr">
        <ns0:is>
          <ns0:t>FETCH</ns0:t>
        </ns0:is>
      </ns0:c>
      <ns0:c r="F48" s="15" t="inlineStr">
        <ns0:is>
          <ns0:t>0x000000B4</ns0:t>
        </ns0:is>
      </ns0:c>
      <ns0:c r="G48" s="15" t="inlineStr">
        <ns0:is>
          <ns0:t>0x04C0006F</ns0:t>
        </ns0:is>
      </ns0:c>
      <ns0:c r="H48" s="15" t="inlineStr">
        <ns0:is>
          <ns0:t>jal zero, 0x00000100</ns0:t>
        </ns0:is>
      </ns0:c>
      <ns0:c r="I48" t="inlineStr">
        <ns0:is>
          <ns0:t>jal</ns0:t>
        </ns0:is>
      </ns0:c>
      <ns0:c r="J48" t="inlineStr">
        <ns0:is>
          <ns0:t>CORE</ns0:t>
        </ns0:is>
      </ns0:c>
      <ns0:c r="K48" s="15" t="n">
        <ns0:v>2017</ns0:v>
      </ns0:c>
      <ns0:c r="L48" t="inlineStr">
        <ns0:is>
          <ns0:t>FETCH|0x000000B4|0x04C0006F</ns0:t>
        </ns0:is>
      </ns0:c>
      <ns0:c r="M48" t="inlineStr">
        <ns0:is>
          <ns0:t>jal@0x000000B4</ns0:t>
        </ns0:is>
      </ns0:c>
      <ns0:c r="N48">
        <ns0:f>IF(E48="FETCH",IF(COUNTIF($M$6:M48,M48)=1,1,0),0)</ns0:f>
        <ns0:v>1</ns0:v>
      </ns0:c>
      <ns0:c r="O48" t="inlineStr">
        <ns0:is>
          <ns0:t>ROM OK</ns0:t>
        </ns0:is>
      </ns0:c>
      <ns0:c r="P48">
        <ns0:f>IF(AND(E48="FETCH",F48="0x00000048"),C48-1,0)</ns0:f>
        <ns0:v>0</ns0:v>
      </ns0:c>
      <ns0:c r="Q48" s="15" t="inlineStr">
        <ns0:is>
          <ns0:t>E:00000010:00010046:000000b4:04c0006f</ns0:t>
        </ns0:is>
      </ns0:c>
    </ns0:row>
    <ns0:row r="49">
      <ns0:c r="A49" t="n">
        <ns0:v>2</ns0:v>
      </ns0:c>
      <ns0:c r="B49" t="inlineStr">
        <ns0:is>
          <ns0:t>0</ns0:t>
        </ns0:is>
      </ns0:c>
      <ns0:c r="C49" t="n">
        <ns0:v>18</ns0:v>
      </ns0:c>
      <ns0:c r="D49" t="n">
        <ns0:v>74</ns0:v>
      </ns0:c>
      <ns0:c r="E49" s="14" t="inlineStr">
        <ns0:is>
          <ns0:t>FETCH</ns0:t>
        </ns0:is>
      </ns0:c>
      <ns0:c r="F49" s="15" t="inlineStr">
        <ns0:is>
          <ns0:t>0x00000100</ns0:t>
        </ns0:is>
      </ns0:c>
      <ns0:c r="G49" s="15" t="inlineStr">
        <ns0:is>
          <ns0:t>0x01D2A023</ns0:t>
        </ns0:is>
      </ns0:c>
      <ns0:c r="H49" s="15" t="inlineStr">
        <ns0:is>
          <ns0:t>sw t4, 0(t0)</ns0:t>
        </ns0:is>
      </ns0:c>
      <ns0:c r="I49" t="inlineStr">
        <ns0:is>
          <ns0:t>sw</ns0:t>
        </ns0:is>
      </ns0:c>
      <ns0:c r="J49" t="inlineStr">
        <ns0:is>
          <ns0:t>CORE</ns0:t>
        </ns0:is>
      </ns0:c>
      <ns0:c r="K49" s="15" t="n">
        <ns0:v>2018</ns0:v>
      </ns0:c>
      <ns0:c r="L49" t="inlineStr">
        <ns0:is>
          <ns0:t>FETCH|0x00000100|0x01D2A023</ns0:t>
        </ns0:is>
      </ns0:c>
      <ns0:c r="M49" t="inlineStr">
        <ns0:is>
          <ns0:t>sw@0x00000100</ns0:t>
        </ns0:is>
      </ns0:c>
      <ns0:c r="N49">
        <ns0:f>IF(E49="FETCH",IF(COUNTIF($M$6:M49,M49)=1,1,0),0)</ns0:f>
        <ns0:v>0</ns0:v>
      </ns0:c>
      <ns0:c r="O49" t="inlineStr">
        <ns0:is>
          <ns0:t>ROM OK</ns0:t>
        </ns0:is>
      </ns0:c>
      <ns0:c r="P49">
        <ns0:f>IF(AND(E49="FETCH",F49="0x00000048"),C49-1,0)</ns0:f>
        <ns0:v>0</ns0:v>
      </ns0:c>
      <ns0:c r="Q49" s="15" t="inlineStr">
        <ns0:is>
          <ns0:t>E:00000011:0001004a:00000100:01d2a023</ns0:t>
        </ns0:is>
      </ns0:c>
    </ns0:row>
    <ns0:row r="50">
      <ns0:c r="A50" t="n">
        <ns0:v>2</ns0:v>
      </ns0:c>
      <ns0:c r="B50" t="inlineStr">
        <ns0:is>
          <ns0:t>0</ns0:t>
        </ns0:is>
      </ns0:c>
      <ns0:c r="C50" t="n">
        <ns0:v>19</ns0:v>
      </ns0:c>
      <ns0:c r="D50" t="n">
        <ns0:v>78</ns0:v>
      </ns0:c>
      <ns0:c r="E50" s="14" t="inlineStr">
        <ns0:is>
          <ns0:t>FETCH</ns0:t>
        </ns0:is>
      </ns0:c>
      <ns0:c r="F50" s="15" t="inlineStr">
        <ns0:is>
          <ns0:t>0x00000104</ns0:t>
        </ns0:is>
      </ns0:c>
      <ns0:c r="G50" s="15" t="inlineStr">
        <ns0:is>
          <ns0:t>0x0002AF83</ns0:t>
        </ns0:is>
      </ns0:c>
      <ns0:c r="H50" s="15" t="inlineStr">
        <ns0:is>
          <ns0:t>lw t6, 0(t0)</ns0:t>
        </ns0:is>
      </ns0:c>
      <ns0:c r="I50" t="inlineStr">
        <ns0:is>
          <ns0:t>lw</ns0:t>
        </ns0:is>
      </ns0:c>
      <ns0:c r="J50" t="inlineStr">
        <ns0:is>
          <ns0:t>CORE</ns0:t>
        </ns0:is>
      </ns0:c>
      <ns0:c r="K50" s="15" t="n">
        <ns0:v>2019</ns0:v>
      </ns0:c>
      <ns0:c r="L50" t="inlineStr">
        <ns0:is>
          <ns0:t>FETCH|0x00000104|0x0002AF83</ns0:t>
        </ns0:is>
      </ns0:c>
      <ns0:c r="M50" t="inlineStr">
        <ns0:is>
          <ns0:t>lw@0x00000104</ns0:t>
        </ns0:is>
      </ns0:c>
      <ns0:c r="N50">
        <ns0:f>IF(E50="FETCH",IF(COUNTIF($M$6:M50,M50)=1,1,0),0)</ns0:f>
        <ns0:v>0</ns0:v>
      </ns0:c>
      <ns0:c r="O50" t="inlineStr">
        <ns0:is>
          <ns0:t>ROM OK</ns0:t>
        </ns0:is>
      </ns0:c>
      <ns0:c r="P50">
        <ns0:f>IF(AND(E50="FETCH",F50="0x00000048"),C50-1,0)</ns0:f>
        <ns0:v>0</ns0:v>
      </ns0:c>
      <ns0:c r="Q50" s="15" t="inlineStr">
        <ns0:is>
          <ns0:t>E:00000012:0001004e:00000104:0002af83</ns0:t>
        </ns0:is>
      </ns0:c>
    </ns0:row>
    <ns0:row r="51">
      <ns0:c r="A51" s="17" t="n">
        <ns0:v>2</ns0:v>
      </ns0:c>
      <ns0:c r="B51" s="17" t="inlineStr">
        <ns0:is>
          <ns0:t>0</ns0:t>
        </ns0:is>
      </ns0:c>
      <ns0:c r="C51" s="17" t="n">
        <ns0:v>20</ns0:v>
      </ns0:c>
      <ns0:c r="D51" s="17" t="n">
        <ns0:v>81</ns0:v>
      </ns0:c>
      <ns0:c r="E51" s="18" t="inlineStr">
        <ns0:is>
          <ns0:t>LED_WRITE</ns0:t>
        </ns0:is>
      </ns0:c>
      <ns0:c r="F51" s="19" t="inlineStr">
        <ns0:is>
          <ns0:t>0x20000000</ns0:t>
        </ns0:is>
      </ns0:c>
      <ns0:c r="G51" s="19" t="inlineStr">
        <ns0:is>
          <ns0:t>0x00000000</ns0:t>
        </ns0:is>
      </ns0:c>
      <ns0:c r="H51" s="19" t="inlineStr">
        <ns0:is>
          <ns0:t>MMIO GPIO write</ns0:t>
        </ns0:is>
      </ns0:c>
      <ns0:c r="I51" s="17" t="inlineStr">
        <ns0:is>
          <ns0:t>LED_WRITE</ns0:t>
        </ns0:is>
      </ns0:c>
      <ns0:c r="J51" s="17" t="inlineStr">
        <ns0:is>
          <ns0:t>MMIO</ns0:t>
        </ns0:is>
      </ns0:c>
      <ns0:c r="K51" s="19" t="n">
        <ns0:v>2020</ns0:v>
      </ns0:c>
      <ns0:c r="L51" s="17" t="inlineStr">
        <ns0:is>
          <ns0:t>LED_WRITE|0x20000000|0x00000000</ns0:t>
        </ns0:is>
      </ns0:c>
      <ns0:c r="M51" s="17" t="inlineStr"/>
      <ns0:c r="N51" s="17">
        <ns0:f>IF(E51="FETCH",IF(COUNTIF($M$6:M51,M51)=1,1,0),0)</ns0:f>
        <ns0:v>0</ns0:v>
      </ns0:c>
      <ns0:c r="O51" s="17" t="inlineStr">
        <ns0:is>
          <ns0:t>MMIO OK</ns0:t>
        </ns0:is>
      </ns0:c>
      <ns0:c r="P51" s="17">
        <ns0:f>IF(AND(E51="FETCH",F51="0x00000048"),C51-1,0)</ns0:f>
        <ns0:v>0</ns0:v>
      </ns0:c>
      <ns0:c r="Q51" s="19" t="inlineStr">
        <ns0:is>
          <ns0:t>E:00000013:00020051:20000000:00000000</ns0:t>
        </ns0:is>
      </ns0:c>
    </ns0:row>
    <ns0:row r="52">
      <ns0:c r="A52" t="n">
        <ns0:v>3</ns0:v>
      </ns0:c>
      <ns0:c r="B52" t="inlineStr">
        <ns0:is>
          <ns0:t>4</ns0:t>
        </ns0:is>
      </ns0:c>
      <ns0:c r="C52" t="n">
        <ns0:v>1</ns0:v>
      </ns0:c>
      <ns0:c r="D52" t="n">
        <ns0:v>5</ns0:v>
      </ns0:c>
      <ns0:c r="E52" s="14" t="inlineStr">
        <ns0:is>
          <ns0:t>FETCH</ns0:t>
        </ns0:is>
      </ns0:c>
      <ns0:c r="F52" s="15" t="inlineStr">
        <ns0:is>
          <ns0:t>0x00000040</ns0:t>
        </ns0:is>
      </ns0:c>
      <ns0:c r="G52" s="15" t="inlineStr">
        <ns0:is>
          <ns0:t>0xFE038CE3</ns0:t>
        </ns0:is>
      </ns0:c>
      <ns0:c r="H52" s="15" t="inlineStr">
        <ns0:is>
          <ns0:t>beq t2, zero, 0x00000038</ns0:t>
        </ns0:is>
      </ns0:c>
      <ns0:c r="I52" t="inlineStr">
        <ns0:is>
          <ns0:t>beq</ns0:t>
        </ns0:is>
      </ns0:c>
      <ns0:c r="J52" s="16" t="inlineStr">
        <ns0:is>
          <ns0:t>POLL</ns0:t>
        </ns0:is>
      </ns0:c>
      <ns0:c r="K52" s="15" t="n">
        <ns0:v>3001</ns0:v>
      </ns0:c>
      <ns0:c r="L52" t="inlineStr">
        <ns0:is>
          <ns0:t>FETCH|0x00000040|0xFE038CE3</ns0:t>
        </ns0:is>
      </ns0:c>
      <ns0:c r="M52" t="inlineStr">
        <ns0:is>
          <ns0:t>beq@0x00000040</ns0:t>
        </ns0:is>
      </ns0:c>
      <ns0:c r="N52">
        <ns0:f>IF(E52="FETCH",IF(COUNTIF($M$6:M52,M52)=1,1,0),0)</ns0:f>
        <ns0:v>0</ns0:v>
      </ns0:c>
      <ns0:c r="O52" t="inlineStr">
        <ns0:is>
          <ns0:t>ROM OK</ns0:t>
        </ns0:is>
      </ns0:c>
      <ns0:c r="P52">
        <ns0:f>IF(AND(E52="FETCH",F52="0x00000048"),C52-1,0)</ns0:f>
        <ns0:v>0</ns0:v>
      </ns0:c>
      <ns0:c r="Q52" s="15" t="inlineStr">
        <ns0:is>
          <ns0:t>E:00000000:00010005:00000040:fe038ce3</ns0:t>
        </ns0:is>
      </ns0:c>
    </ns0:row>
    <ns0:row r="53">
      <ns0:c r="A53" t="n">
        <ns0:v>3</ns0:v>
      </ns0:c>
      <ns0:c r="B53" t="inlineStr">
        <ns0:is>
          <ns0:t>4</ns0:t>
        </ns0:is>
      </ns0:c>
      <ns0:c r="C53" t="n">
        <ns0:v>2</ns0:v>
      </ns0:c>
      <ns0:c r="D53" t="n">
        <ns0:v>9</ns0:v>
      </ns0:c>
      <ns0:c r="E53" s="14" t="inlineStr">
        <ns0:is>
          <ns0:t>FETCH</ns0:t>
        </ns0:is>
      </ns0:c>
      <ns0:c r="F53" s="15" t="inlineStr">
        <ns0:is>
          <ns0:t>0x00000044</ns0:t>
        </ns0:is>
      </ns0:c>
      <ns0:c r="G53" s="15" t="inlineStr">
        <ns0:is>
          <ns0:t>0x0182AE03</ns0:t>
        </ns0:is>
      </ns0:c>
      <ns0:c r="H53" s="15" t="inlineStr">
        <ns0:is>
          <ns0:t>lw t3, 24(t0)</ns0:t>
        </ns0:is>
      </ns0:c>
      <ns0:c r="I53" t="inlineStr">
        <ns0:is>
          <ns0:t>lw</ns0:t>
        </ns0:is>
      </ns0:c>
      <ns0:c r="J53" s="16" t="inlineStr">
        <ns0:is>
          <ns0:t>POLL</ns0:t>
        </ns0:is>
      </ns0:c>
      <ns0:c r="K53" s="15" t="n">
        <ns0:v>3002</ns0:v>
      </ns0:c>
      <ns0:c r="L53" t="inlineStr">
        <ns0:is>
          <ns0:t>FETCH|0x00000044|0x0182AE03</ns0:t>
        </ns0:is>
      </ns0:c>
      <ns0:c r="M53" t="inlineStr">
        <ns0:is>
          <ns0:t>lw@0x00000044</ns0:t>
        </ns0:is>
      </ns0:c>
      <ns0:c r="N53">
        <ns0:f>IF(E53="FETCH",IF(COUNTIF($M$6:M53,M53)=1,1,0),0)</ns0:f>
        <ns0:v>0</ns0:v>
      </ns0:c>
      <ns0:c r="O53" t="inlineStr">
        <ns0:is>
          <ns0:t>ROM OK</ns0:t>
        </ns0:is>
      </ns0:c>
      <ns0:c r="P53">
        <ns0:f>IF(AND(E53="FETCH",F53="0x00000048"),C53-1,0)</ns0:f>
        <ns0:v>0</ns0:v>
      </ns0:c>
      <ns0:c r="Q53" s="15" t="inlineStr">
        <ns0:is>
          <ns0:t>E:00000001:00010009:00000044:0182ae03</ns0:t>
        </ns0:is>
      </ns0:c>
    </ns0:row>
    <ns0:row r="54">
      <ns0:c r="A54" t="n">
        <ns0:v>3</ns0:v>
      </ns0:c>
      <ns0:c r="B54" t="inlineStr">
        <ns0:is>
          <ns0:t>4</ns0:t>
        </ns0:is>
      </ns0:c>
      <ns0:c r="C54" t="n">
        <ns0:v>3</ns0:v>
      </ns0:c>
      <ns0:c r="D54" t="n">
        <ns0:v>13</ns0:v>
      </ns0:c>
      <ns0:c r="E54" s="14" t="inlineStr">
        <ns0:is>
          <ns0:t>FETCH</ns0:t>
        </ns0:is>
      </ns0:c>
      <ns0:c r="F54" s="15" t="inlineStr">
        <ns0:is>
          <ns0:t>0x00000048</ns0:t>
        </ns0:is>
      </ns0:c>
      <ns0:c r="G54" s="15" t="inlineStr">
        <ns0:is>
          <ns0:t>0x05400413</ns0:t>
        </ns0:is>
      </ns0:c>
      <ns0:c r="H54" s="15" t="inlineStr">
        <ns0:is>
          <ns0:t>addi s0, zero, 84</ns0:t>
        </ns0:is>
      </ns0:c>
      <ns0:c r="I54" t="inlineStr">
        <ns0:is>
          <ns0:t>addi</ns0:t>
        </ns0:is>
      </ns0:c>
      <ns0:c r="J54" t="inlineStr">
        <ns0:is>
          <ns0:t>CORE</ns0:t>
        </ns0:is>
      </ns0:c>
      <ns0:c r="K54" s="15" t="n">
        <ns0:v>3003</ns0:v>
      </ns0:c>
      <ns0:c r="L54" t="inlineStr">
        <ns0:is>
          <ns0:t>FETCH|0x00000048|0x05400413</ns0:t>
        </ns0:is>
      </ns0:c>
      <ns0:c r="M54" t="inlineStr">
        <ns0:is>
          <ns0:t>addi@0x00000048</ns0:t>
        </ns0:is>
      </ns0:c>
      <ns0:c r="N54">
        <ns0:f>IF(E54="FETCH",IF(COUNTIF($M$6:M54,M54)=1,1,0),0)</ns0:f>
        <ns0:v>0</ns0:v>
      </ns0:c>
      <ns0:c r="O54" t="inlineStr">
        <ns0:is>
          <ns0:t>ROM OK</ns0:t>
        </ns0:is>
      </ns0:c>
      <ns0:c r="P54">
        <ns0:f>IF(AND(E54="FETCH",F54="0x00000048"),C54-1,0)</ns0:f>
        <ns0:v>2</ns0:v>
      </ns0:c>
      <ns0:c r="Q54" s="15" t="inlineStr">
        <ns0:is>
          <ns0:t>E:00000002:0001000d:00000048:05400413</ns0:t>
        </ns0:is>
      </ns0:c>
    </ns0:row>
    <ns0:row r="55">
      <ns0:c r="A55" t="n">
        <ns0:v>3</ns0:v>
      </ns0:c>
      <ns0:c r="B55" t="inlineStr">
        <ns0:is>
          <ns0:t>4</ns0:t>
        </ns0:is>
      </ns0:c>
      <ns0:c r="C55" t="n">
        <ns0:v>4</ns0:v>
      </ns0:c>
      <ns0:c r="D55" t="n">
        <ns0:v>20</ns0:v>
      </ns0:c>
      <ns0:c r="E55" s="14" t="inlineStr">
        <ns0:is>
          <ns0:t>FETCH</ns0:t>
        </ns0:is>
      </ns0:c>
      <ns0:c r="F55" s="15" t="inlineStr">
        <ns0:is>
          <ns0:t>0x0000004C</ns0:t>
        </ns0:is>
      </ns0:c>
      <ns0:c r="G55" s="15" t="inlineStr">
        <ns0:is>
          <ns0:t>0x1A8E0063</ns0:t>
        </ns0:is>
      </ns0:c>
      <ns0:c r="H55" s="15" t="inlineStr">
        <ns0:is>
          <ns0:t>beq t3, s0, 0x000001EC</ns0:t>
        </ns0:is>
      </ns0:c>
      <ns0:c r="I55" t="inlineStr">
        <ns0:is>
          <ns0:t>beq</ns0:t>
        </ns0:is>
      </ns0:c>
      <ns0:c r="J55" t="inlineStr">
        <ns0:is>
          <ns0:t>CORE</ns0:t>
        </ns0:is>
      </ns0:c>
      <ns0:c r="K55" s="15" t="n">
        <ns0:v>3004</ns0:v>
      </ns0:c>
      <ns0:c r="L55" t="inlineStr">
        <ns0:is>
          <ns0:t>FETCH|0x0000004C|0x1A8E0063</ns0:t>
        </ns0:is>
      </ns0:c>
      <ns0:c r="M55" t="inlineStr">
        <ns0:is>
          <ns0:t>beq@0x0000004C</ns0:t>
        </ns0:is>
      </ns0:c>
      <ns0:c r="N55">
        <ns0:f>IF(E55="FETCH",IF(COUNTIF($M$6:M55,M55)=1,1,0),0)</ns0:f>
        <ns0:v>0</ns0:v>
      </ns0:c>
      <ns0:c r="O55" t="inlineStr">
        <ns0:is>
          <ns0:t>ROM OK</ns0:t>
        </ns0:is>
      </ns0:c>
      <ns0:c r="P55">
        <ns0:f>IF(AND(E55="FETCH",F55="0x00000048"),C55-1,0)</ns0:f>
        <ns0:v>0</ns0:v>
      </ns0:c>
      <ns0:c r="Q55" s="15" t="inlineStr">
        <ns0:is>
          <ns0:t>E:00000003:00010014:0000004c:1a8e0063</ns0:t>
        </ns0:is>
      </ns0:c>
    </ns0:row>
    <ns0:row r="56">
      <ns0:c r="A56" t="n">
        <ns0:v>3</ns0:v>
      </ns0:c>
      <ns0:c r="B56" t="inlineStr">
        <ns0:is>
          <ns0:t>4</ns0:t>
        </ns0:is>
      </ns0:c>
      <ns0:c r="C56" t="n">
        <ns0:v>5</ns0:v>
      </ns0:c>
      <ns0:c r="D56" t="n">
        <ns0:v>24</ns0:v>
      </ns0:c>
      <ns0:c r="E56" s="14" t="inlineStr">
        <ns0:is>
          <ns0:t>FETCH</ns0:t>
        </ns0:is>
      </ns0:c>
      <ns0:c r="F56" s="15" t="inlineStr">
        <ns0:is>
          <ns0:t>0x00000050</ns0:t>
        </ns0:is>
      </ns0:c>
      <ns0:c r="G56" s="15" t="inlineStr">
        <ns0:is>
          <ns0:t>0x04300413</ns0:t>
        </ns0:is>
      </ns0:c>
      <ns0:c r="H56" s="15" t="inlineStr">
        <ns0:is>
          <ns0:t>addi s0, zero, 67</ns0:t>
        </ns0:is>
      </ns0:c>
      <ns0:c r="I56" t="inlineStr">
        <ns0:is>
          <ns0:t>addi</ns0:t>
        </ns0:is>
      </ns0:c>
      <ns0:c r="J56" t="inlineStr">
        <ns0:is>
          <ns0:t>CORE</ns0:t>
        </ns0:is>
      </ns0:c>
      <ns0:c r="K56" s="15" t="n">
        <ns0:v>3005</ns0:v>
      </ns0:c>
      <ns0:c r="L56" t="inlineStr">
        <ns0:is>
          <ns0:t>FETCH|0x00000050|0x04300413</ns0:t>
        </ns0:is>
      </ns0:c>
      <ns0:c r="M56" t="inlineStr">
        <ns0:is>
          <ns0:t>addi@0x00000050</ns0:t>
        </ns0:is>
      </ns0:c>
      <ns0:c r="N56">
        <ns0:f>IF(E56="FETCH",IF(COUNTIF($M$6:M56,M56)=1,1,0),0)</ns0:f>
        <ns0:v>0</ns0:v>
      </ns0:c>
      <ns0:c r="O56" t="inlineStr">
        <ns0:is>
          <ns0:t>ROM OK</ns0:t>
        </ns0:is>
      </ns0:c>
      <ns0:c r="P56">
        <ns0:f>IF(AND(E56="FETCH",F56="0x00000048"),C56-1,0)</ns0:f>
        <ns0:v>0</ns0:v>
      </ns0:c>
      <ns0:c r="Q56" s="15" t="inlineStr">
        <ns0:is>
          <ns0:t>E:00000004:00010018:00000050:04300413</ns0:t>
        </ns0:is>
      </ns0:c>
    </ns0:row>
    <ns0:row r="57">
      <ns0:c r="A57" t="n">
        <ns0:v>3</ns0:v>
      </ns0:c>
      <ns0:c r="B57" t="inlineStr">
        <ns0:is>
          <ns0:t>4</ns0:t>
        </ns0:is>
      </ns0:c>
      <ns0:c r="C57" t="n">
        <ns0:v>6</ns0:v>
      </ns0:c>
      <ns0:c r="D57" t="n">
        <ns0:v>28</ns0:v>
      </ns0:c>
      <ns0:c r="E57" s="14" t="inlineStr">
        <ns0:is>
          <ns0:t>FETCH</ns0:t>
        </ns0:is>
      </ns0:c>
      <ns0:c r="F57" s="15" t="inlineStr">
        <ns0:is>
          <ns0:t>0x00000054</ns0:t>
        </ns0:is>
      </ns0:c>
      <ns0:c r="G57" s="15" t="inlineStr">
        <ns0:is>
          <ns0:t>0x188E0063</ns0:t>
        </ns0:is>
      </ns0:c>
      <ns0:c r="H57" s="15" t="inlineStr">
        <ns0:is>
          <ns0:t>beq t3, s0, 0x000001D4</ns0:t>
        </ns0:is>
      </ns0:c>
      <ns0:c r="I57" t="inlineStr">
        <ns0:is>
          <ns0:t>beq</ns0:t>
        </ns0:is>
      </ns0:c>
      <ns0:c r="J57" t="inlineStr">
        <ns0:is>
          <ns0:t>CORE</ns0:t>
        </ns0:is>
      </ns0:c>
      <ns0:c r="K57" s="15" t="n">
        <ns0:v>3006</ns0:v>
      </ns0:c>
      <ns0:c r="L57" t="inlineStr">
        <ns0:is>
          <ns0:t>FETCH|0x00000054|0x188E0063</ns0:t>
        </ns0:is>
      </ns0:c>
      <ns0:c r="M57" t="inlineStr">
        <ns0:is>
          <ns0:t>beq@0x00000054</ns0:t>
        </ns0:is>
      </ns0:c>
      <ns0:c r="N57">
        <ns0:f>IF(E57="FETCH",IF(COUNTIF($M$6:M57,M57)=1,1,0),0)</ns0:f>
        <ns0:v>0</ns0:v>
      </ns0:c>
      <ns0:c r="O57" t="inlineStr">
        <ns0:is>
          <ns0:t>ROM OK</ns0:t>
        </ns0:is>
      </ns0:c>
      <ns0:c r="P57">
        <ns0:f>IF(AND(E57="FETCH",F57="0x00000048"),C57-1,0)</ns0:f>
        <ns0:v>0</ns0:v>
      </ns0:c>
      <ns0:c r="Q57" s="15" t="inlineStr">
        <ns0:is>
          <ns0:t>E:00000005:0001001c:00000054:188e0063</ns0:t>
        </ns0:is>
      </ns0:c>
    </ns0:row>
    <ns0:row r="58">
      <ns0:c r="A58" t="n">
        <ns0:v>3</ns0:v>
      </ns0:c>
      <ns0:c r="B58" t="inlineStr">
        <ns0:is>
          <ns0:t>4</ns0:t>
        </ns0:is>
      </ns0:c>
      <ns0:c r="C58" t="n">
        <ns0:v>7</ns0:v>
      </ns0:c>
      <ns0:c r="D58" t="n">
        <ns0:v>32</ns0:v>
      </ns0:c>
      <ns0:c r="E58" s="14" t="inlineStr">
        <ns0:is>
          <ns0:t>FETCH</ns0:t>
        </ns0:is>
      </ns0:c>
      <ns0:c r="F58" s="15" t="inlineStr">
        <ns0:is>
          <ns0:t>0x00000058</ns0:t>
        </ns0:is>
      </ns0:c>
      <ns0:c r="G58" s="15" t="inlineStr">
        <ns0:is>
          <ns0:t>0x03F00413</ns0:t>
        </ns0:is>
      </ns0:c>
      <ns0:c r="H58" s="15" t="inlineStr">
        <ns0:is>
          <ns0:t>addi s0, zero, 63</ns0:t>
        </ns0:is>
      </ns0:c>
      <ns0:c r="I58" t="inlineStr">
        <ns0:is>
          <ns0:t>addi</ns0:t>
        </ns0:is>
      </ns0:c>
      <ns0:c r="J58" t="inlineStr">
        <ns0:is>
          <ns0:t>CORE</ns0:t>
        </ns0:is>
      </ns0:c>
      <ns0:c r="K58" s="15" t="n">
        <ns0:v>3007</ns0:v>
      </ns0:c>
      <ns0:c r="L58" t="inlineStr">
        <ns0:is>
          <ns0:t>FETCH|0x00000058|0x03F00413</ns0:t>
        </ns0:is>
      </ns0:c>
      <ns0:c r="M58" t="inlineStr">
        <ns0:is>
          <ns0:t>addi@0x00000058</ns0:t>
        </ns0:is>
      </ns0:c>
      <ns0:c r="N58">
        <ns0:f>IF(E58="FETCH",IF(COUNTIF($M$6:M58,M58)=1,1,0),0)</ns0:f>
        <ns0:v>0</ns0:v>
      </ns0:c>
      <ns0:c r="O58" t="inlineStr">
        <ns0:is>
          <ns0:t>ROM OK</ns0:t>
        </ns0:is>
      </ns0:c>
      <ns0:c r="P58">
        <ns0:f>IF(AND(E58="FETCH",F58="0x00000048"),C58-1,0)</ns0:f>
        <ns0:v>0</ns0:v>
      </ns0:c>
      <ns0:c r="Q58" s="15" t="inlineStr">
        <ns0:is>
          <ns0:t>E:00000006:00010020:00000058:03f00413</ns0:t>
        </ns0:is>
      </ns0:c>
    </ns0:row>
    <ns0:row r="59">
      <ns0:c r="A59" t="n">
        <ns0:v>3</ns0:v>
      </ns0:c>
      <ns0:c r="B59" t="inlineStr">
        <ns0:is>
          <ns0:t>4</ns0:t>
        </ns0:is>
      </ns0:c>
      <ns0:c r="C59" t="n">
        <ns0:v>8</ns0:v>
      </ns0:c>
      <ns0:c r="D59" t="n">
        <ns0:v>36</ns0:v>
      </ns0:c>
      <ns0:c r="E59" s="14" t="inlineStr">
        <ns0:is>
          <ns0:t>FETCH</ns0:t>
        </ns0:is>
      </ns0:c>
      <ns0:c r="F59" s="15" t="inlineStr">
        <ns0:is>
          <ns0:t>0x0000005C</ns0:t>
        </ns0:is>
      </ns0:c>
      <ns0:c r="G59" s="15" t="inlineStr">
        <ns0:is>
          <ns0:t>0x0A8E0A63</ns0:t>
        </ns0:is>
      </ns0:c>
      <ns0:c r="H59" s="15" t="inlineStr">
        <ns0:is>
          <ns0:t>beq t3, s0, 0x00000110</ns0:t>
        </ns0:is>
      </ns0:c>
      <ns0:c r="I59" t="inlineStr">
        <ns0:is>
          <ns0:t>beq</ns0:t>
        </ns0:is>
      </ns0:c>
      <ns0:c r="J59" t="inlineStr">
        <ns0:is>
          <ns0:t>CORE</ns0:t>
        </ns0:is>
      </ns0:c>
      <ns0:c r="K59" s="15" t="n">
        <ns0:v>3008</ns0:v>
      </ns0:c>
      <ns0:c r="L59" t="inlineStr">
        <ns0:is>
          <ns0:t>FETCH|0x0000005C|0x0A8E0A63</ns0:t>
        </ns0:is>
      </ns0:c>
      <ns0:c r="M59" t="inlineStr">
        <ns0:is>
          <ns0:t>beq@0x0000005C</ns0:t>
        </ns0:is>
      </ns0:c>
      <ns0:c r="N59">
        <ns0:f>IF(E59="FETCH",IF(COUNTIF($M$6:M59,M59)=1,1,0),0)</ns0:f>
        <ns0:v>0</ns0:v>
      </ns0:c>
      <ns0:c r="O59" t="inlineStr">
        <ns0:is>
          <ns0:t>ROM OK</ns0:t>
        </ns0:is>
      </ns0:c>
      <ns0:c r="P59">
        <ns0:f>IF(AND(E59="FETCH",F59="0x00000048"),C59-1,0)</ns0:f>
        <ns0:v>0</ns0:v>
      </ns0:c>
      <ns0:c r="Q59" s="15" t="inlineStr">
        <ns0:is>
          <ns0:t>E:00000007:00010024:0000005c:0a8e0a63</ns0:t>
        </ns0:is>
      </ns0:c>
    </ns0:row>
    <ns0:row r="60">
      <ns0:c r="A60" t="n">
        <ns0:v>3</ns0:v>
      </ns0:c>
      <ns0:c r="B60" t="inlineStr">
        <ns0:is>
          <ns0:t>4</ns0:t>
        </ns0:is>
      </ns0:c>
      <ns0:c r="C60" t="n">
        <ns0:v>9</ns0:v>
      </ns0:c>
      <ns0:c r="D60" t="n">
        <ns0:v>40</ns0:v>
      </ns0:c>
      <ns0:c r="E60" s="14" t="inlineStr">
        <ns0:is>
          <ns0:t>FETCH</ns0:t>
        </ns0:is>
      </ns0:c>
      <ns0:c r="F60" s="15" t="inlineStr">
        <ns0:is>
          <ns0:t>0x00000060</ns0:t>
        </ns0:is>
      </ns0:c>
      <ns0:c r="G60" s="15" t="inlineStr">
        <ns0:is>
          <ns0:t>0x03000413</ns0:t>
        </ns0:is>
      </ns0:c>
      <ns0:c r="H60" s="15" t="inlineStr">
        <ns0:is>
          <ns0:t>addi s0, zero, 48</ns0:t>
        </ns0:is>
      </ns0:c>
      <ns0:c r="I60" t="inlineStr">
        <ns0:is>
          <ns0:t>addi</ns0:t>
        </ns0:is>
      </ns0:c>
      <ns0:c r="J60" t="inlineStr">
        <ns0:is>
          <ns0:t>CORE</ns0:t>
        </ns0:is>
      </ns0:c>
      <ns0:c r="K60" s="15" t="n">
        <ns0:v>3009</ns0:v>
      </ns0:c>
      <ns0:c r="L60" t="inlineStr">
        <ns0:is>
          <ns0:t>FETCH|0x00000060|0x03000413</ns0:t>
        </ns0:is>
      </ns0:c>
      <ns0:c r="M60" t="inlineStr">
        <ns0:is>
          <ns0:t>addi@0x00000060</ns0:t>
        </ns0:is>
      </ns0:c>
      <ns0:c r="N60">
        <ns0:f>IF(E60="FETCH",IF(COUNTIF($M$6:M60,M60)=1,1,0),0)</ns0:f>
        <ns0:v>0</ns0:v>
      </ns0:c>
      <ns0:c r="O60" t="inlineStr">
        <ns0:is>
          <ns0:t>ROM OK</ns0:t>
        </ns0:is>
      </ns0:c>
      <ns0:c r="P60">
        <ns0:f>IF(AND(E60="FETCH",F60="0x00000048"),C60-1,0)</ns0:f>
        <ns0:v>0</ns0:v>
      </ns0:c>
      <ns0:c r="Q60" s="15" t="inlineStr">
        <ns0:is>
          <ns0:t>E:00000008:00010028:00000060:03000413</ns0:t>
        </ns0:is>
      </ns0:c>
    </ns0:row>
    <ns0:row r="61">
      <ns0:c r="A61" t="n">
        <ns0:v>3</ns0:v>
      </ns0:c>
      <ns0:c r="B61" t="inlineStr">
        <ns0:is>
          <ns0:t>4</ns0:t>
        </ns0:is>
      </ns0:c>
      <ns0:c r="C61" t="n">
        <ns0:v>10</ns0:v>
      </ns0:c>
      <ns0:c r="D61" t="n">
        <ns0:v>44</ns0:v>
      </ns0:c>
      <ns0:c r="E61" s="14" t="inlineStr">
        <ns0:is>
          <ns0:t>FETCH</ns0:t>
        </ns0:is>
      </ns0:c>
      <ns0:c r="F61" s="15" t="inlineStr">
        <ns0:is>
          <ns0:t>0x00000064</ns0:t>
        </ns0:is>
      </ns0:c>
      <ns0:c r="G61" s="15" t="inlineStr">
        <ns0:is>
          <ns0:t>0x048E0463</ns0:t>
        </ns0:is>
      </ns0:c>
      <ns0:c r="H61" s="15" t="inlineStr">
        <ns0:is>
          <ns0:t>beq t3, s0, 0x000000AC</ns0:t>
        </ns0:is>
      </ns0:c>
      <ns0:c r="I61" t="inlineStr">
        <ns0:is>
          <ns0:t>beq</ns0:t>
        </ns0:is>
      </ns0:c>
      <ns0:c r="J61" t="inlineStr">
        <ns0:is>
          <ns0:t>CORE</ns0:t>
        </ns0:is>
      </ns0:c>
      <ns0:c r="K61" s="15" t="n">
        <ns0:v>3010</ns0:v>
      </ns0:c>
      <ns0:c r="L61" t="inlineStr">
        <ns0:is>
          <ns0:t>FETCH|0x00000064|0x048E0463</ns0:t>
        </ns0:is>
      </ns0:c>
      <ns0:c r="M61" t="inlineStr">
        <ns0:is>
          <ns0:t>beq@0x00000064</ns0:t>
        </ns0:is>
      </ns0:c>
      <ns0:c r="N61">
        <ns0:f>IF(E61="FETCH",IF(COUNTIF($M$6:M61,M61)=1,1,0),0)</ns0:f>
        <ns0:v>0</ns0:v>
      </ns0:c>
      <ns0:c r="O61" t="inlineStr">
        <ns0:is>
          <ns0:t>ROM OK</ns0:t>
        </ns0:is>
      </ns0:c>
      <ns0:c r="P61">
        <ns0:f>IF(AND(E61="FETCH",F61="0x00000048"),C61-1,0)</ns0:f>
        <ns0:v>0</ns0:v>
      </ns0:c>
      <ns0:c r="Q61" s="15" t="inlineStr">
        <ns0:is>
          <ns0:t>E:00000009:0001002c:00000064:048e0463</ns0:t>
        </ns0:is>
      </ns0:c>
    </ns0:row>
    <ns0:row r="62">
      <ns0:c r="A62" t="n">
        <ns0:v>3</ns0:v>
      </ns0:c>
      <ns0:c r="B62" t="inlineStr">
        <ns0:is>
          <ns0:t>4</ns0:t>
        </ns0:is>
      </ns0:c>
      <ns0:c r="C62" t="n">
        <ns0:v>11</ns0:v>
      </ns0:c>
      <ns0:c r="D62" t="n">
        <ns0:v>48</ns0:v>
      </ns0:c>
      <ns0:c r="E62" s="14" t="inlineStr">
        <ns0:is>
          <ns0:t>FETCH</ns0:t>
        </ns0:is>
      </ns0:c>
      <ns0:c r="F62" s="15" t="inlineStr">
        <ns0:is>
          <ns0:t>0x00000068</ns0:t>
        </ns0:is>
      </ns0:c>
      <ns0:c r="G62" s="15" t="inlineStr">
        <ns0:is>
          <ns0:t>0x03100413</ns0:t>
        </ns0:is>
      </ns0:c>
      <ns0:c r="H62" s="15" t="inlineStr">
        <ns0:is>
          <ns0:t>addi s0, zero, 49</ns0:t>
        </ns0:is>
      </ns0:c>
      <ns0:c r="I62" t="inlineStr">
        <ns0:is>
          <ns0:t>addi</ns0:t>
        </ns0:is>
      </ns0:c>
      <ns0:c r="J62" t="inlineStr">
        <ns0:is>
          <ns0:t>CORE</ns0:t>
        </ns0:is>
      </ns0:c>
      <ns0:c r="K62" s="15" t="n">
        <ns0:v>3011</ns0:v>
      </ns0:c>
      <ns0:c r="L62" t="inlineStr">
        <ns0:is>
          <ns0:t>FETCH|0x00000068|0x03100413</ns0:t>
        </ns0:is>
      </ns0:c>
      <ns0:c r="M62" t="inlineStr">
        <ns0:is>
          <ns0:t>addi@0x00000068</ns0:t>
        </ns0:is>
      </ns0:c>
      <ns0:c r="N62">
        <ns0:f>IF(E62="FETCH",IF(COUNTIF($M$6:M62,M62)=1,1,0),0)</ns0:f>
        <ns0:v>0</ns0:v>
      </ns0:c>
      <ns0:c r="O62" t="inlineStr">
        <ns0:is>
          <ns0:t>ROM OK</ns0:t>
        </ns0:is>
      </ns0:c>
      <ns0:c r="P62">
        <ns0:f>IF(AND(E62="FETCH",F62="0x00000048"),C62-1,0)</ns0:f>
        <ns0:v>0</ns0:v>
      </ns0:c>
      <ns0:c r="Q62" s="15" t="inlineStr">
        <ns0:is>
          <ns0:t>E:0000000a:00010030:00000068:03100413</ns0:t>
        </ns0:is>
      </ns0:c>
    </ns0:row>
    <ns0:row r="63">
      <ns0:c r="A63" t="n">
        <ns0:v>3</ns0:v>
      </ns0:c>
      <ns0:c r="B63" t="inlineStr">
        <ns0:is>
          <ns0:t>4</ns0:t>
        </ns0:is>
      </ns0:c>
      <ns0:c r="C63" t="n">
        <ns0:v>12</ns0:v>
      </ns0:c>
      <ns0:c r="D63" t="n">
        <ns0:v>52</ns0:v>
      </ns0:c>
      <ns0:c r="E63" s="14" t="inlineStr">
        <ns0:is>
          <ns0:t>FETCH</ns0:t>
        </ns0:is>
      </ns0:c>
      <ns0:c r="F63" s="15" t="inlineStr">
        <ns0:is>
          <ns0:t>0x0000006C</ns0:t>
        </ns0:is>
      </ns0:c>
      <ns0:c r="G63" s="15" t="inlineStr">
        <ns0:is>
          <ns0:t>0x048E0663</ns0:t>
        </ns0:is>
      </ns0:c>
      <ns0:c r="H63" s="15" t="inlineStr">
        <ns0:is>
          <ns0:t>beq t3, s0, 0x000000B8</ns0:t>
        </ns0:is>
      </ns0:c>
      <ns0:c r="I63" t="inlineStr">
        <ns0:is>
          <ns0:t>beq</ns0:t>
        </ns0:is>
      </ns0:c>
      <ns0:c r="J63" t="inlineStr">
        <ns0:is>
          <ns0:t>CORE</ns0:t>
        </ns0:is>
      </ns0:c>
      <ns0:c r="K63" s="15" t="n">
        <ns0:v>3012</ns0:v>
      </ns0:c>
      <ns0:c r="L63" t="inlineStr">
        <ns0:is>
          <ns0:t>FETCH|0x0000006C|0x048E0663</ns0:t>
        </ns0:is>
      </ns0:c>
      <ns0:c r="M63" t="inlineStr">
        <ns0:is>
          <ns0:t>beq@0x0000006C</ns0:t>
        </ns0:is>
      </ns0:c>
      <ns0:c r="N63">
        <ns0:f>IF(E63="FETCH",IF(COUNTIF($M$6:M63,M63)=1,1,0),0)</ns0:f>
        <ns0:v>0</ns0:v>
      </ns0:c>
      <ns0:c r="O63" t="inlineStr">
        <ns0:is>
          <ns0:t>ROM OK</ns0:t>
        </ns0:is>
      </ns0:c>
      <ns0:c r="P63">
        <ns0:f>IF(AND(E63="FETCH",F63="0x00000048"),C63-1,0)</ns0:f>
        <ns0:v>0</ns0:v>
      </ns0:c>
      <ns0:c r="Q63" s="15" t="inlineStr">
        <ns0:is>
          <ns0:t>E:0000000b:00010034:0000006c:048e0663</ns0:t>
        </ns0:is>
      </ns0:c>
    </ns0:row>
    <ns0:row r="64">
      <ns0:c r="A64" t="n">
        <ns0:v>3</ns0:v>
      </ns0:c>
      <ns0:c r="B64" t="inlineStr">
        <ns0:is>
          <ns0:t>4</ns0:t>
        </ns0:is>
      </ns0:c>
      <ns0:c r="C64" t="n">
        <ns0:v>13</ns0:v>
      </ns0:c>
      <ns0:c r="D64" t="n">
        <ns0:v>56</ns0:v>
      </ns0:c>
      <ns0:c r="E64" s="14" t="inlineStr">
        <ns0:is>
          <ns0:t>FETCH</ns0:t>
        </ns0:is>
      </ns0:c>
      <ns0:c r="F64" s="15" t="inlineStr">
        <ns0:is>
          <ns0:t>0x00000070</ns0:t>
        </ns0:is>
      </ns0:c>
      <ns0:c r="G64" s="15" t="inlineStr">
        <ns0:is>
          <ns0:t>0x03200413</ns0:t>
        </ns0:is>
      </ns0:c>
      <ns0:c r="H64" s="15" t="inlineStr">
        <ns0:is>
          <ns0:t>addi s0, zero, 50</ns0:t>
        </ns0:is>
      </ns0:c>
      <ns0:c r="I64" t="inlineStr">
        <ns0:is>
          <ns0:t>addi</ns0:t>
        </ns0:is>
      </ns0:c>
      <ns0:c r="J64" t="inlineStr">
        <ns0:is>
          <ns0:t>CORE</ns0:t>
        </ns0:is>
      </ns0:c>
      <ns0:c r="K64" s="15" t="n">
        <ns0:v>3013</ns0:v>
      </ns0:c>
      <ns0:c r="L64" t="inlineStr">
        <ns0:is>
          <ns0:t>FETCH|0x00000070|0x03200413</ns0:t>
        </ns0:is>
      </ns0:c>
      <ns0:c r="M64" t="inlineStr">
        <ns0:is>
          <ns0:t>addi@0x00000070</ns0:t>
        </ns0:is>
      </ns0:c>
      <ns0:c r="N64">
        <ns0:f>IF(E64="FETCH",IF(COUNTIF($M$6:M64,M64)=1,1,0),0)</ns0:f>
        <ns0:v>0</ns0:v>
      </ns0:c>
      <ns0:c r="O64" t="inlineStr">
        <ns0:is>
          <ns0:t>ROM OK</ns0:t>
        </ns0:is>
      </ns0:c>
      <ns0:c r="P64">
        <ns0:f>IF(AND(E64="FETCH",F64="0x00000048"),C64-1,0)</ns0:f>
        <ns0:v>0</ns0:v>
      </ns0:c>
      <ns0:c r="Q64" s="15" t="inlineStr">
        <ns0:is>
          <ns0:t>E:0000000c:00010038:00000070:03200413</ns0:t>
        </ns0:is>
      </ns0:c>
    </ns0:row>
    <ns0:row r="65">
      <ns0:c r="A65" t="n">
        <ns0:v>3</ns0:v>
      </ns0:c>
      <ns0:c r="B65" t="inlineStr">
        <ns0:is>
          <ns0:t>4</ns0:t>
        </ns0:is>
      </ns0:c>
      <ns0:c r="C65" t="n">
        <ns0:v>14</ns0:v>
      </ns0:c>
      <ns0:c r="D65" t="n">
        <ns0:v>60</ns0:v>
      </ns0:c>
      <ns0:c r="E65" s="14" t="inlineStr">
        <ns0:is>
          <ns0:t>FETCH</ns0:t>
        </ns0:is>
      </ns0:c>
      <ns0:c r="F65" s="15" t="inlineStr">
        <ns0:is>
          <ns0:t>0x00000074</ns0:t>
        </ns0:is>
      </ns0:c>
      <ns0:c r="G65" s="15" t="inlineStr">
        <ns0:is>
          <ns0:t>0x048E0863</ns0:t>
        </ns0:is>
      </ns0:c>
      <ns0:c r="H65" s="15" t="inlineStr">
        <ns0:is>
          <ns0:t>beq t3, s0, 0x000000C4</ns0:t>
        </ns0:is>
      </ns0:c>
      <ns0:c r="I65" t="inlineStr">
        <ns0:is>
          <ns0:t>beq</ns0:t>
        </ns0:is>
      </ns0:c>
      <ns0:c r="J65" t="inlineStr">
        <ns0:is>
          <ns0:t>CORE</ns0:t>
        </ns0:is>
      </ns0:c>
      <ns0:c r="K65" s="15" t="n">
        <ns0:v>3014</ns0:v>
      </ns0:c>
      <ns0:c r="L65" t="inlineStr">
        <ns0:is>
          <ns0:t>FETCH|0x00000074|0x048E0863</ns0:t>
        </ns0:is>
      </ns0:c>
      <ns0:c r="M65" t="inlineStr">
        <ns0:is>
          <ns0:t>beq@0x00000074</ns0:t>
        </ns0:is>
      </ns0:c>
      <ns0:c r="N65">
        <ns0:f>IF(E65="FETCH",IF(COUNTIF($M$6:M65,M65)=1,1,0),0)</ns0:f>
        <ns0:v>0</ns0:v>
      </ns0:c>
      <ns0:c r="O65" t="inlineStr">
        <ns0:is>
          <ns0:t>ROM OK</ns0:t>
        </ns0:is>
      </ns0:c>
      <ns0:c r="P65">
        <ns0:f>IF(AND(E65="FETCH",F65="0x00000048"),C65-1,0)</ns0:f>
        <ns0:v>0</ns0:v>
      </ns0:c>
      <ns0:c r="Q65" s="15" t="inlineStr">
        <ns0:is>
          <ns0:t>E:0000000d:0001003c:00000074:048e0863</ns0:t>
        </ns0:is>
      </ns0:c>
    </ns0:row>
    <ns0:row r="66">
      <ns0:c r="A66" t="n">
        <ns0:v>3</ns0:v>
      </ns0:c>
      <ns0:c r="B66" t="inlineStr">
        <ns0:is>
          <ns0:t>4</ns0:t>
        </ns0:is>
      </ns0:c>
      <ns0:c r="C66" t="n">
        <ns0:v>15</ns0:v>
      </ns0:c>
      <ns0:c r="D66" t="n">
        <ns0:v>64</ns0:v>
      </ns0:c>
      <ns0:c r="E66" s="14" t="inlineStr">
        <ns0:is>
          <ns0:t>FETCH</ns0:t>
        </ns0:is>
      </ns0:c>
      <ns0:c r="F66" s="15" t="inlineStr">
        <ns0:is>
          <ns0:t>0x00000078</ns0:t>
        </ns0:is>
      </ns0:c>
      <ns0:c r="G66" s="15" t="inlineStr">
        <ns0:is>
          <ns0:t>0x03300413</ns0:t>
        </ns0:is>
      </ns0:c>
      <ns0:c r="H66" s="15" t="inlineStr">
        <ns0:is>
          <ns0:t>addi s0, zero, 51</ns0:t>
        </ns0:is>
      </ns0:c>
      <ns0:c r="I66" t="inlineStr">
        <ns0:is>
          <ns0:t>addi</ns0:t>
        </ns0:is>
      </ns0:c>
      <ns0:c r="J66" t="inlineStr">
        <ns0:is>
          <ns0:t>CORE</ns0:t>
        </ns0:is>
      </ns0:c>
      <ns0:c r="K66" s="15" t="n">
        <ns0:v>3015</ns0:v>
      </ns0:c>
      <ns0:c r="L66" t="inlineStr">
        <ns0:is>
          <ns0:t>FETCH|0x00000078|0x03300413</ns0:t>
        </ns0:is>
      </ns0:c>
      <ns0:c r="M66" t="inlineStr">
        <ns0:is>
          <ns0:t>addi@0x00000078</ns0:t>
        </ns0:is>
      </ns0:c>
      <ns0:c r="N66">
        <ns0:f>IF(E66="FETCH",IF(COUNTIF($M$6:M66,M66)=1,1,0),0)</ns0:f>
        <ns0:v>0</ns0:v>
      </ns0:c>
      <ns0:c r="O66" t="inlineStr">
        <ns0:is>
          <ns0:t>ROM OK</ns0:t>
        </ns0:is>
      </ns0:c>
      <ns0:c r="P66">
        <ns0:f>IF(AND(E66="FETCH",F66="0x00000048"),C66-1,0)</ns0:f>
        <ns0:v>0</ns0:v>
      </ns0:c>
      <ns0:c r="Q66" s="15" t="inlineStr">
        <ns0:is>
          <ns0:t>E:0000000e:00010040:00000078:03300413</ns0:t>
        </ns0:is>
      </ns0:c>
    </ns0:row>
    <ns0:row r="67">
      <ns0:c r="A67" t="n">
        <ns0:v>3</ns0:v>
      </ns0:c>
      <ns0:c r="B67" t="inlineStr">
        <ns0:is>
          <ns0:t>4</ns0:t>
        </ns0:is>
      </ns0:c>
      <ns0:c r="C67" t="n">
        <ns0:v>16</ns0:v>
      </ns0:c>
      <ns0:c r="D67" t="n">
        <ns0:v>68</ns0:v>
      </ns0:c>
      <ns0:c r="E67" s="14" t="inlineStr">
        <ns0:is>
          <ns0:t>FETCH</ns0:t>
        </ns0:is>
      </ns0:c>
      <ns0:c r="F67" s="15" t="inlineStr">
        <ns0:is>
          <ns0:t>0x0000007C</ns0:t>
        </ns0:is>
      </ns0:c>
      <ns0:c r="G67" s="15" t="inlineStr">
        <ns0:is>
          <ns0:t>0x048E0A63</ns0:t>
        </ns0:is>
      </ns0:c>
      <ns0:c r="H67" s="15" t="inlineStr">
        <ns0:is>
          <ns0:t>beq t3, s0, 0x000000D0</ns0:t>
        </ns0:is>
      </ns0:c>
      <ns0:c r="I67" t="inlineStr">
        <ns0:is>
          <ns0:t>beq</ns0:t>
        </ns0:is>
      </ns0:c>
      <ns0:c r="J67" t="inlineStr">
        <ns0:is>
          <ns0:t>CORE</ns0:t>
        </ns0:is>
      </ns0:c>
      <ns0:c r="K67" s="15" t="n">
        <ns0:v>3016</ns0:v>
      </ns0:c>
      <ns0:c r="L67" t="inlineStr">
        <ns0:is>
          <ns0:t>FETCH|0x0000007C|0x048E0A63</ns0:t>
        </ns0:is>
      </ns0:c>
      <ns0:c r="M67" t="inlineStr">
        <ns0:is>
          <ns0:t>beq@0x0000007C</ns0:t>
        </ns0:is>
      </ns0:c>
      <ns0:c r="N67">
        <ns0:f>IF(E67="FETCH",IF(COUNTIF($M$6:M67,M67)=1,1,0),0)</ns0:f>
        <ns0:v>0</ns0:v>
      </ns0:c>
      <ns0:c r="O67" t="inlineStr">
        <ns0:is>
          <ns0:t>ROM OK</ns0:t>
        </ns0:is>
      </ns0:c>
      <ns0:c r="P67">
        <ns0:f>IF(AND(E67="FETCH",F67="0x00000048"),C67-1,0)</ns0:f>
        <ns0:v>0</ns0:v>
      </ns0:c>
      <ns0:c r="Q67" s="15" t="inlineStr">
        <ns0:is>
          <ns0:t>E:0000000f:00010044:0000007c:048e0a63</ns0:t>
        </ns0:is>
      </ns0:c>
    </ns0:row>
    <ns0:row r="68">
      <ns0:c r="A68" t="n">
        <ns0:v>3</ns0:v>
      </ns0:c>
      <ns0:c r="B68" t="inlineStr">
        <ns0:is>
          <ns0:t>4</ns0:t>
        </ns0:is>
      </ns0:c>
      <ns0:c r="C68" t="n">
        <ns0:v>17</ns0:v>
      </ns0:c>
      <ns0:c r="D68" t="n">
        <ns0:v>72</ns0:v>
      </ns0:c>
      <ns0:c r="E68" s="14" t="inlineStr">
        <ns0:is>
          <ns0:t>FETCH</ns0:t>
        </ns0:is>
      </ns0:c>
      <ns0:c r="F68" s="15" t="inlineStr">
        <ns0:is>
          <ns0:t>0x00000080</ns0:t>
        </ns0:is>
      </ns0:c>
      <ns0:c r="G68" s="15" t="inlineStr">
        <ns0:is>
          <ns0:t>0x03400413</ns0:t>
        </ns0:is>
      </ns0:c>
      <ns0:c r="H68" s="15" t="inlineStr">
        <ns0:is>
          <ns0:t>addi s0, zero, 52</ns0:t>
        </ns0:is>
      </ns0:c>
      <ns0:c r="I68" t="inlineStr">
        <ns0:is>
          <ns0:t>addi</ns0:t>
        </ns0:is>
      </ns0:c>
      <ns0:c r="J68" t="inlineStr">
        <ns0:is>
          <ns0:t>CORE</ns0:t>
        </ns0:is>
      </ns0:c>
      <ns0:c r="K68" s="15" t="n">
        <ns0:v>3017</ns0:v>
      </ns0:c>
      <ns0:c r="L68" t="inlineStr">
        <ns0:is>
          <ns0:t>FETCH|0x00000080|0x03400413</ns0:t>
        </ns0:is>
      </ns0:c>
      <ns0:c r="M68" t="inlineStr">
        <ns0:is>
          <ns0:t>addi@0x00000080</ns0:t>
        </ns0:is>
      </ns0:c>
      <ns0:c r="N68">
        <ns0:f>IF(E68="FETCH",IF(COUNTIF($M$6:M68,M68)=1,1,0),0)</ns0:f>
        <ns0:v>0</ns0:v>
      </ns0:c>
      <ns0:c r="O68" t="inlineStr">
        <ns0:is>
          <ns0:t>ROM OK</ns0:t>
        </ns0:is>
      </ns0:c>
      <ns0:c r="P68">
        <ns0:f>IF(AND(E68="FETCH",F68="0x00000048"),C68-1,0)</ns0:f>
        <ns0:v>0</ns0:v>
      </ns0:c>
      <ns0:c r="Q68" s="15" t="inlineStr">
        <ns0:is>
          <ns0:t>E:00000010:00010048:00000080:03400413</ns0:t>
        </ns0:is>
      </ns0:c>
    </ns0:row>
    <ns0:row r="69">
      <ns0:c r="A69" t="n">
        <ns0:v>3</ns0:v>
      </ns0:c>
      <ns0:c r="B69" t="inlineStr">
        <ns0:is>
          <ns0:t>4</ns0:t>
        </ns0:is>
      </ns0:c>
      <ns0:c r="C69" t="n">
        <ns0:v>18</ns0:v>
      </ns0:c>
      <ns0:c r="D69" t="n">
        <ns0:v>76</ns0:v>
      </ns0:c>
      <ns0:c r="E69" s="14" t="inlineStr">
        <ns0:is>
          <ns0:t>FETCH</ns0:t>
        </ns0:is>
      </ns0:c>
      <ns0:c r="F69" s="15" t="inlineStr">
        <ns0:is>
          <ns0:t>0x00000084</ns0:t>
        </ns0:is>
      </ns0:c>
      <ns0:c r="G69" s="15" t="inlineStr">
        <ns0:is>
          <ns0:t>0x048E0C63</ns0:t>
        </ns0:is>
      </ns0:c>
      <ns0:c r="H69" s="15" t="inlineStr">
        <ns0:is>
          <ns0:t>beq t3, s0, 0x000000DC</ns0:t>
        </ns0:is>
      </ns0:c>
      <ns0:c r="I69" t="inlineStr">
        <ns0:is>
          <ns0:t>beq</ns0:t>
        </ns0:is>
      </ns0:c>
      <ns0:c r="J69" t="inlineStr">
        <ns0:is>
          <ns0:t>CORE</ns0:t>
        </ns0:is>
      </ns0:c>
      <ns0:c r="K69" s="15" t="n">
        <ns0:v>3018</ns0:v>
      </ns0:c>
      <ns0:c r="L69" t="inlineStr">
        <ns0:is>
          <ns0:t>FETCH|0x00000084|0x048E0C63</ns0:t>
        </ns0:is>
      </ns0:c>
      <ns0:c r="M69" t="inlineStr">
        <ns0:is>
          <ns0:t>beq@0x00000084</ns0:t>
        </ns0:is>
      </ns0:c>
      <ns0:c r="N69">
        <ns0:f>IF(E69="FETCH",IF(COUNTIF($M$6:M69,M69)=1,1,0),0)</ns0:f>
        <ns0:v>0</ns0:v>
      </ns0:c>
      <ns0:c r="O69" t="inlineStr">
        <ns0:is>
          <ns0:t>ROM OK</ns0:t>
        </ns0:is>
      </ns0:c>
      <ns0:c r="P69">
        <ns0:f>IF(AND(E69="FETCH",F69="0x00000048"),C69-1,0)</ns0:f>
        <ns0:v>0</ns0:v>
      </ns0:c>
      <ns0:c r="Q69" s="15" t="inlineStr">
        <ns0:is>
          <ns0:t>E:00000011:0001004c:00000084:048e0c63</ns0:t>
        </ns0:is>
      </ns0:c>
    </ns0:row>
    <ns0:row r="70">
      <ns0:c r="A70" t="n">
        <ns0:v>3</ns0:v>
      </ns0:c>
      <ns0:c r="B70" t="inlineStr">
        <ns0:is>
          <ns0:t>4</ns0:t>
        </ns0:is>
      </ns0:c>
      <ns0:c r="C70" t="n">
        <ns0:v>19</ns0:v>
      </ns0:c>
      <ns0:c r="D70" t="n">
        <ns0:v>80</ns0:v>
      </ns0:c>
      <ns0:c r="E70" s="14" t="inlineStr">
        <ns0:is>
          <ns0:t>FETCH</ns0:t>
        </ns0:is>
      </ns0:c>
      <ns0:c r="F70" s="15" t="inlineStr">
        <ns0:is>
          <ns0:t>0x00000088</ns0:t>
        </ns0:is>
      </ns0:c>
      <ns0:c r="G70" s="15" t="inlineStr">
        <ns0:is>
          <ns0:t>0x03500413</ns0:t>
        </ns0:is>
      </ns0:c>
      <ns0:c r="H70" s="15" t="inlineStr">
        <ns0:is>
          <ns0:t>addi s0, zero, 53</ns0:t>
        </ns0:is>
      </ns0:c>
      <ns0:c r="I70" t="inlineStr">
        <ns0:is>
          <ns0:t>addi</ns0:t>
        </ns0:is>
      </ns0:c>
      <ns0:c r="J70" t="inlineStr">
        <ns0:is>
          <ns0:t>CORE</ns0:t>
        </ns0:is>
      </ns0:c>
      <ns0:c r="K70" s="15" t="n">
        <ns0:v>3019</ns0:v>
      </ns0:c>
      <ns0:c r="L70" t="inlineStr">
        <ns0:is>
          <ns0:t>FETCH|0x00000088|0x03500413</ns0:t>
        </ns0:is>
      </ns0:c>
      <ns0:c r="M70" t="inlineStr">
        <ns0:is>
          <ns0:t>addi@0x00000088</ns0:t>
        </ns0:is>
      </ns0:c>
      <ns0:c r="N70">
        <ns0:f>IF(E70="FETCH",IF(COUNTIF($M$6:M70,M70)=1,1,0),0)</ns0:f>
        <ns0:v>0</ns0:v>
      </ns0:c>
      <ns0:c r="O70" t="inlineStr">
        <ns0:is>
          <ns0:t>ROM OK</ns0:t>
        </ns0:is>
      </ns0:c>
      <ns0:c r="P70">
        <ns0:f>IF(AND(E70="FETCH",F70="0x00000048"),C70-1,0)</ns0:f>
        <ns0:v>0</ns0:v>
      </ns0:c>
      <ns0:c r="Q70" s="15" t="inlineStr">
        <ns0:is>
          <ns0:t>E:00000012:00010050:00000088:03500413</ns0:t>
        </ns0:is>
      </ns0:c>
    </ns0:row>
    <ns0:row r="71">
      <ns0:c r="A71" t="n">
        <ns0:v>3</ns0:v>
      </ns0:c>
      <ns0:c r="B71" t="inlineStr">
        <ns0:is>
          <ns0:t>4</ns0:t>
        </ns0:is>
      </ns0:c>
      <ns0:c r="C71" t="n">
        <ns0:v>20</ns0:v>
      </ns0:c>
      <ns0:c r="D71" t="n">
        <ns0:v>83</ns0:v>
      </ns0:c>
      <ns0:c r="E71" s="14" t="inlineStr">
        <ns0:is>
          <ns0:t>FETCH</ns0:t>
        </ns0:is>
      </ns0:c>
      <ns0:c r="F71" s="15" t="inlineStr">
        <ns0:is>
          <ns0:t>0x000000DC</ns0:t>
        </ns0:is>
      </ns0:c>
      <ns0:c r="G71" s="15" t="inlineStr">
        <ns0:is>
          <ns0:t>0x00800E93</ns0:t>
        </ns0:is>
      </ns0:c>
      <ns0:c r="H71" s="15" t="inlineStr">
        <ns0:is>
          <ns0:t>addi t4, zero, 8</ns0:t>
        </ns0:is>
      </ns0:c>
      <ns0:c r="I71" t="inlineStr">
        <ns0:is>
          <ns0:t>addi</ns0:t>
        </ns0:is>
      </ns0:c>
      <ns0:c r="J71" t="inlineStr">
        <ns0:is>
          <ns0:t>CORE</ns0:t>
        </ns0:is>
      </ns0:c>
      <ns0:c r="K71" s="15" t="n">
        <ns0:v>3020</ns0:v>
      </ns0:c>
      <ns0:c r="L71" t="inlineStr">
        <ns0:is>
          <ns0:t>FETCH|0x000000DC|0x00800E93</ns0:t>
        </ns0:is>
      </ns0:c>
      <ns0:c r="M71" t="inlineStr">
        <ns0:is>
          <ns0:t>addi@0x000000DC</ns0:t>
        </ns0:is>
      </ns0:c>
      <ns0:c r="N71">
        <ns0:f>IF(E71="FETCH",IF(COUNTIF($M$6:M71,M71)=1,1,0),0)</ns0:f>
        <ns0:v>0</ns0:v>
      </ns0:c>
      <ns0:c r="O71" t="inlineStr">
        <ns0:is>
          <ns0:t>ROM OK</ns0:t>
        </ns0:is>
      </ns0:c>
      <ns0:c r="P71">
        <ns0:f>IF(AND(E71="FETCH",F71="0x00000048"),C71-1,0)</ns0:f>
        <ns0:v>0</ns0:v>
      </ns0:c>
      <ns0:c r="Q71" s="15" t="inlineStr">
        <ns0:is>
          <ns0:t>E:00000013:00010053:000000dc:00800e93</ns0:t>
        </ns0:is>
      </ns0:c>
    </ns0:row>
    <ns0:row r="72">
      <ns0:c r="A72" t="n">
        <ns0:v>3</ns0:v>
      </ns0:c>
      <ns0:c r="B72" t="inlineStr">
        <ns0:is>
          <ns0:t>4</ns0:t>
        </ns0:is>
      </ns0:c>
      <ns0:c r="C72" t="n">
        <ns0:v>21</ns0:v>
      </ns0:c>
      <ns0:c r="D72" t="n">
        <ns0:v>87</ns0:v>
      </ns0:c>
      <ns0:c r="E72" s="14" t="inlineStr">
        <ns0:is>
          <ns0:t>FETCH</ns0:t>
        </ns0:is>
      </ns0:c>
      <ns0:c r="F72" s="15" t="inlineStr">
        <ns0:is>
          <ns0:t>0x000000E0</ns0:t>
        </ns0:is>
      </ns0:c>
      <ns0:c r="G72" s="15" t="inlineStr">
        <ns0:is>
          <ns0:t>0x03400F13</ns0:t>
        </ns0:is>
      </ns0:c>
      <ns0:c r="H72" s="15" t="inlineStr">
        <ns0:is>
          <ns0:t>addi t5, zero, 52</ns0:t>
        </ns0:is>
      </ns0:c>
      <ns0:c r="I72" t="inlineStr">
        <ns0:is>
          <ns0:t>addi</ns0:t>
        </ns0:is>
      </ns0:c>
      <ns0:c r="J72" t="inlineStr">
        <ns0:is>
          <ns0:t>CORE</ns0:t>
        </ns0:is>
      </ns0:c>
      <ns0:c r="K72" s="15" t="n">
        <ns0:v>3021</ns0:v>
      </ns0:c>
      <ns0:c r="L72" t="inlineStr">
        <ns0:is>
          <ns0:t>FETCH|0x000000E0|0x03400F13</ns0:t>
        </ns0:is>
      </ns0:c>
      <ns0:c r="M72" t="inlineStr">
        <ns0:is>
          <ns0:t>addi@0x000000E0</ns0:t>
        </ns0:is>
      </ns0:c>
      <ns0:c r="N72">
        <ns0:f>IF(E72="FETCH",IF(COUNTIF($M$6:M72,M72)=1,1,0),0)</ns0:f>
        <ns0:v>0</ns0:v>
      </ns0:c>
      <ns0:c r="O72" t="inlineStr">
        <ns0:is>
          <ns0:t>ROM OK</ns0:t>
        </ns0:is>
      </ns0:c>
      <ns0:c r="P72">
        <ns0:f>IF(AND(E72="FETCH",F72="0x00000048"),C72-1,0)</ns0:f>
        <ns0:v>0</ns0:v>
      </ns0:c>
      <ns0:c r="Q72" s="15" t="inlineStr">
        <ns0:is>
          <ns0:t>E:00000014:00010057:000000e0:03400f13</ns0:t>
        </ns0:is>
      </ns0:c>
    </ns0:row>
    <ns0:row r="73">
      <ns0:c r="A73" t="n">
        <ns0:v>3</ns0:v>
      </ns0:c>
      <ns0:c r="B73" t="inlineStr">
        <ns0:is>
          <ns0:t>4</ns0:t>
        </ns0:is>
      </ns0:c>
      <ns0:c r="C73" t="n">
        <ns0:v>22</ns0:v>
      </ns0:c>
      <ns0:c r="D73" t="n">
        <ns0:v>91</ns0:v>
      </ns0:c>
      <ns0:c r="E73" s="14" t="inlineStr">
        <ns0:is>
          <ns0:t>FETCH</ns0:t>
        </ns0:is>
      </ns0:c>
      <ns0:c r="F73" s="15" t="inlineStr">
        <ns0:is>
          <ns0:t>0x000000E4</ns0:t>
        </ns0:is>
      </ns0:c>
      <ns0:c r="G73" s="15" t="inlineStr">
        <ns0:is>
          <ns0:t>0x01C0006F</ns0:t>
        </ns0:is>
      </ns0:c>
      <ns0:c r="H73" s="15" t="inlineStr">
        <ns0:is>
          <ns0:t>jal zero, 0x00000100</ns0:t>
        </ns0:is>
      </ns0:c>
      <ns0:c r="I73" t="inlineStr">
        <ns0:is>
          <ns0:t>jal</ns0:t>
        </ns0:is>
      </ns0:c>
      <ns0:c r="J73" t="inlineStr">
        <ns0:is>
          <ns0:t>CORE</ns0:t>
        </ns0:is>
      </ns0:c>
      <ns0:c r="K73" s="15" t="n">
        <ns0:v>3022</ns0:v>
      </ns0:c>
      <ns0:c r="L73" t="inlineStr">
        <ns0:is>
          <ns0:t>FETCH|0x000000E4|0x01C0006F</ns0:t>
        </ns0:is>
      </ns0:c>
      <ns0:c r="M73" t="inlineStr">
        <ns0:is>
          <ns0:t>jal@0x000000E4</ns0:t>
        </ns0:is>
      </ns0:c>
      <ns0:c r="N73">
        <ns0:f>IF(E73="FETCH",IF(COUNTIF($M$6:M73,M73)=1,1,0),0)</ns0:f>
        <ns0:v>0</ns0:v>
      </ns0:c>
      <ns0:c r="O73" t="inlineStr">
        <ns0:is>
          <ns0:t>ROM OK</ns0:t>
        </ns0:is>
      </ns0:c>
      <ns0:c r="P73">
        <ns0:f>IF(AND(E73="FETCH",F73="0x00000048"),C73-1,0)</ns0:f>
        <ns0:v>0</ns0:v>
      </ns0:c>
      <ns0:c r="Q73" s="15" t="inlineStr">
        <ns0:is>
          <ns0:t>E:00000015:0001005b:000000e4:01c0006f</ns0:t>
        </ns0:is>
      </ns0:c>
    </ns0:row>
    <ns0:row r="74">
      <ns0:c r="A74" t="n">
        <ns0:v>3</ns0:v>
      </ns0:c>
      <ns0:c r="B74" t="inlineStr">
        <ns0:is>
          <ns0:t>4</ns0:t>
        </ns0:is>
      </ns0:c>
      <ns0:c r="C74" t="n">
        <ns0:v>23</ns0:v>
      </ns0:c>
      <ns0:c r="D74" t="n">
        <ns0:v>95</ns0:v>
      </ns0:c>
      <ns0:c r="E74" s="14" t="inlineStr">
        <ns0:is>
          <ns0:t>FETCH</ns0:t>
        </ns0:is>
      </ns0:c>
      <ns0:c r="F74" s="15" t="inlineStr">
        <ns0:is>
          <ns0:t>0x00000100</ns0:t>
        </ns0:is>
      </ns0:c>
      <ns0:c r="G74" s="15" t="inlineStr">
        <ns0:is>
          <ns0:t>0x01D2A023</ns0:t>
        </ns0:is>
      </ns0:c>
      <ns0:c r="H74" s="15" t="inlineStr">
        <ns0:is>
          <ns0:t>sw t4, 0(t0)</ns0:t>
        </ns0:is>
      </ns0:c>
      <ns0:c r="I74" t="inlineStr">
        <ns0:is>
          <ns0:t>sw</ns0:t>
        </ns0:is>
      </ns0:c>
      <ns0:c r="J74" t="inlineStr">
        <ns0:is>
          <ns0:t>CORE</ns0:t>
        </ns0:is>
      </ns0:c>
      <ns0:c r="K74" s="15" t="n">
        <ns0:v>3023</ns0:v>
      </ns0:c>
      <ns0:c r="L74" t="inlineStr">
        <ns0:is>
          <ns0:t>FETCH|0x00000100|0x01D2A023</ns0:t>
        </ns0:is>
      </ns0:c>
      <ns0:c r="M74" t="inlineStr">
        <ns0:is>
          <ns0:t>sw@0x00000100</ns0:t>
        </ns0:is>
      </ns0:c>
      <ns0:c r="N74">
        <ns0:f>IF(E74="FETCH",IF(COUNTIF($M$6:M74,M74)=1,1,0),0)</ns0:f>
        <ns0:v>0</ns0:v>
      </ns0:c>
      <ns0:c r="O74" t="inlineStr">
        <ns0:is>
          <ns0:t>ROM OK</ns0:t>
        </ns0:is>
      </ns0:c>
      <ns0:c r="P74">
        <ns0:f>IF(AND(E74="FETCH",F74="0x00000048"),C74-1,0)</ns0:f>
        <ns0:v>0</ns0:v>
      </ns0:c>
      <ns0:c r="Q74" s="15" t="inlineStr">
        <ns0:is>
          <ns0:t>E:00000016:0001005f:00000100:01d2a023</ns0:t>
        </ns0:is>
      </ns0:c>
    </ns0:row>
    <ns0:row r="75">
      <ns0:c r="A75" t="n">
        <ns0:v>3</ns0:v>
      </ns0:c>
      <ns0:c r="B75" t="inlineStr">
        <ns0:is>
          <ns0:t>4</ns0:t>
        </ns0:is>
      </ns0:c>
      <ns0:c r="C75" t="n">
        <ns0:v>24</ns0:v>
      </ns0:c>
      <ns0:c r="D75" t="n">
        <ns0:v>99</ns0:v>
      </ns0:c>
      <ns0:c r="E75" s="14" t="inlineStr">
        <ns0:is>
          <ns0:t>FETCH</ns0:t>
        </ns0:is>
      </ns0:c>
      <ns0:c r="F75" s="15" t="inlineStr">
        <ns0:is>
          <ns0:t>0x00000104</ns0:t>
        </ns0:is>
      </ns0:c>
      <ns0:c r="G75" s="15" t="inlineStr">
        <ns0:is>
          <ns0:t>0x0002AF83</ns0:t>
        </ns0:is>
      </ns0:c>
      <ns0:c r="H75" s="15" t="inlineStr">
        <ns0:is>
          <ns0:t>lw t6, 0(t0)</ns0:t>
        </ns0:is>
      </ns0:c>
      <ns0:c r="I75" t="inlineStr">
        <ns0:is>
          <ns0:t>lw</ns0:t>
        </ns0:is>
      </ns0:c>
      <ns0:c r="J75" t="inlineStr">
        <ns0:is>
          <ns0:t>CORE</ns0:t>
        </ns0:is>
      </ns0:c>
      <ns0:c r="K75" s="15" t="n">
        <ns0:v>3024</ns0:v>
      </ns0:c>
      <ns0:c r="L75" t="inlineStr">
        <ns0:is>
          <ns0:t>FETCH|0x00000104|0x0002AF83</ns0:t>
        </ns0:is>
      </ns0:c>
      <ns0:c r="M75" t="inlineStr">
        <ns0:is>
          <ns0:t>lw@0x00000104</ns0:t>
        </ns0:is>
      </ns0:c>
      <ns0:c r="N75">
        <ns0:f>IF(E75="FETCH",IF(COUNTIF($M$6:M75,M75)=1,1,0),0)</ns0:f>
        <ns0:v>0</ns0:v>
      </ns0:c>
      <ns0:c r="O75" t="inlineStr">
        <ns0:is>
          <ns0:t>ROM OK</ns0:t>
        </ns0:is>
      </ns0:c>
      <ns0:c r="P75">
        <ns0:f>IF(AND(E75="FETCH",F75="0x00000048"),C75-1,0)</ns0:f>
        <ns0:v>0</ns0:v>
      </ns0:c>
      <ns0:c r="Q75" s="15" t="inlineStr">
        <ns0:is>
          <ns0:t>E:00000017:00010063:00000104:0002af83</ns0:t>
        </ns0:is>
      </ns0:c>
    </ns0:row>
    <ns0:row r="76">
      <ns0:c r="A76" s="17" t="n">
        <ns0:v>3</ns0:v>
      </ns0:c>
      <ns0:c r="B76" s="17" t="inlineStr">
        <ns0:is>
          <ns0:t>4</ns0:t>
        </ns0:is>
      </ns0:c>
      <ns0:c r="C76" s="17" t="n">
        <ns0:v>25</ns0:v>
      </ns0:c>
      <ns0:c r="D76" s="17" t="n">
        <ns0:v>102</ns0:v>
      </ns0:c>
      <ns0:c r="E76" s="18" t="inlineStr">
        <ns0:is>
          <ns0:t>LED_WRITE</ns0:t>
        </ns0:is>
      </ns0:c>
      <ns0:c r="F76" s="19" t="inlineStr">
        <ns0:is>
          <ns0:t>0x20000000</ns0:t>
        </ns0:is>
      </ns0:c>
      <ns0:c r="G76" s="19" t="inlineStr">
        <ns0:is>
          <ns0:t>0x00000008</ns0:t>
        </ns0:is>
      </ns0:c>
      <ns0:c r="H76" s="19" t="inlineStr">
        <ns0:is>
          <ns0:t>MMIO GPIO write</ns0:t>
        </ns0:is>
      </ns0:c>
      <ns0:c r="I76" s="17" t="inlineStr">
        <ns0:is>
          <ns0:t>LED_WRITE</ns0:t>
        </ns0:is>
      </ns0:c>
      <ns0:c r="J76" s="17" t="inlineStr">
        <ns0:is>
          <ns0:t>MMIO</ns0:t>
        </ns0:is>
      </ns0:c>
      <ns0:c r="K76" s="19" t="n">
        <ns0:v>3025</ns0:v>
      </ns0:c>
      <ns0:c r="L76" s="17" t="inlineStr">
        <ns0:is>
          <ns0:t>LED_WRITE|0x20000000|0x00000008</ns0:t>
        </ns0:is>
      </ns0:c>
      <ns0:c r="M76" s="17" t="inlineStr"/>
      <ns0:c r="N76" s="17">
        <ns0:f>IF(E76="FETCH",IF(COUNTIF($M$6:M76,M76)=1,1,0),0)</ns0:f>
        <ns0:v>0</ns0:v>
      </ns0:c>
      <ns0:c r="O76" s="17" t="inlineStr">
        <ns0:is>
          <ns0:t>MMIO OK</ns0:t>
        </ns0:is>
      </ns0:c>
      <ns0:c r="P76" s="17">
        <ns0:f>IF(AND(E76="FETCH",F76="0x00000048"),C76-1,0)</ns0:f>
        <ns0:v>0</ns0:v>
      </ns0:c>
      <ns0:c r="Q76" s="19" t="inlineStr">
        <ns0:is>
          <ns0:t>E:00000018:00020066:20000000:00000008</ns0:t>
        </ns0:is>
      </ns0:c>
    </ns0:row>
    <ns0:row r="77">
      <ns0:c r="A77" t="n">
        <ns0:v>4</ns0:v>
      </ns0:c>
      <ns0:c r="B77" t="inlineStr">
        <ns0:is>
          <ns0:t>0</ns0:t>
        </ns0:is>
      </ns0:c>
      <ns0:c r="C77" t="n">
        <ns0:v>1</ns0:v>
      </ns0:c>
      <ns0:c r="D77" t="n">
        <ns0:v>1</ns0:v>
      </ns0:c>
      <ns0:c r="E77" s="14" t="inlineStr">
        <ns0:is>
          <ns0:t>FETCH</ns0:t>
        </ns0:is>
      </ns0:c>
      <ns0:c r="F77" s="15" t="inlineStr">
        <ns0:is>
          <ns0:t>0x0000003C</ns0:t>
        </ns0:is>
      </ns0:c>
      <ns0:c r="G77" s="15" t="inlineStr">
        <ns0:is>
          <ns0:t>0x0013F393</ns0:t>
        </ns0:is>
      </ns0:c>
      <ns0:c r="H77" s="15" t="inlineStr">
        <ns0:is>
          <ns0:t>andi t2, t2, 1</ns0:t>
        </ns0:is>
      </ns0:c>
      <ns0:c r="I77" t="inlineStr">
        <ns0:is>
          <ns0:t>andi</ns0:t>
        </ns0:is>
      </ns0:c>
      <ns0:c r="J77" s="16" t="inlineStr">
        <ns0:is>
          <ns0:t>POLL</ns0:t>
        </ns0:is>
      </ns0:c>
      <ns0:c r="K77" s="15" t="n">
        <ns0:v>4001</ns0:v>
      </ns0:c>
      <ns0:c r="L77" t="inlineStr">
        <ns0:is>
          <ns0:t>FETCH|0x0000003C|0x0013F393</ns0:t>
        </ns0:is>
      </ns0:c>
      <ns0:c r="M77" t="inlineStr">
        <ns0:is>
          <ns0:t>andi@0x0000003C</ns0:t>
        </ns0:is>
      </ns0:c>
      <ns0:c r="N77">
        <ns0:f>IF(E77="FETCH",IF(COUNTIF($M$6:M77,M77)=1,1,0),0)</ns0:f>
        <ns0:v>0</ns0:v>
      </ns0:c>
      <ns0:c r="O77" t="inlineStr">
        <ns0:is>
          <ns0:t>ROM OK</ns0:t>
        </ns0:is>
      </ns0:c>
      <ns0:c r="P77">
        <ns0:f>IF(AND(E77="FETCH",F77="0x00000048"),C77-1,0)</ns0:f>
        <ns0:v>0</ns0:v>
      </ns0:c>
      <ns0:c r="Q77" s="15" t="inlineStr">
        <ns0:is>
          <ns0:t>E:00000000:00010001:0000003c:0013f393</ns0:t>
        </ns0:is>
      </ns0:c>
    </ns0:row>
    <ns0:row r="78">
      <ns0:c r="A78" t="n">
        <ns0:v>4</ns0:v>
      </ns0:c>
      <ns0:c r="B78" t="inlineStr">
        <ns0:is>
          <ns0:t>0</ns0:t>
        </ns0:is>
      </ns0:c>
      <ns0:c r="C78" t="n">
        <ns0:v>2</ns0:v>
      </ns0:c>
      <ns0:c r="D78" t="n">
        <ns0:v>8</ns0:v>
      </ns0:c>
      <ns0:c r="E78" s="14" t="inlineStr">
        <ns0:is>
          <ns0:t>FETCH</ns0:t>
        </ns0:is>
      </ns0:c>
      <ns0:c r="F78" s="15" t="inlineStr">
        <ns0:is>
          <ns0:t>0x00000040</ns0:t>
        </ns0:is>
      </ns0:c>
      <ns0:c r="G78" s="15" t="inlineStr">
        <ns0:is>
          <ns0:t>0xFE038CE3</ns0:t>
        </ns0:is>
      </ns0:c>
      <ns0:c r="H78" s="15" t="inlineStr">
        <ns0:is>
          <ns0:t>beq t2, zero, 0x00000038</ns0:t>
        </ns0:is>
      </ns0:c>
      <ns0:c r="I78" t="inlineStr">
        <ns0:is>
          <ns0:t>beq</ns0:t>
        </ns0:is>
      </ns0:c>
      <ns0:c r="J78" s="16" t="inlineStr">
        <ns0:is>
          <ns0:t>POLL</ns0:t>
        </ns0:is>
      </ns0:c>
      <ns0:c r="K78" s="15" t="n">
        <ns0:v>4002</ns0:v>
      </ns0:c>
      <ns0:c r="L78" t="inlineStr">
        <ns0:is>
          <ns0:t>FETCH|0x00000040|0xFE038CE3</ns0:t>
        </ns0:is>
      </ns0:c>
      <ns0:c r="M78" t="inlineStr">
        <ns0:is>
          <ns0:t>beq@0x00000040</ns0:t>
        </ns0:is>
      </ns0:c>
      <ns0:c r="N78">
        <ns0:f>IF(E78="FETCH",IF(COUNTIF($M$6:M78,M78)=1,1,0),0)</ns0:f>
        <ns0:v>0</ns0:v>
      </ns0:c>
      <ns0:c r="O78" t="inlineStr">
        <ns0:is>
          <ns0:t>ROM OK</ns0:t>
        </ns0:is>
      </ns0:c>
      <ns0:c r="P78">
        <ns0:f>IF(AND(E78="FETCH",F78="0x00000048"),C78-1,0)</ns0:f>
        <ns0:v>0</ns0:v>
      </ns0:c>
      <ns0:c r="Q78" s="15" t="inlineStr">
        <ns0:is>
          <ns0:t>E:00000001:00010008:00000040:fe038ce3</ns0:t>
        </ns0:is>
      </ns0:c>
    </ns0:row>
    <ns0:row r="79">
      <ns0:c r="A79" t="n">
        <ns0:v>4</ns0:v>
      </ns0:c>
      <ns0:c r="B79" t="inlineStr">
        <ns0:is>
          <ns0:t>0</ns0:t>
        </ns0:is>
      </ns0:c>
      <ns0:c r="C79" t="n">
        <ns0:v>3</ns0:v>
      </ns0:c>
      <ns0:c r="D79" t="n">
        <ns0:v>12</ns0:v>
      </ns0:c>
      <ns0:c r="E79" s="14" t="inlineStr">
        <ns0:is>
          <ns0:t>FETCH</ns0:t>
        </ns0:is>
      </ns0:c>
      <ns0:c r="F79" s="15" t="inlineStr">
        <ns0:is>
          <ns0:t>0x00000044</ns0:t>
        </ns0:is>
      </ns0:c>
      <ns0:c r="G79" s="15" t="inlineStr">
        <ns0:is>
          <ns0:t>0x0182AE03</ns0:t>
        </ns0:is>
      </ns0:c>
      <ns0:c r="H79" s="15" t="inlineStr">
        <ns0:is>
          <ns0:t>lw t3, 24(t0)</ns0:t>
        </ns0:is>
      </ns0:c>
      <ns0:c r="I79" t="inlineStr">
        <ns0:is>
          <ns0:t>lw</ns0:t>
        </ns0:is>
      </ns0:c>
      <ns0:c r="J79" s="16" t="inlineStr">
        <ns0:is>
          <ns0:t>POLL</ns0:t>
        </ns0:is>
      </ns0:c>
      <ns0:c r="K79" s="15" t="n">
        <ns0:v>4003</ns0:v>
      </ns0:c>
      <ns0:c r="L79" t="inlineStr">
        <ns0:is>
          <ns0:t>FETCH|0x00000044|0x0182AE03</ns0:t>
        </ns0:is>
      </ns0:c>
      <ns0:c r="M79" t="inlineStr">
        <ns0:is>
          <ns0:t>lw@0x00000044</ns0:t>
        </ns0:is>
      </ns0:c>
      <ns0:c r="N79">
        <ns0:f>IF(E79="FETCH",IF(COUNTIF($M$6:M79,M79)=1,1,0),0)</ns0:f>
        <ns0:v>0</ns0:v>
      </ns0:c>
      <ns0:c r="O79" t="inlineStr">
        <ns0:is>
          <ns0:t>ROM OK</ns0:t>
        </ns0:is>
      </ns0:c>
      <ns0:c r="P79">
        <ns0:f>IF(AND(E79="FETCH",F79="0x00000048"),C79-1,0)</ns0:f>
        <ns0:v>0</ns0:v>
      </ns0:c>
      <ns0:c r="Q79" s="15" t="inlineStr">
        <ns0:is>
          <ns0:t>E:00000002:0001000c:00000044:0182ae03</ns0:t>
        </ns0:is>
      </ns0:c>
    </ns0:row>
    <ns0:row r="80">
      <ns0:c r="A80" t="n">
        <ns0:v>4</ns0:v>
      </ns0:c>
      <ns0:c r="B80" t="inlineStr">
        <ns0:is>
          <ns0:t>0</ns0:t>
        </ns0:is>
      </ns0:c>
      <ns0:c r="C80" t="n">
        <ns0:v>4</ns0:v>
      </ns0:c>
      <ns0:c r="D80" t="n">
        <ns0:v>16</ns0:v>
      </ns0:c>
      <ns0:c r="E80" s="14" t="inlineStr">
        <ns0:is>
          <ns0:t>FETCH</ns0:t>
        </ns0:is>
      </ns0:c>
      <ns0:c r="F80" s="15" t="inlineStr">
        <ns0:is>
          <ns0:t>0x00000048</ns0:t>
        </ns0:is>
      </ns0:c>
      <ns0:c r="G80" s="15" t="inlineStr">
        <ns0:is>
          <ns0:t>0x05400413</ns0:t>
        </ns0:is>
      </ns0:c>
      <ns0:c r="H80" s="15" t="inlineStr">
        <ns0:is>
          <ns0:t>addi s0, zero, 84</ns0:t>
        </ns0:is>
      </ns0:c>
      <ns0:c r="I80" t="inlineStr">
        <ns0:is>
          <ns0:t>addi</ns0:t>
        </ns0:is>
      </ns0:c>
      <ns0:c r="J80" t="inlineStr">
        <ns0:is>
          <ns0:t>CORE</ns0:t>
        </ns0:is>
      </ns0:c>
      <ns0:c r="K80" s="15" t="n">
        <ns0:v>4004</ns0:v>
      </ns0:c>
      <ns0:c r="L80" t="inlineStr">
        <ns0:is>
          <ns0:t>FETCH|0x00000048|0x05400413</ns0:t>
        </ns0:is>
      </ns0:c>
      <ns0:c r="M80" t="inlineStr">
        <ns0:is>
          <ns0:t>addi@0x00000048</ns0:t>
        </ns0:is>
      </ns0:c>
      <ns0:c r="N80">
        <ns0:f>IF(E80="FETCH",IF(COUNTIF($M$6:M80,M80)=1,1,0),0)</ns0:f>
        <ns0:v>0</ns0:v>
      </ns0:c>
      <ns0:c r="O80" t="inlineStr">
        <ns0:is>
          <ns0:t>ROM OK</ns0:t>
        </ns0:is>
      </ns0:c>
      <ns0:c r="P80">
        <ns0:f>IF(AND(E80="FETCH",F80="0x00000048"),C80-1,0)</ns0:f>
        <ns0:v>3</ns0:v>
      </ns0:c>
      <ns0:c r="Q80" s="15" t="inlineStr">
        <ns0:is>
          <ns0:t>E:00000003:00010010:00000048:05400413</ns0:t>
        </ns0:is>
      </ns0:c>
    </ns0:row>
    <ns0:row r="81">
      <ns0:c r="A81" t="n">
        <ns0:v>4</ns0:v>
      </ns0:c>
      <ns0:c r="B81" t="inlineStr">
        <ns0:is>
          <ns0:t>0</ns0:t>
        </ns0:is>
      </ns0:c>
      <ns0:c r="C81" t="n">
        <ns0:v>5</ns0:v>
      </ns0:c>
      <ns0:c r="D81" t="n">
        <ns0:v>23</ns0:v>
      </ns0:c>
      <ns0:c r="E81" s="14" t="inlineStr">
        <ns0:is>
          <ns0:t>FETCH</ns0:t>
        </ns0:is>
      </ns0:c>
      <ns0:c r="F81" s="15" t="inlineStr">
        <ns0:is>
          <ns0:t>0x0000004C</ns0:t>
        </ns0:is>
      </ns0:c>
      <ns0:c r="G81" s="15" t="inlineStr">
        <ns0:is>
          <ns0:t>0x1A8E0063</ns0:t>
        </ns0:is>
      </ns0:c>
      <ns0:c r="H81" s="15" t="inlineStr">
        <ns0:is>
          <ns0:t>beq t3, s0, 0x000001EC</ns0:t>
        </ns0:is>
      </ns0:c>
      <ns0:c r="I81" t="inlineStr">
        <ns0:is>
          <ns0:t>beq</ns0:t>
        </ns0:is>
      </ns0:c>
      <ns0:c r="J81" t="inlineStr">
        <ns0:is>
          <ns0:t>CORE</ns0:t>
        </ns0:is>
      </ns0:c>
      <ns0:c r="K81" s="15" t="n">
        <ns0:v>4005</ns0:v>
      </ns0:c>
      <ns0:c r="L81" t="inlineStr">
        <ns0:is>
          <ns0:t>FETCH|0x0000004C|0x1A8E0063</ns0:t>
        </ns0:is>
      </ns0:c>
      <ns0:c r="M81" t="inlineStr">
        <ns0:is>
          <ns0:t>beq@0x0000004C</ns0:t>
        </ns0:is>
      </ns0:c>
      <ns0:c r="N81">
        <ns0:f>IF(E81="FETCH",IF(COUNTIF($M$6:M81,M81)=1,1,0),0)</ns0:f>
        <ns0:v>0</ns0:v>
      </ns0:c>
      <ns0:c r="O81" t="inlineStr">
        <ns0:is>
          <ns0:t>ROM OK</ns0:t>
        </ns0:is>
      </ns0:c>
      <ns0:c r="P81">
        <ns0:f>IF(AND(E81="FETCH",F81="0x00000048"),C81-1,0)</ns0:f>
        <ns0:v>0</ns0:v>
      </ns0:c>
      <ns0:c r="Q81" s="15" t="inlineStr">
        <ns0:is>
          <ns0:t>E:00000004:00010017:0000004c:1a8e0063</ns0:t>
        </ns0:is>
      </ns0:c>
    </ns0:row>
    <ns0:row r="82">
      <ns0:c r="A82" t="n">
        <ns0:v>4</ns0:v>
      </ns0:c>
      <ns0:c r="B82" t="inlineStr">
        <ns0:is>
          <ns0:t>0</ns0:t>
        </ns0:is>
      </ns0:c>
      <ns0:c r="C82" t="n">
        <ns0:v>6</ns0:v>
      </ns0:c>
      <ns0:c r="D82" t="n">
        <ns0:v>27</ns0:v>
      </ns0:c>
      <ns0:c r="E82" s="14" t="inlineStr">
        <ns0:is>
          <ns0:t>FETCH</ns0:t>
        </ns0:is>
      </ns0:c>
      <ns0:c r="F82" s="15" t="inlineStr">
        <ns0:is>
          <ns0:t>0x00000050</ns0:t>
        </ns0:is>
      </ns0:c>
      <ns0:c r="G82" s="15" t="inlineStr">
        <ns0:is>
          <ns0:t>0x04300413</ns0:t>
        </ns0:is>
      </ns0:c>
      <ns0:c r="H82" s="15" t="inlineStr">
        <ns0:is>
          <ns0:t>addi s0, zero, 67</ns0:t>
        </ns0:is>
      </ns0:c>
      <ns0:c r="I82" t="inlineStr">
        <ns0:is>
          <ns0:t>addi</ns0:t>
        </ns0:is>
      </ns0:c>
      <ns0:c r="J82" t="inlineStr">
        <ns0:is>
          <ns0:t>CORE</ns0:t>
        </ns0:is>
      </ns0:c>
      <ns0:c r="K82" s="15" t="n">
        <ns0:v>4006</ns0:v>
      </ns0:c>
      <ns0:c r="L82" t="inlineStr">
        <ns0:is>
          <ns0:t>FETCH|0x00000050|0x04300413</ns0:t>
        </ns0:is>
      </ns0:c>
      <ns0:c r="M82" t="inlineStr">
        <ns0:is>
          <ns0:t>addi@0x00000050</ns0:t>
        </ns0:is>
      </ns0:c>
      <ns0:c r="N82">
        <ns0:f>IF(E82="FETCH",IF(COUNTIF($M$6:M82,M82)=1,1,0),0)</ns0:f>
        <ns0:v>0</ns0:v>
      </ns0:c>
      <ns0:c r="O82" t="inlineStr">
        <ns0:is>
          <ns0:t>ROM OK</ns0:t>
        </ns0:is>
      </ns0:c>
      <ns0:c r="P82">
        <ns0:f>IF(AND(E82="FETCH",F82="0x00000048"),C82-1,0)</ns0:f>
        <ns0:v>0</ns0:v>
      </ns0:c>
      <ns0:c r="Q82" s="15" t="inlineStr">
        <ns0:is>
          <ns0:t>E:00000005:0001001b:00000050:04300413</ns0:t>
        </ns0:is>
      </ns0:c>
    </ns0:row>
    <ns0:row r="83">
      <ns0:c r="A83" t="n">
        <ns0:v>4</ns0:v>
      </ns0:c>
      <ns0:c r="B83" t="inlineStr">
        <ns0:is>
          <ns0:t>0</ns0:t>
        </ns0:is>
      </ns0:c>
      <ns0:c r="C83" t="n">
        <ns0:v>7</ns0:v>
      </ns0:c>
      <ns0:c r="D83" t="n">
        <ns0:v>31</ns0:v>
      </ns0:c>
      <ns0:c r="E83" s="14" t="inlineStr">
        <ns0:is>
          <ns0:t>FETCH</ns0:t>
        </ns0:is>
      </ns0:c>
      <ns0:c r="F83" s="15" t="inlineStr">
        <ns0:is>
          <ns0:t>0x00000054</ns0:t>
        </ns0:is>
      </ns0:c>
      <ns0:c r="G83" s="15" t="inlineStr">
        <ns0:is>
          <ns0:t>0x188E0063</ns0:t>
        </ns0:is>
      </ns0:c>
      <ns0:c r="H83" s="15" t="inlineStr">
        <ns0:is>
          <ns0:t>beq t3, s0, 0x000001D4</ns0:t>
        </ns0:is>
      </ns0:c>
      <ns0:c r="I83" t="inlineStr">
        <ns0:is>
          <ns0:t>beq</ns0:t>
        </ns0:is>
      </ns0:c>
      <ns0:c r="J83" t="inlineStr">
        <ns0:is>
          <ns0:t>CORE</ns0:t>
        </ns0:is>
      </ns0:c>
      <ns0:c r="K83" s="15" t="n">
        <ns0:v>4007</ns0:v>
      </ns0:c>
      <ns0:c r="L83" t="inlineStr">
        <ns0:is>
          <ns0:t>FETCH|0x00000054|0x188E0063</ns0:t>
        </ns0:is>
      </ns0:c>
      <ns0:c r="M83" t="inlineStr">
        <ns0:is>
          <ns0:t>beq@0x00000054</ns0:t>
        </ns0:is>
      </ns0:c>
      <ns0:c r="N83">
        <ns0:f>IF(E83="FETCH",IF(COUNTIF($M$6:M83,M83)=1,1,0),0)</ns0:f>
        <ns0:v>0</ns0:v>
      </ns0:c>
      <ns0:c r="O83" t="inlineStr">
        <ns0:is>
          <ns0:t>ROM OK</ns0:t>
        </ns0:is>
      </ns0:c>
      <ns0:c r="P83">
        <ns0:f>IF(AND(E83="FETCH",F83="0x00000048"),C83-1,0)</ns0:f>
        <ns0:v>0</ns0:v>
      </ns0:c>
      <ns0:c r="Q83" s="15" t="inlineStr">
        <ns0:is>
          <ns0:t>E:00000006:0001001f:00000054:188e0063</ns0:t>
        </ns0:is>
      </ns0:c>
    </ns0:row>
    <ns0:row r="84">
      <ns0:c r="A84" t="n">
        <ns0:v>4</ns0:v>
      </ns0:c>
      <ns0:c r="B84" t="inlineStr">
        <ns0:is>
          <ns0:t>0</ns0:t>
        </ns0:is>
      </ns0:c>
      <ns0:c r="C84" t="n">
        <ns0:v>8</ns0:v>
      </ns0:c>
      <ns0:c r="D84" t="n">
        <ns0:v>35</ns0:v>
      </ns0:c>
      <ns0:c r="E84" s="14" t="inlineStr">
        <ns0:is>
          <ns0:t>FETCH</ns0:t>
        </ns0:is>
      </ns0:c>
      <ns0:c r="F84" s="15" t="inlineStr">
        <ns0:is>
          <ns0:t>0x00000058</ns0:t>
        </ns0:is>
      </ns0:c>
      <ns0:c r="G84" s="15" t="inlineStr">
        <ns0:is>
          <ns0:t>0x03F00413</ns0:t>
        </ns0:is>
      </ns0:c>
      <ns0:c r="H84" s="15" t="inlineStr">
        <ns0:is>
          <ns0:t>addi s0, zero, 63</ns0:t>
        </ns0:is>
      </ns0:c>
      <ns0:c r="I84" t="inlineStr">
        <ns0:is>
          <ns0:t>addi</ns0:t>
        </ns0:is>
      </ns0:c>
      <ns0:c r="J84" t="inlineStr">
        <ns0:is>
          <ns0:t>CORE</ns0:t>
        </ns0:is>
      </ns0:c>
      <ns0:c r="K84" s="15" t="n">
        <ns0:v>4008</ns0:v>
      </ns0:c>
      <ns0:c r="L84" t="inlineStr">
        <ns0:is>
          <ns0:t>FETCH|0x00000058|0x03F00413</ns0:t>
        </ns0:is>
      </ns0:c>
      <ns0:c r="M84" t="inlineStr">
        <ns0:is>
          <ns0:t>addi@0x00000058</ns0:t>
        </ns0:is>
      </ns0:c>
      <ns0:c r="N84">
        <ns0:f>IF(E84="FETCH",IF(COUNTIF($M$6:M84,M84)=1,1,0),0)</ns0:f>
        <ns0:v>0</ns0:v>
      </ns0:c>
      <ns0:c r="O84" t="inlineStr">
        <ns0:is>
          <ns0:t>ROM OK</ns0:t>
        </ns0:is>
      </ns0:c>
      <ns0:c r="P84">
        <ns0:f>IF(AND(E84="FETCH",F84="0x00000048"),C84-1,0)</ns0:f>
        <ns0:v>0</ns0:v>
      </ns0:c>
      <ns0:c r="Q84" s="15" t="inlineStr">
        <ns0:is>
          <ns0:t>E:00000007:00010023:00000058:03f00413</ns0:t>
        </ns0:is>
      </ns0:c>
    </ns0:row>
    <ns0:row r="85">
      <ns0:c r="A85" t="n">
        <ns0:v>4</ns0:v>
      </ns0:c>
      <ns0:c r="B85" t="inlineStr">
        <ns0:is>
          <ns0:t>0</ns0:t>
        </ns0:is>
      </ns0:c>
      <ns0:c r="C85" t="n">
        <ns0:v>9</ns0:v>
      </ns0:c>
      <ns0:c r="D85" t="n">
        <ns0:v>39</ns0:v>
      </ns0:c>
      <ns0:c r="E85" s="14" t="inlineStr">
        <ns0:is>
          <ns0:t>FETCH</ns0:t>
        </ns0:is>
      </ns0:c>
      <ns0:c r="F85" s="15" t="inlineStr">
        <ns0:is>
          <ns0:t>0x0000005C</ns0:t>
        </ns0:is>
      </ns0:c>
      <ns0:c r="G85" s="15" t="inlineStr">
        <ns0:is>
          <ns0:t>0x0A8E0A63</ns0:t>
        </ns0:is>
      </ns0:c>
      <ns0:c r="H85" s="15" t="inlineStr">
        <ns0:is>
          <ns0:t>beq t3, s0, 0x00000110</ns0:t>
        </ns0:is>
      </ns0:c>
      <ns0:c r="I85" t="inlineStr">
        <ns0:is>
          <ns0:t>beq</ns0:t>
        </ns0:is>
      </ns0:c>
      <ns0:c r="J85" t="inlineStr">
        <ns0:is>
          <ns0:t>CORE</ns0:t>
        </ns0:is>
      </ns0:c>
      <ns0:c r="K85" s="15" t="n">
        <ns0:v>4009</ns0:v>
      </ns0:c>
      <ns0:c r="L85" t="inlineStr">
        <ns0:is>
          <ns0:t>FETCH|0x0000005C|0x0A8E0A63</ns0:t>
        </ns0:is>
      </ns0:c>
      <ns0:c r="M85" t="inlineStr">
        <ns0:is>
          <ns0:t>beq@0x0000005C</ns0:t>
        </ns0:is>
      </ns0:c>
      <ns0:c r="N85">
        <ns0:f>IF(E85="FETCH",IF(COUNTIF($M$6:M85,M85)=1,1,0),0)</ns0:f>
        <ns0:v>0</ns0:v>
      </ns0:c>
      <ns0:c r="O85" t="inlineStr">
        <ns0:is>
          <ns0:t>ROM OK</ns0:t>
        </ns0:is>
      </ns0:c>
      <ns0:c r="P85">
        <ns0:f>IF(AND(E85="FETCH",F85="0x00000048"),C85-1,0)</ns0:f>
        <ns0:v>0</ns0:v>
      </ns0:c>
      <ns0:c r="Q85" s="15" t="inlineStr">
        <ns0:is>
          <ns0:t>E:00000008:00010027:0000005c:0a8e0a63</ns0:t>
        </ns0:is>
      </ns0:c>
    </ns0:row>
    <ns0:row r="86">
      <ns0:c r="A86" t="n">
        <ns0:v>4</ns0:v>
      </ns0:c>
      <ns0:c r="B86" t="inlineStr">
        <ns0:is>
          <ns0:t>0</ns0:t>
        </ns0:is>
      </ns0:c>
      <ns0:c r="C86" t="n">
        <ns0:v>10</ns0:v>
      </ns0:c>
      <ns0:c r="D86" t="n">
        <ns0:v>43</ns0:v>
      </ns0:c>
      <ns0:c r="E86" s="14" t="inlineStr">
        <ns0:is>
          <ns0:t>FETCH</ns0:t>
        </ns0:is>
      </ns0:c>
      <ns0:c r="F86" s="15" t="inlineStr">
        <ns0:is>
          <ns0:t>0x00000060</ns0:t>
        </ns0:is>
      </ns0:c>
      <ns0:c r="G86" s="15" t="inlineStr">
        <ns0:is>
          <ns0:t>0x03000413</ns0:t>
        </ns0:is>
      </ns0:c>
      <ns0:c r="H86" s="15" t="inlineStr">
        <ns0:is>
          <ns0:t>addi s0, zero, 48</ns0:t>
        </ns0:is>
      </ns0:c>
      <ns0:c r="I86" t="inlineStr">
        <ns0:is>
          <ns0:t>addi</ns0:t>
        </ns0:is>
      </ns0:c>
      <ns0:c r="J86" t="inlineStr">
        <ns0:is>
          <ns0:t>CORE</ns0:t>
        </ns0:is>
      </ns0:c>
      <ns0:c r="K86" s="15" t="n">
        <ns0:v>4010</ns0:v>
      </ns0:c>
      <ns0:c r="L86" t="inlineStr">
        <ns0:is>
          <ns0:t>FETCH|0x00000060|0x03000413</ns0:t>
        </ns0:is>
      </ns0:c>
      <ns0:c r="M86" t="inlineStr">
        <ns0:is>
          <ns0:t>addi@0x00000060</ns0:t>
        </ns0:is>
      </ns0:c>
      <ns0:c r="N86">
        <ns0:f>IF(E86="FETCH",IF(COUNTIF($M$6:M86,M86)=1,1,0),0)</ns0:f>
        <ns0:v>0</ns0:v>
      </ns0:c>
      <ns0:c r="O86" t="inlineStr">
        <ns0:is>
          <ns0:t>ROM OK</ns0:t>
        </ns0:is>
      </ns0:c>
      <ns0:c r="P86">
        <ns0:f>IF(AND(E86="FETCH",F86="0x00000048"),C86-1,0)</ns0:f>
        <ns0:v>0</ns0:v>
      </ns0:c>
      <ns0:c r="Q86" s="15" t="inlineStr">
        <ns0:is>
          <ns0:t>E:00000009:0001002b:00000060:03000413</ns0:t>
        </ns0:is>
      </ns0:c>
    </ns0:row>
    <ns0:row r="87">
      <ns0:c r="A87" t="n">
        <ns0:v>4</ns0:v>
      </ns0:c>
      <ns0:c r="B87" t="inlineStr">
        <ns0:is>
          <ns0:t>0</ns0:t>
        </ns0:is>
      </ns0:c>
      <ns0:c r="C87" t="n">
        <ns0:v>11</ns0:v>
      </ns0:c>
      <ns0:c r="D87" t="n">
        <ns0:v>47</ns0:v>
      </ns0:c>
      <ns0:c r="E87" s="14" t="inlineStr">
        <ns0:is>
          <ns0:t>FETCH</ns0:t>
        </ns0:is>
      </ns0:c>
      <ns0:c r="F87" s="15" t="inlineStr">
        <ns0:is>
          <ns0:t>0x00000064</ns0:t>
        </ns0:is>
      </ns0:c>
      <ns0:c r="G87" s="15" t="inlineStr">
        <ns0:is>
          <ns0:t>0x048E0463</ns0:t>
        </ns0:is>
      </ns0:c>
      <ns0:c r="H87" s="15" t="inlineStr">
        <ns0:is>
          <ns0:t>beq t3, s0, 0x000000AC</ns0:t>
        </ns0:is>
      </ns0:c>
      <ns0:c r="I87" t="inlineStr">
        <ns0:is>
          <ns0:t>beq</ns0:t>
        </ns0:is>
      </ns0:c>
      <ns0:c r="J87" t="inlineStr">
        <ns0:is>
          <ns0:t>CORE</ns0:t>
        </ns0:is>
      </ns0:c>
      <ns0:c r="K87" s="15" t="n">
        <ns0:v>4011</ns0:v>
      </ns0:c>
      <ns0:c r="L87" t="inlineStr">
        <ns0:is>
          <ns0:t>FETCH|0x00000064|0x048E0463</ns0:t>
        </ns0:is>
      </ns0:c>
      <ns0:c r="M87" t="inlineStr">
        <ns0:is>
          <ns0:t>beq@0x00000064</ns0:t>
        </ns0:is>
      </ns0:c>
      <ns0:c r="N87">
        <ns0:f>IF(E87="FETCH",IF(COUNTIF($M$6:M87,M87)=1,1,0),0)</ns0:f>
        <ns0:v>0</ns0:v>
      </ns0:c>
      <ns0:c r="O87" t="inlineStr">
        <ns0:is>
          <ns0:t>ROM OK</ns0:t>
        </ns0:is>
      </ns0:c>
      <ns0:c r="P87">
        <ns0:f>IF(AND(E87="FETCH",F87="0x00000048"),C87-1,0)</ns0:f>
        <ns0:v>0</ns0:v>
      </ns0:c>
      <ns0:c r="Q87" s="15" t="inlineStr">
        <ns0:is>
          <ns0:t>E:0000000a:0001002f:00000064:048e0463</ns0:t>
        </ns0:is>
      </ns0:c>
    </ns0:row>
    <ns0:row r="88">
      <ns0:c r="A88" t="n">
        <ns0:v>4</ns0:v>
      </ns0:c>
      <ns0:c r="B88" t="inlineStr">
        <ns0:is>
          <ns0:t>0</ns0:t>
        </ns0:is>
      </ns0:c>
      <ns0:c r="C88" t="n">
        <ns0:v>12</ns0:v>
      </ns0:c>
      <ns0:c r="D88" t="n">
        <ns0:v>51</ns0:v>
      </ns0:c>
      <ns0:c r="E88" s="14" t="inlineStr">
        <ns0:is>
          <ns0:t>FETCH</ns0:t>
        </ns0:is>
      </ns0:c>
      <ns0:c r="F88" s="15" t="inlineStr">
        <ns0:is>
          <ns0:t>0x00000068</ns0:t>
        </ns0:is>
      </ns0:c>
      <ns0:c r="G88" s="15" t="inlineStr">
        <ns0:is>
          <ns0:t>0x03100413</ns0:t>
        </ns0:is>
      </ns0:c>
      <ns0:c r="H88" s="15" t="inlineStr">
        <ns0:is>
          <ns0:t>addi s0, zero, 49</ns0:t>
        </ns0:is>
      </ns0:c>
      <ns0:c r="I88" t="inlineStr">
        <ns0:is>
          <ns0:t>addi</ns0:t>
        </ns0:is>
      </ns0:c>
      <ns0:c r="J88" t="inlineStr">
        <ns0:is>
          <ns0:t>CORE</ns0:t>
        </ns0:is>
      </ns0:c>
      <ns0:c r="K88" s="15" t="n">
        <ns0:v>4012</ns0:v>
      </ns0:c>
      <ns0:c r="L88" t="inlineStr">
        <ns0:is>
          <ns0:t>FETCH|0x00000068|0x03100413</ns0:t>
        </ns0:is>
      </ns0:c>
      <ns0:c r="M88" t="inlineStr">
        <ns0:is>
          <ns0:t>addi@0x00000068</ns0:t>
        </ns0:is>
      </ns0:c>
      <ns0:c r="N88">
        <ns0:f>IF(E88="FETCH",IF(COUNTIF($M$6:M88,M88)=1,1,0),0)</ns0:f>
        <ns0:v>0</ns0:v>
      </ns0:c>
      <ns0:c r="O88" t="inlineStr">
        <ns0:is>
          <ns0:t>ROM OK</ns0:t>
        </ns0:is>
      </ns0:c>
      <ns0:c r="P88">
        <ns0:f>IF(AND(E88="FETCH",F88="0x00000048"),C88-1,0)</ns0:f>
        <ns0:v>0</ns0:v>
      </ns0:c>
      <ns0:c r="Q88" s="15" t="inlineStr">
        <ns0:is>
          <ns0:t>E:0000000b:00010033:00000068:03100413</ns0:t>
        </ns0:is>
      </ns0:c>
    </ns0:row>
    <ns0:row r="89">
      <ns0:c r="A89" t="n">
        <ns0:v>4</ns0:v>
      </ns0:c>
      <ns0:c r="B89" t="inlineStr">
        <ns0:is>
          <ns0:t>0</ns0:t>
        </ns0:is>
      </ns0:c>
      <ns0:c r="C89" t="n">
        <ns0:v>13</ns0:v>
      </ns0:c>
      <ns0:c r="D89" t="n">
        <ns0:v>54</ns0:v>
      </ns0:c>
      <ns0:c r="E89" s="14" t="inlineStr">
        <ns0:is>
          <ns0:t>FETCH</ns0:t>
        </ns0:is>
      </ns0:c>
      <ns0:c r="F89" s="15" t="inlineStr">
        <ns0:is>
          <ns0:t>0x000000AC</ns0:t>
        </ns0:is>
      </ns0:c>
      <ns0:c r="G89" s="15" t="inlineStr">
        <ns0:is>
          <ns0:t>0x00000E93</ns0:t>
        </ns0:is>
      </ns0:c>
      <ns0:c r="H89" s="15" t="inlineStr">
        <ns0:is>
          <ns0:t>addi t4, zero, 0</ns0:t>
        </ns0:is>
      </ns0:c>
      <ns0:c r="I89" t="inlineStr">
        <ns0:is>
          <ns0:t>addi</ns0:t>
        </ns0:is>
      </ns0:c>
      <ns0:c r="J89" t="inlineStr">
        <ns0:is>
          <ns0:t>CORE</ns0:t>
        </ns0:is>
      </ns0:c>
      <ns0:c r="K89" s="15" t="n">
        <ns0:v>4013</ns0:v>
      </ns0:c>
      <ns0:c r="L89" t="inlineStr">
        <ns0:is>
          <ns0:t>FETCH|0x000000AC|0x00000E93</ns0:t>
        </ns0:is>
      </ns0:c>
      <ns0:c r="M89" t="inlineStr">
        <ns0:is>
          <ns0:t>addi@0x000000AC</ns0:t>
        </ns0:is>
      </ns0:c>
      <ns0:c r="N89">
        <ns0:f>IF(E89="FETCH",IF(COUNTIF($M$6:M89,M89)=1,1,0),0)</ns0:f>
        <ns0:v>0</ns0:v>
      </ns0:c>
      <ns0:c r="O89" t="inlineStr">
        <ns0:is>
          <ns0:t>ROM OK</ns0:t>
        </ns0:is>
      </ns0:c>
      <ns0:c r="P89">
        <ns0:f>IF(AND(E89="FETCH",F89="0x00000048"),C89-1,0)</ns0:f>
        <ns0:v>0</ns0:v>
      </ns0:c>
      <ns0:c r="Q89" s="15" t="inlineStr">
        <ns0:is>
          <ns0:t>E:0000000c:00010036:000000ac:00000e93</ns0:t>
        </ns0:is>
      </ns0:c>
    </ns0:row>
    <ns0:row r="90">
      <ns0:c r="A90" t="n">
        <ns0:v>4</ns0:v>
      </ns0:c>
      <ns0:c r="B90" t="inlineStr">
        <ns0:is>
          <ns0:t>0</ns0:t>
        </ns0:is>
      </ns0:c>
      <ns0:c r="C90" t="n">
        <ns0:v>14</ns0:v>
      </ns0:c>
      <ns0:c r="D90" t="n">
        <ns0:v>58</ns0:v>
      </ns0:c>
      <ns0:c r="E90" s="14" t="inlineStr">
        <ns0:is>
          <ns0:t>FETCH</ns0:t>
        </ns0:is>
      </ns0:c>
      <ns0:c r="F90" s="15" t="inlineStr">
        <ns0:is>
          <ns0:t>0x000000B0</ns0:t>
        </ns0:is>
      </ns0:c>
      <ns0:c r="G90" s="15" t="inlineStr">
        <ns0:is>
          <ns0:t>0x03000F13</ns0:t>
        </ns0:is>
      </ns0:c>
      <ns0:c r="H90" s="15" t="inlineStr">
        <ns0:is>
          <ns0:t>addi t5, zero, 48</ns0:t>
        </ns0:is>
      </ns0:c>
      <ns0:c r="I90" t="inlineStr">
        <ns0:is>
          <ns0:t>addi</ns0:t>
        </ns0:is>
      </ns0:c>
      <ns0:c r="J90" t="inlineStr">
        <ns0:is>
          <ns0:t>CORE</ns0:t>
        </ns0:is>
      </ns0:c>
      <ns0:c r="K90" s="15" t="n">
        <ns0:v>4014</ns0:v>
      </ns0:c>
      <ns0:c r="L90" t="inlineStr">
        <ns0:is>
          <ns0:t>FETCH|0x000000B0|0x03000F13</ns0:t>
        </ns0:is>
      </ns0:c>
      <ns0:c r="M90" t="inlineStr">
        <ns0:is>
          <ns0:t>addi@0x000000B0</ns0:t>
        </ns0:is>
      </ns0:c>
      <ns0:c r="N90">
        <ns0:f>IF(E90="FETCH",IF(COUNTIF($M$6:M90,M90)=1,1,0),0)</ns0:f>
        <ns0:v>0</ns0:v>
      </ns0:c>
      <ns0:c r="O90" t="inlineStr">
        <ns0:is>
          <ns0:t>ROM OK</ns0:t>
        </ns0:is>
      </ns0:c>
      <ns0:c r="P90">
        <ns0:f>IF(AND(E90="FETCH",F90="0x00000048"),C90-1,0)</ns0:f>
        <ns0:v>0</ns0:v>
      </ns0:c>
      <ns0:c r="Q90" s="15" t="inlineStr">
        <ns0:is>
          <ns0:t>E:0000000d:0001003a:000000b0:03000f13</ns0:t>
        </ns0:is>
      </ns0:c>
    </ns0:row>
    <ns0:row r="91">
      <ns0:c r="A91" t="n">
        <ns0:v>4</ns0:v>
      </ns0:c>
      <ns0:c r="B91" t="inlineStr">
        <ns0:is>
          <ns0:t>0</ns0:t>
        </ns0:is>
      </ns0:c>
      <ns0:c r="C91" t="n">
        <ns0:v>15</ns0:v>
      </ns0:c>
      <ns0:c r="D91" t="n">
        <ns0:v>62</ns0:v>
      </ns0:c>
      <ns0:c r="E91" s="14" t="inlineStr">
        <ns0:is>
          <ns0:t>FETCH</ns0:t>
        </ns0:is>
      </ns0:c>
      <ns0:c r="F91" s="15" t="inlineStr">
        <ns0:is>
          <ns0:t>0x000000B4</ns0:t>
        </ns0:is>
      </ns0:c>
      <ns0:c r="G91" s="15" t="inlineStr">
        <ns0:is>
          <ns0:t>0x04C0006F</ns0:t>
        </ns0:is>
      </ns0:c>
      <ns0:c r="H91" s="15" t="inlineStr">
        <ns0:is>
          <ns0:t>jal zero, 0x00000100</ns0:t>
        </ns0:is>
      </ns0:c>
      <ns0:c r="I91" t="inlineStr">
        <ns0:is>
          <ns0:t>jal</ns0:t>
        </ns0:is>
      </ns0:c>
      <ns0:c r="J91" t="inlineStr">
        <ns0:is>
          <ns0:t>CORE</ns0:t>
        </ns0:is>
      </ns0:c>
      <ns0:c r="K91" s="15" t="n">
        <ns0:v>4015</ns0:v>
      </ns0:c>
      <ns0:c r="L91" t="inlineStr">
        <ns0:is>
          <ns0:t>FETCH|0x000000B4|0x04C0006F</ns0:t>
        </ns0:is>
      </ns0:c>
      <ns0:c r="M91" t="inlineStr">
        <ns0:is>
          <ns0:t>jal@0x000000B4</ns0:t>
        </ns0:is>
      </ns0:c>
      <ns0:c r="N91">
        <ns0:f>IF(E91="FETCH",IF(COUNTIF($M$6:M91,M91)=1,1,0),0)</ns0:f>
        <ns0:v>0</ns0:v>
      </ns0:c>
      <ns0:c r="O91" t="inlineStr">
        <ns0:is>
          <ns0:t>ROM OK</ns0:t>
        </ns0:is>
      </ns0:c>
      <ns0:c r="P91">
        <ns0:f>IF(AND(E91="FETCH",F91="0x00000048"),C91-1,0)</ns0:f>
        <ns0:v>0</ns0:v>
      </ns0:c>
      <ns0:c r="Q91" s="15" t="inlineStr">
        <ns0:is>
          <ns0:t>E:0000000e:0001003e:000000b4:04c0006f</ns0:t>
        </ns0:is>
      </ns0:c>
    </ns0:row>
    <ns0:row r="92">
      <ns0:c r="A92" t="n">
        <ns0:v>4</ns0:v>
      </ns0:c>
      <ns0:c r="B92" t="inlineStr">
        <ns0:is>
          <ns0:t>0</ns0:t>
        </ns0:is>
      </ns0:c>
      <ns0:c r="C92" t="n">
        <ns0:v>16</ns0:v>
      </ns0:c>
      <ns0:c r="D92" t="n">
        <ns0:v>66</ns0:v>
      </ns0:c>
      <ns0:c r="E92" s="14" t="inlineStr">
        <ns0:is>
          <ns0:t>FETCH</ns0:t>
        </ns0:is>
      </ns0:c>
      <ns0:c r="F92" s="15" t="inlineStr">
        <ns0:is>
          <ns0:t>0x00000100</ns0:t>
        </ns0:is>
      </ns0:c>
      <ns0:c r="G92" s="15" t="inlineStr">
        <ns0:is>
          <ns0:t>0x01D2A023</ns0:t>
        </ns0:is>
      </ns0:c>
      <ns0:c r="H92" s="15" t="inlineStr">
        <ns0:is>
          <ns0:t>sw t4, 0(t0)</ns0:t>
        </ns0:is>
      </ns0:c>
      <ns0:c r="I92" t="inlineStr">
        <ns0:is>
          <ns0:t>sw</ns0:t>
        </ns0:is>
      </ns0:c>
      <ns0:c r="J92" t="inlineStr">
        <ns0:is>
          <ns0:t>CORE</ns0:t>
        </ns0:is>
      </ns0:c>
      <ns0:c r="K92" s="15" t="n">
        <ns0:v>4016</ns0:v>
      </ns0:c>
      <ns0:c r="L92" t="inlineStr">
        <ns0:is>
          <ns0:t>FETCH|0x00000100|0x01D2A023</ns0:t>
        </ns0:is>
      </ns0:c>
      <ns0:c r="M92" t="inlineStr">
        <ns0:is>
          <ns0:t>sw@0x00000100</ns0:t>
        </ns0:is>
      </ns0:c>
      <ns0:c r="N92">
        <ns0:f>IF(E92="FETCH",IF(COUNTIF($M$6:M92,M92)=1,1,0),0)</ns0:f>
        <ns0:v>0</ns0:v>
      </ns0:c>
      <ns0:c r="O92" t="inlineStr">
        <ns0:is>
          <ns0:t>ROM OK</ns0:t>
        </ns0:is>
      </ns0:c>
      <ns0:c r="P92">
        <ns0:f>IF(AND(E92="FETCH",F92="0x00000048"),C92-1,0)</ns0:f>
        <ns0:v>0</ns0:v>
      </ns0:c>
      <ns0:c r="Q92" s="15" t="inlineStr">
        <ns0:is>
          <ns0:t>E:0000000f:00010042:00000100:01d2a023</ns0:t>
        </ns0:is>
      </ns0:c>
    </ns0:row>
    <ns0:row r="93">
      <ns0:c r="A93" t="n">
        <ns0:v>4</ns0:v>
      </ns0:c>
      <ns0:c r="B93" t="inlineStr">
        <ns0:is>
          <ns0:t>0</ns0:t>
        </ns0:is>
      </ns0:c>
      <ns0:c r="C93" t="n">
        <ns0:v>17</ns0:v>
      </ns0:c>
      <ns0:c r="D93" t="n">
        <ns0:v>70</ns0:v>
      </ns0:c>
      <ns0:c r="E93" s="14" t="inlineStr">
        <ns0:is>
          <ns0:t>FETCH</ns0:t>
        </ns0:is>
      </ns0:c>
      <ns0:c r="F93" s="15" t="inlineStr">
        <ns0:is>
          <ns0:t>0x00000104</ns0:t>
        </ns0:is>
      </ns0:c>
      <ns0:c r="G93" s="15" t="inlineStr">
        <ns0:is>
          <ns0:t>0x0002AF83</ns0:t>
        </ns0:is>
      </ns0:c>
      <ns0:c r="H93" s="15" t="inlineStr">
        <ns0:is>
          <ns0:t>lw t6, 0(t0)</ns0:t>
        </ns0:is>
      </ns0:c>
      <ns0:c r="I93" t="inlineStr">
        <ns0:is>
          <ns0:t>lw</ns0:t>
        </ns0:is>
      </ns0:c>
      <ns0:c r="J93" t="inlineStr">
        <ns0:is>
          <ns0:t>CORE</ns0:t>
        </ns0:is>
      </ns0:c>
      <ns0:c r="K93" s="15" t="n">
        <ns0:v>4017</ns0:v>
      </ns0:c>
      <ns0:c r="L93" t="inlineStr">
        <ns0:is>
          <ns0:t>FETCH|0x00000104|0x0002AF83</ns0:t>
        </ns0:is>
      </ns0:c>
      <ns0:c r="M93" t="inlineStr">
        <ns0:is>
          <ns0:t>lw@0x00000104</ns0:t>
        </ns0:is>
      </ns0:c>
      <ns0:c r="N93">
        <ns0:f>IF(E93="FETCH",IF(COUNTIF($M$6:M93,M93)=1,1,0),0)</ns0:f>
        <ns0:v>0</ns0:v>
      </ns0:c>
      <ns0:c r="O93" t="inlineStr">
        <ns0:is>
          <ns0:t>ROM OK</ns0:t>
        </ns0:is>
      </ns0:c>
      <ns0:c r="P93">
        <ns0:f>IF(AND(E93="FETCH",F93="0x00000048"),C93-1,0)</ns0:f>
        <ns0:v>0</ns0:v>
      </ns0:c>
      <ns0:c r="Q93" s="15" t="inlineStr">
        <ns0:is>
          <ns0:t>E:00000010:00010046:00000104:0002af83</ns0:t>
        </ns0:is>
      </ns0:c>
    </ns0:row>
    <ns0:row r="94">
      <ns0:c r="A94" s="17" t="n">
        <ns0:v>4</ns0:v>
      </ns0:c>
      <ns0:c r="B94" s="17" t="inlineStr">
        <ns0:is>
          <ns0:t>0</ns0:t>
        </ns0:is>
      </ns0:c>
      <ns0:c r="C94" s="17" t="n">
        <ns0:v>18</ns0:v>
      </ns0:c>
      <ns0:c r="D94" s="17" t="n">
        <ns0:v>73</ns0:v>
      </ns0:c>
      <ns0:c r="E94" s="18" t="inlineStr">
        <ns0:is>
          <ns0:t>LED_WRITE</ns0:t>
        </ns0:is>
      </ns0:c>
      <ns0:c r="F94" s="19" t="inlineStr">
        <ns0:is>
          <ns0:t>0x20000000</ns0:t>
        </ns0:is>
      </ns0:c>
      <ns0:c r="G94" s="19" t="inlineStr">
        <ns0:is>
          <ns0:t>0x00000000</ns0:t>
        </ns0:is>
      </ns0:c>
      <ns0:c r="H94" s="19" t="inlineStr">
        <ns0:is>
          <ns0:t>MMIO GPIO write</ns0:t>
        </ns0:is>
      </ns0:c>
      <ns0:c r="I94" s="17" t="inlineStr">
        <ns0:is>
          <ns0:t>LED_WRITE</ns0:t>
        </ns0:is>
      </ns0:c>
      <ns0:c r="J94" s="17" t="inlineStr">
        <ns0:is>
          <ns0:t>MMIO</ns0:t>
        </ns0:is>
      </ns0:c>
      <ns0:c r="K94" s="19" t="n">
        <ns0:v>4018</ns0:v>
      </ns0:c>
      <ns0:c r="L94" s="17" t="inlineStr">
        <ns0:is>
          <ns0:t>LED_WRITE|0x20000000|0x00000000</ns0:t>
        </ns0:is>
      </ns0:c>
      <ns0:c r="M94" s="17" t="inlineStr"/>
      <ns0:c r="N94" s="17">
        <ns0:f>IF(E94="FETCH",IF(COUNTIF($M$6:M94,M94)=1,1,0),0)</ns0:f>
        <ns0:v>0</ns0:v>
      </ns0:c>
      <ns0:c r="O94" s="17" t="inlineStr">
        <ns0:is>
          <ns0:t>MMIO OK</ns0:t>
        </ns0:is>
      </ns0:c>
      <ns0:c r="P94" s="17">
        <ns0:f>IF(AND(E94="FETCH",F94="0x00000048"),C94-1,0)</ns0:f>
        <ns0:v>0</ns0:v>
      </ns0:c>
      <ns0:c r="Q94" s="19" t="inlineStr">
        <ns0:is>
          <ns0:t>E:00000011:00020049:20000000:00000000</ns0:t>
        </ns0:is>
      </ns0:c>
    </ns0:row>
    <ns0:row r="95">
      <ns0:c r="A95" t="n">
        <ns0:v>5</ns0:v>
      </ns0:c>
      <ns0:c r="B95" t="inlineStr">
        <ns0:is>
          <ns0:t>4</ns0:t>
        </ns0:is>
      </ns0:c>
      <ns0:c r="C95" t="n">
        <ns0:v>1</ns0:v>
      </ns0:c>
      <ns0:c r="D95" t="n">
        <ns0:v>0</ns0:v>
      </ns0:c>
      <ns0:c r="E95" s="14" t="inlineStr">
        <ns0:is>
          <ns0:t>FETCH</ns0:t>
        </ns0:is>
      </ns0:c>
      <ns0:c r="F95" s="15" t="inlineStr">
        <ns0:is>
          <ns0:t>0x00000040</ns0:t>
        </ns0:is>
      </ns0:c>
      <ns0:c r="G95" s="15" t="inlineStr">
        <ns0:is>
          <ns0:t>0xFE038CE3</ns0:t>
        </ns0:is>
      </ns0:c>
      <ns0:c r="H95" s="15" t="inlineStr">
        <ns0:is>
          <ns0:t>beq t2, zero, 0x00000038</ns0:t>
        </ns0:is>
      </ns0:c>
      <ns0:c r="I95" t="inlineStr">
        <ns0:is>
          <ns0:t>beq</ns0:t>
        </ns0:is>
      </ns0:c>
      <ns0:c r="J95" s="16" t="inlineStr">
        <ns0:is>
          <ns0:t>POLL</ns0:t>
        </ns0:is>
      </ns0:c>
      <ns0:c r="K95" s="15" t="n">
        <ns0:v>5001</ns0:v>
      </ns0:c>
      <ns0:c r="L95" t="inlineStr">
        <ns0:is>
          <ns0:t>FETCH|0x00000040|0xFE038CE3</ns0:t>
        </ns0:is>
      </ns0:c>
      <ns0:c r="M95" t="inlineStr">
        <ns0:is>
          <ns0:t>beq@0x00000040</ns0:t>
        </ns0:is>
      </ns0:c>
      <ns0:c r="N95">
        <ns0:f>IF(E95="FETCH",IF(COUNTIF($M$6:M95,M95)=1,1,0),0)</ns0:f>
        <ns0:v>0</ns0:v>
      </ns0:c>
      <ns0:c r="O95" t="inlineStr">
        <ns0:is>
          <ns0:t>ROM OK</ns0:t>
        </ns0:is>
      </ns0:c>
      <ns0:c r="P95">
        <ns0:f>IF(AND(E95="FETCH",F95="0x00000048"),C95-1,0)</ns0:f>
        <ns0:v>0</ns0:v>
      </ns0:c>
      <ns0:c r="Q95" s="15" t="inlineStr">
        <ns0:is>
          <ns0:t>E:00000000:00010000:00000040:fe038ce3</ns0:t>
        </ns0:is>
      </ns0:c>
    </ns0:row>
    <ns0:row r="96">
      <ns0:c r="A96" t="n">
        <ns0:v>5</ns0:v>
      </ns0:c>
      <ns0:c r="B96" t="inlineStr">
        <ns0:is>
          <ns0:t>4</ns0:t>
        </ns0:is>
      </ns0:c>
      <ns0:c r="C96" t="n">
        <ns0:v>2</ns0:v>
      </ns0:c>
      <ns0:c r="D96" t="n">
        <ns0:v>4</ns0:v>
      </ns0:c>
      <ns0:c r="E96" s="14" t="inlineStr">
        <ns0:is>
          <ns0:t>FETCH</ns0:t>
        </ns0:is>
      </ns0:c>
      <ns0:c r="F96" s="15" t="inlineStr">
        <ns0:is>
          <ns0:t>0x00000044</ns0:t>
        </ns0:is>
      </ns0:c>
      <ns0:c r="G96" s="15" t="inlineStr">
        <ns0:is>
          <ns0:t>0x0182AE03</ns0:t>
        </ns0:is>
      </ns0:c>
      <ns0:c r="H96" s="15" t="inlineStr">
        <ns0:is>
          <ns0:t>lw t3, 24(t0)</ns0:t>
        </ns0:is>
      </ns0:c>
      <ns0:c r="I96" t="inlineStr">
        <ns0:is>
          <ns0:t>lw</ns0:t>
        </ns0:is>
      </ns0:c>
      <ns0:c r="J96" s="16" t="inlineStr">
        <ns0:is>
          <ns0:t>POLL</ns0:t>
        </ns0:is>
      </ns0:c>
      <ns0:c r="K96" s="15" t="n">
        <ns0:v>5002</ns0:v>
      </ns0:c>
      <ns0:c r="L96" t="inlineStr">
        <ns0:is>
          <ns0:t>FETCH|0x00000044|0x0182AE03</ns0:t>
        </ns0:is>
      </ns0:c>
      <ns0:c r="M96" t="inlineStr">
        <ns0:is>
          <ns0:t>lw@0x00000044</ns0:t>
        </ns0:is>
      </ns0:c>
      <ns0:c r="N96">
        <ns0:f>IF(E96="FETCH",IF(COUNTIF($M$6:M96,M96)=1,1,0),0)</ns0:f>
        <ns0:v>0</ns0:v>
      </ns0:c>
      <ns0:c r="O96" t="inlineStr">
        <ns0:is>
          <ns0:t>ROM OK</ns0:t>
        </ns0:is>
      </ns0:c>
      <ns0:c r="P96">
        <ns0:f>IF(AND(E96="FETCH",F96="0x00000048"),C96-1,0)</ns0:f>
        <ns0:v>0</ns0:v>
      </ns0:c>
      <ns0:c r="Q96" s="15" t="inlineStr">
        <ns0:is>
          <ns0:t>E:00000001:00010004:00000044:0182ae03</ns0:t>
        </ns0:is>
      </ns0:c>
    </ns0:row>
    <ns0:row r="97">
      <ns0:c r="A97" t="n">
        <ns0:v>5</ns0:v>
      </ns0:c>
      <ns0:c r="B97" t="inlineStr">
        <ns0:is>
          <ns0:t>4</ns0:t>
        </ns0:is>
      </ns0:c>
      <ns0:c r="C97" t="n">
        <ns0:v>3</ns0:v>
      </ns0:c>
      <ns0:c r="D97" t="n">
        <ns0:v>7</ns0:v>
      </ns0:c>
      <ns0:c r="E97" s="14" t="inlineStr">
        <ns0:is>
          <ns0:t>FETCH</ns0:t>
        </ns0:is>
      </ns0:c>
      <ns0:c r="F97" s="15" t="inlineStr">
        <ns0:is>
          <ns0:t>0x00000038</ns0:t>
        </ns0:is>
      </ns0:c>
      <ns0:c r="G97" s="15" t="inlineStr">
        <ns0:is>
          <ns0:t>0x01C2A383</ns0:t>
        </ns0:is>
      </ns0:c>
      <ns0:c r="H97" s="15" t="inlineStr">
        <ns0:is>
          <ns0:t>lw t2, 28(t0)</ns0:t>
        </ns0:is>
      </ns0:c>
      <ns0:c r="I97" t="inlineStr">
        <ns0:is>
          <ns0:t>lw</ns0:t>
        </ns0:is>
      </ns0:c>
      <ns0:c r="J97" s="16" t="inlineStr">
        <ns0:is>
          <ns0:t>POLL</ns0:t>
        </ns0:is>
      </ns0:c>
      <ns0:c r="K97" s="15" t="n">
        <ns0:v>5003</ns0:v>
      </ns0:c>
      <ns0:c r="L97" t="inlineStr">
        <ns0:is>
          <ns0:t>FETCH|0x00000038|0x01C2A383</ns0:t>
        </ns0:is>
      </ns0:c>
      <ns0:c r="M97" t="inlineStr">
        <ns0:is>
          <ns0:t>lw@0x00000038</ns0:t>
        </ns0:is>
      </ns0:c>
      <ns0:c r="N97">
        <ns0:f>IF(E97="FETCH",IF(COUNTIF($M$6:M97,M97)=1,1,0),0)</ns0:f>
        <ns0:v>0</ns0:v>
      </ns0:c>
      <ns0:c r="O97" t="inlineStr">
        <ns0:is>
          <ns0:t>ROM OK</ns0:t>
        </ns0:is>
      </ns0:c>
      <ns0:c r="P97">
        <ns0:f>IF(AND(E97="FETCH",F97="0x00000048"),C97-1,0)</ns0:f>
        <ns0:v>0</ns0:v>
      </ns0:c>
      <ns0:c r="Q97" s="15" t="inlineStr">
        <ns0:is>
          <ns0:t>E:00000002:00010007:00000038:01c2a383</ns0:t>
        </ns0:is>
      </ns0:c>
    </ns0:row>
    <ns0:row r="98">
      <ns0:c r="A98" t="n">
        <ns0:v>5</ns0:v>
      </ns0:c>
      <ns0:c r="B98" t="inlineStr">
        <ns0:is>
          <ns0:t>4</ns0:t>
        </ns0:is>
      </ns0:c>
      <ns0:c r="C98" t="n">
        <ns0:v>4</ns0:v>
      </ns0:c>
      <ns0:c r="D98" t="n">
        <ns0:v>11</ns0:v>
      </ns0:c>
      <ns0:c r="E98" s="14" t="inlineStr">
        <ns0:is>
          <ns0:t>FETCH</ns0:t>
        </ns0:is>
      </ns0:c>
      <ns0:c r="F98" s="15" t="inlineStr">
        <ns0:is>
          <ns0:t>0x0000003C</ns0:t>
        </ns0:is>
      </ns0:c>
      <ns0:c r="G98" s="15" t="inlineStr">
        <ns0:is>
          <ns0:t>0x0013F393</ns0:t>
        </ns0:is>
      </ns0:c>
      <ns0:c r="H98" s="15" t="inlineStr">
        <ns0:is>
          <ns0:t>andi t2, t2, 1</ns0:t>
        </ns0:is>
      </ns0:c>
      <ns0:c r="I98" t="inlineStr">
        <ns0:is>
          <ns0:t>andi</ns0:t>
        </ns0:is>
      </ns0:c>
      <ns0:c r="J98" s="16" t="inlineStr">
        <ns0:is>
          <ns0:t>POLL</ns0:t>
        </ns0:is>
      </ns0:c>
      <ns0:c r="K98" s="15" t="n">
        <ns0:v>5004</ns0:v>
      </ns0:c>
      <ns0:c r="L98" t="inlineStr">
        <ns0:is>
          <ns0:t>FETCH|0x0000003C|0x0013F393</ns0:t>
        </ns0:is>
      </ns0:c>
      <ns0:c r="M98" t="inlineStr">
        <ns0:is>
          <ns0:t>andi@0x0000003C</ns0:t>
        </ns0:is>
      </ns0:c>
      <ns0:c r="N98">
        <ns0:f>IF(E98="FETCH",IF(COUNTIF($M$6:M98,M98)=1,1,0),0)</ns0:f>
        <ns0:v>0</ns0:v>
      </ns0:c>
      <ns0:c r="O98" t="inlineStr">
        <ns0:is>
          <ns0:t>ROM OK</ns0:t>
        </ns0:is>
      </ns0:c>
      <ns0:c r="P98">
        <ns0:f>IF(AND(E98="FETCH",F98="0x00000048"),C98-1,0)</ns0:f>
        <ns0:v>0</ns0:v>
      </ns0:c>
      <ns0:c r="Q98" s="15" t="inlineStr">
        <ns0:is>
          <ns0:t>E:00000003:0001000b:0000003c:0013f393</ns0:t>
        </ns0:is>
      </ns0:c>
    </ns0:row>
    <ns0:row r="99">
      <ns0:c r="A99" t="n">
        <ns0:v>5</ns0:v>
      </ns0:c>
      <ns0:c r="B99" t="inlineStr">
        <ns0:is>
          <ns0:t>4</ns0:t>
        </ns0:is>
      </ns0:c>
      <ns0:c r="C99" t="n">
        <ns0:v>5</ns0:v>
      </ns0:c>
      <ns0:c r="D99" t="n">
        <ns0:v>18</ns0:v>
      </ns0:c>
      <ns0:c r="E99" s="14" t="inlineStr">
        <ns0:is>
          <ns0:t>FETCH</ns0:t>
        </ns0:is>
      </ns0:c>
      <ns0:c r="F99" s="15" t="inlineStr">
        <ns0:is>
          <ns0:t>0x00000040</ns0:t>
        </ns0:is>
      </ns0:c>
      <ns0:c r="G99" s="15" t="inlineStr">
        <ns0:is>
          <ns0:t>0xFE038CE3</ns0:t>
        </ns0:is>
      </ns0:c>
      <ns0:c r="H99" s="15" t="inlineStr">
        <ns0:is>
          <ns0:t>beq t2, zero, 0x00000038</ns0:t>
        </ns0:is>
      </ns0:c>
      <ns0:c r="I99" t="inlineStr">
        <ns0:is>
          <ns0:t>beq</ns0:t>
        </ns0:is>
      </ns0:c>
      <ns0:c r="J99" s="16" t="inlineStr">
        <ns0:is>
          <ns0:t>POLL</ns0:t>
        </ns0:is>
      </ns0:c>
      <ns0:c r="K99" s="15" t="n">
        <ns0:v>5005</ns0:v>
      </ns0:c>
      <ns0:c r="L99" t="inlineStr">
        <ns0:is>
          <ns0:t>FETCH|0x00000040|0xFE038CE3</ns0:t>
        </ns0:is>
      </ns0:c>
      <ns0:c r="M99" t="inlineStr">
        <ns0:is>
          <ns0:t>beq@0x00000040</ns0:t>
        </ns0:is>
      </ns0:c>
      <ns0:c r="N99">
        <ns0:f>IF(E99="FETCH",IF(COUNTIF($M$6:M99,M99)=1,1,0),0)</ns0:f>
        <ns0:v>0</ns0:v>
      </ns0:c>
      <ns0:c r="O99" t="inlineStr">
        <ns0:is>
          <ns0:t>ROM OK</ns0:t>
        </ns0:is>
      </ns0:c>
      <ns0:c r="P99">
        <ns0:f>IF(AND(E99="FETCH",F99="0x00000048"),C99-1,0)</ns0:f>
        <ns0:v>0</ns0:v>
      </ns0:c>
      <ns0:c r="Q99" s="15" t="inlineStr">
        <ns0:is>
          <ns0:t>E:00000004:00010012:00000040:fe038ce3</ns0:t>
        </ns0:is>
      </ns0:c>
    </ns0:row>
    <ns0:row r="100">
      <ns0:c r="A100" t="n">
        <ns0:v>5</ns0:v>
      </ns0:c>
      <ns0:c r="B100" t="inlineStr">
        <ns0:is>
          <ns0:t>4</ns0:t>
        </ns0:is>
      </ns0:c>
      <ns0:c r="C100" t="n">
        <ns0:v>6</ns0:v>
      </ns0:c>
      <ns0:c r="D100" t="n">
        <ns0:v>22</ns0:v>
      </ns0:c>
      <ns0:c r="E100" s="14" t="inlineStr">
        <ns0:is>
          <ns0:t>FETCH</ns0:t>
        </ns0:is>
      </ns0:c>
      <ns0:c r="F100" s="15" t="inlineStr">
        <ns0:is>
          <ns0:t>0x00000044</ns0:t>
        </ns0:is>
      </ns0:c>
      <ns0:c r="G100" s="15" t="inlineStr">
        <ns0:is>
          <ns0:t>0x0182AE03</ns0:t>
        </ns0:is>
      </ns0:c>
      <ns0:c r="H100" s="15" t="inlineStr">
        <ns0:is>
          <ns0:t>lw t3, 24(t0)</ns0:t>
        </ns0:is>
      </ns0:c>
      <ns0:c r="I100" t="inlineStr">
        <ns0:is>
          <ns0:t>lw</ns0:t>
        </ns0:is>
      </ns0:c>
      <ns0:c r="J100" s="16" t="inlineStr">
        <ns0:is>
          <ns0:t>POLL</ns0:t>
        </ns0:is>
      </ns0:c>
      <ns0:c r="K100" s="15" t="n">
        <ns0:v>5006</ns0:v>
      </ns0:c>
      <ns0:c r="L100" t="inlineStr">
        <ns0:is>
          <ns0:t>FETCH|0x00000044|0x0182AE03</ns0:t>
        </ns0:is>
      </ns0:c>
      <ns0:c r="M100" t="inlineStr">
        <ns0:is>
          <ns0:t>lw@0x00000044</ns0:t>
        </ns0:is>
      </ns0:c>
      <ns0:c r="N100">
        <ns0:f>IF(E100="FETCH",IF(COUNTIF($M$6:M100,M100)=1,1,0),0)</ns0:f>
        <ns0:v>0</ns0:v>
      </ns0:c>
      <ns0:c r="O100" t="inlineStr">
        <ns0:is>
          <ns0:t>ROM OK</ns0:t>
        </ns0:is>
      </ns0:c>
      <ns0:c r="P100">
        <ns0:f>IF(AND(E100="FETCH",F100="0x00000048"),C100-1,0)</ns0:f>
        <ns0:v>0</ns0:v>
      </ns0:c>
      <ns0:c r="Q100" s="15" t="inlineStr">
        <ns0:is>
          <ns0:t>E:00000005:00010016:00000044:0182ae03</ns0:t>
        </ns0:is>
      </ns0:c>
    </ns0:row>
    <ns0:row r="101">
      <ns0:c r="A101" t="n">
        <ns0:v>5</ns0:v>
      </ns0:c>
      <ns0:c r="B101" t="inlineStr">
        <ns0:is>
          <ns0:t>4</ns0:t>
        </ns0:is>
      </ns0:c>
      <ns0:c r="C101" t="n">
        <ns0:v>7</ns0:v>
      </ns0:c>
      <ns0:c r="D101" t="n">
        <ns0:v>26</ns0:v>
      </ns0:c>
      <ns0:c r="E101" s="14" t="inlineStr">
        <ns0:is>
          <ns0:t>FETCH</ns0:t>
        </ns0:is>
      </ns0:c>
      <ns0:c r="F101" s="15" t="inlineStr">
        <ns0:is>
          <ns0:t>0x00000048</ns0:t>
        </ns0:is>
      </ns0:c>
      <ns0:c r="G101" s="15" t="inlineStr">
        <ns0:is>
          <ns0:t>0x05400413</ns0:t>
        </ns0:is>
      </ns0:c>
      <ns0:c r="H101" s="15" t="inlineStr">
        <ns0:is>
          <ns0:t>addi s0, zero, 84</ns0:t>
        </ns0:is>
      </ns0:c>
      <ns0:c r="I101" t="inlineStr">
        <ns0:is>
          <ns0:t>addi</ns0:t>
        </ns0:is>
      </ns0:c>
      <ns0:c r="J101" t="inlineStr">
        <ns0:is>
          <ns0:t>CORE</ns0:t>
        </ns0:is>
      </ns0:c>
      <ns0:c r="K101" s="15" t="n">
        <ns0:v>5007</ns0:v>
      </ns0:c>
      <ns0:c r="L101" t="inlineStr">
        <ns0:is>
          <ns0:t>FETCH|0x00000048|0x05400413</ns0:t>
        </ns0:is>
      </ns0:c>
      <ns0:c r="M101" t="inlineStr">
        <ns0:is>
          <ns0:t>addi@0x00000048</ns0:t>
        </ns0:is>
      </ns0:c>
      <ns0:c r="N101">
        <ns0:f>IF(E101="FETCH",IF(COUNTIF($M$6:M101,M101)=1,1,0),0)</ns0:f>
        <ns0:v>0</ns0:v>
      </ns0:c>
      <ns0:c r="O101" t="inlineStr">
        <ns0:is>
          <ns0:t>ROM OK</ns0:t>
        </ns0:is>
      </ns0:c>
      <ns0:c r="P101">
        <ns0:f>IF(AND(E101="FETCH",F101="0x00000048"),C101-1,0)</ns0:f>
        <ns0:v>6</ns0:v>
      </ns0:c>
      <ns0:c r="Q101" s="15" t="inlineStr">
        <ns0:is>
          <ns0:t>E:00000006:0001001a:00000048:05400413</ns0:t>
        </ns0:is>
      </ns0:c>
    </ns0:row>
    <ns0:row r="102">
      <ns0:c r="A102" t="n">
        <ns0:v>5</ns0:v>
      </ns0:c>
      <ns0:c r="B102" t="inlineStr">
        <ns0:is>
          <ns0:t>4</ns0:t>
        </ns0:is>
      </ns0:c>
      <ns0:c r="C102" t="n">
        <ns0:v>8</ns0:v>
      </ns0:c>
      <ns0:c r="D102" t="n">
        <ns0:v>33</ns0:v>
      </ns0:c>
      <ns0:c r="E102" s="14" t="inlineStr">
        <ns0:is>
          <ns0:t>FETCH</ns0:t>
        </ns0:is>
      </ns0:c>
      <ns0:c r="F102" s="15" t="inlineStr">
        <ns0:is>
          <ns0:t>0x0000004C</ns0:t>
        </ns0:is>
      </ns0:c>
      <ns0:c r="G102" s="15" t="inlineStr">
        <ns0:is>
          <ns0:t>0x1A8E0063</ns0:t>
        </ns0:is>
      </ns0:c>
      <ns0:c r="H102" s="15" t="inlineStr">
        <ns0:is>
          <ns0:t>beq t3, s0, 0x000001EC</ns0:t>
        </ns0:is>
      </ns0:c>
      <ns0:c r="I102" t="inlineStr">
        <ns0:is>
          <ns0:t>beq</ns0:t>
        </ns0:is>
      </ns0:c>
      <ns0:c r="J102" t="inlineStr">
        <ns0:is>
          <ns0:t>CORE</ns0:t>
        </ns0:is>
      </ns0:c>
      <ns0:c r="K102" s="15" t="n">
        <ns0:v>5008</ns0:v>
      </ns0:c>
      <ns0:c r="L102" t="inlineStr">
        <ns0:is>
          <ns0:t>FETCH|0x0000004C|0x1A8E0063</ns0:t>
        </ns0:is>
      </ns0:c>
      <ns0:c r="M102" t="inlineStr">
        <ns0:is>
          <ns0:t>beq@0x0000004C</ns0:t>
        </ns0:is>
      </ns0:c>
      <ns0:c r="N102">
        <ns0:f>IF(E102="FETCH",IF(COUNTIF($M$6:M102,M102)=1,1,0),0)</ns0:f>
        <ns0:v>0</ns0:v>
      </ns0:c>
      <ns0:c r="O102" t="inlineStr">
        <ns0:is>
          <ns0:t>ROM OK</ns0:t>
        </ns0:is>
      </ns0:c>
      <ns0:c r="P102">
        <ns0:f>IF(AND(E102="FETCH",F102="0x00000048"),C102-1,0)</ns0:f>
        <ns0:v>0</ns0:v>
      </ns0:c>
      <ns0:c r="Q102" s="15" t="inlineStr">
        <ns0:is>
          <ns0:t>E:00000007:00010021:0000004c:1a8e0063</ns0:t>
        </ns0:is>
      </ns0:c>
    </ns0:row>
    <ns0:row r="103">
      <ns0:c r="A103" t="n">
        <ns0:v>5</ns0:v>
      </ns0:c>
      <ns0:c r="B103" t="inlineStr">
        <ns0:is>
          <ns0:t>4</ns0:t>
        </ns0:is>
      </ns0:c>
      <ns0:c r="C103" t="n">
        <ns0:v>9</ns0:v>
      </ns0:c>
      <ns0:c r="D103" t="n">
        <ns0:v>37</ns0:v>
      </ns0:c>
      <ns0:c r="E103" s="14" t="inlineStr">
        <ns0:is>
          <ns0:t>FETCH</ns0:t>
        </ns0:is>
      </ns0:c>
      <ns0:c r="F103" s="15" t="inlineStr">
        <ns0:is>
          <ns0:t>0x00000050</ns0:t>
        </ns0:is>
      </ns0:c>
      <ns0:c r="G103" s="15" t="inlineStr">
        <ns0:is>
          <ns0:t>0x04300413</ns0:t>
        </ns0:is>
      </ns0:c>
      <ns0:c r="H103" s="15" t="inlineStr">
        <ns0:is>
          <ns0:t>addi s0, zero, 67</ns0:t>
        </ns0:is>
      </ns0:c>
      <ns0:c r="I103" t="inlineStr">
        <ns0:is>
          <ns0:t>addi</ns0:t>
        </ns0:is>
      </ns0:c>
      <ns0:c r="J103" t="inlineStr">
        <ns0:is>
          <ns0:t>CORE</ns0:t>
        </ns0:is>
      </ns0:c>
      <ns0:c r="K103" s="15" t="n">
        <ns0:v>5009</ns0:v>
      </ns0:c>
      <ns0:c r="L103" t="inlineStr">
        <ns0:is>
          <ns0:t>FETCH|0x00000050|0x04300413</ns0:t>
        </ns0:is>
      </ns0:c>
      <ns0:c r="M103" t="inlineStr">
        <ns0:is>
          <ns0:t>addi@0x00000050</ns0:t>
        </ns0:is>
      </ns0:c>
      <ns0:c r="N103">
        <ns0:f>IF(E103="FETCH",IF(COUNTIF($M$6:M103,M103)=1,1,0),0)</ns0:f>
        <ns0:v>0</ns0:v>
      </ns0:c>
      <ns0:c r="O103" t="inlineStr">
        <ns0:is>
          <ns0:t>ROM OK</ns0:t>
        </ns0:is>
      </ns0:c>
      <ns0:c r="P103">
        <ns0:f>IF(AND(E103="FETCH",F103="0x00000048"),C103-1,0)</ns0:f>
        <ns0:v>0</ns0:v>
      </ns0:c>
      <ns0:c r="Q103" s="15" t="inlineStr">
        <ns0:is>
          <ns0:t>E:00000008:00010025:00000050:04300413</ns0:t>
        </ns0:is>
      </ns0:c>
    </ns0:row>
    <ns0:row r="104">
      <ns0:c r="A104" t="n">
        <ns0:v>5</ns0:v>
      </ns0:c>
      <ns0:c r="B104" t="inlineStr">
        <ns0:is>
          <ns0:t>4</ns0:t>
        </ns0:is>
      </ns0:c>
      <ns0:c r="C104" t="n">
        <ns0:v>10</ns0:v>
      </ns0:c>
      <ns0:c r="D104" t="n">
        <ns0:v>41</ns0:v>
      </ns0:c>
      <ns0:c r="E104" s="14" t="inlineStr">
        <ns0:is>
          <ns0:t>FETCH</ns0:t>
        </ns0:is>
      </ns0:c>
      <ns0:c r="F104" s="15" t="inlineStr">
        <ns0:is>
          <ns0:t>0x00000054</ns0:t>
        </ns0:is>
      </ns0:c>
      <ns0:c r="G104" s="15" t="inlineStr">
        <ns0:is>
          <ns0:t>0x188E0063</ns0:t>
        </ns0:is>
      </ns0:c>
      <ns0:c r="H104" s="15" t="inlineStr">
        <ns0:is>
          <ns0:t>beq t3, s0, 0x000001D4</ns0:t>
        </ns0:is>
      </ns0:c>
      <ns0:c r="I104" t="inlineStr">
        <ns0:is>
          <ns0:t>beq</ns0:t>
        </ns0:is>
      </ns0:c>
      <ns0:c r="J104" t="inlineStr">
        <ns0:is>
          <ns0:t>CORE</ns0:t>
        </ns0:is>
      </ns0:c>
      <ns0:c r="K104" s="15" t="n">
        <ns0:v>5010</ns0:v>
      </ns0:c>
      <ns0:c r="L104" t="inlineStr">
        <ns0:is>
          <ns0:t>FETCH|0x00000054|0x188E0063</ns0:t>
        </ns0:is>
      </ns0:c>
      <ns0:c r="M104" t="inlineStr">
        <ns0:is>
          <ns0:t>beq@0x00000054</ns0:t>
        </ns0:is>
      </ns0:c>
      <ns0:c r="N104">
        <ns0:f>IF(E104="FETCH",IF(COUNTIF($M$6:M104,M104)=1,1,0),0)</ns0:f>
        <ns0:v>0</ns0:v>
      </ns0:c>
      <ns0:c r="O104" t="inlineStr">
        <ns0:is>
          <ns0:t>ROM OK</ns0:t>
        </ns0:is>
      </ns0:c>
      <ns0:c r="P104">
        <ns0:f>IF(AND(E104="FETCH",F104="0x00000048"),C104-1,0)</ns0:f>
        <ns0:v>0</ns0:v>
      </ns0:c>
      <ns0:c r="Q104" s="15" t="inlineStr">
        <ns0:is>
          <ns0:t>E:00000009:00010029:00000054:188e0063</ns0:t>
        </ns0:is>
      </ns0:c>
    </ns0:row>
    <ns0:row r="105">
      <ns0:c r="A105" t="n">
        <ns0:v>5</ns0:v>
      </ns0:c>
      <ns0:c r="B105" t="inlineStr">
        <ns0:is>
          <ns0:t>4</ns0:t>
        </ns0:is>
      </ns0:c>
      <ns0:c r="C105" t="n">
        <ns0:v>11</ns0:v>
      </ns0:c>
      <ns0:c r="D105" t="n">
        <ns0:v>45</ns0:v>
      </ns0:c>
      <ns0:c r="E105" s="14" t="inlineStr">
        <ns0:is>
          <ns0:t>FETCH</ns0:t>
        </ns0:is>
      </ns0:c>
      <ns0:c r="F105" s="15" t="inlineStr">
        <ns0:is>
          <ns0:t>0x00000058</ns0:t>
        </ns0:is>
      </ns0:c>
      <ns0:c r="G105" s="15" t="inlineStr">
        <ns0:is>
          <ns0:t>0x03F00413</ns0:t>
        </ns0:is>
      </ns0:c>
      <ns0:c r="H105" s="15" t="inlineStr">
        <ns0:is>
          <ns0:t>addi s0, zero, 63</ns0:t>
        </ns0:is>
      </ns0:c>
      <ns0:c r="I105" t="inlineStr">
        <ns0:is>
          <ns0:t>addi</ns0:t>
        </ns0:is>
      </ns0:c>
      <ns0:c r="J105" t="inlineStr">
        <ns0:is>
          <ns0:t>CORE</ns0:t>
        </ns0:is>
      </ns0:c>
      <ns0:c r="K105" s="15" t="n">
        <ns0:v>5011</ns0:v>
      </ns0:c>
      <ns0:c r="L105" t="inlineStr">
        <ns0:is>
          <ns0:t>FETCH|0x00000058|0x03F00413</ns0:t>
        </ns0:is>
      </ns0:c>
      <ns0:c r="M105" t="inlineStr">
        <ns0:is>
          <ns0:t>addi@0x00000058</ns0:t>
        </ns0:is>
      </ns0:c>
      <ns0:c r="N105">
        <ns0:f>IF(E105="FETCH",IF(COUNTIF($M$6:M105,M105)=1,1,0),0)</ns0:f>
        <ns0:v>0</ns0:v>
      </ns0:c>
      <ns0:c r="O105" t="inlineStr">
        <ns0:is>
          <ns0:t>ROM OK</ns0:t>
        </ns0:is>
      </ns0:c>
      <ns0:c r="P105">
        <ns0:f>IF(AND(E105="FETCH",F105="0x00000048"),C105-1,0)</ns0:f>
        <ns0:v>0</ns0:v>
      </ns0:c>
      <ns0:c r="Q105" s="15" t="inlineStr">
        <ns0:is>
          <ns0:t>E:0000000a:0001002d:00000058:03f00413</ns0:t>
        </ns0:is>
      </ns0:c>
    </ns0:row>
    <ns0:row r="106">
      <ns0:c r="A106" t="n">
        <ns0:v>5</ns0:v>
      </ns0:c>
      <ns0:c r="B106" t="inlineStr">
        <ns0:is>
          <ns0:t>4</ns0:t>
        </ns0:is>
      </ns0:c>
      <ns0:c r="C106" t="n">
        <ns0:v>12</ns0:v>
      </ns0:c>
      <ns0:c r="D106" t="n">
        <ns0:v>49</ns0:v>
      </ns0:c>
      <ns0:c r="E106" s="14" t="inlineStr">
        <ns0:is>
          <ns0:t>FETCH</ns0:t>
        </ns0:is>
      </ns0:c>
      <ns0:c r="F106" s="15" t="inlineStr">
        <ns0:is>
          <ns0:t>0x0000005C</ns0:t>
        </ns0:is>
      </ns0:c>
      <ns0:c r="G106" s="15" t="inlineStr">
        <ns0:is>
          <ns0:t>0x0A8E0A63</ns0:t>
        </ns0:is>
      </ns0:c>
      <ns0:c r="H106" s="15" t="inlineStr">
        <ns0:is>
          <ns0:t>beq t3, s0, 0x00000110</ns0:t>
        </ns0:is>
      </ns0:c>
      <ns0:c r="I106" t="inlineStr">
        <ns0:is>
          <ns0:t>beq</ns0:t>
        </ns0:is>
      </ns0:c>
      <ns0:c r="J106" t="inlineStr">
        <ns0:is>
          <ns0:t>CORE</ns0:t>
        </ns0:is>
      </ns0:c>
      <ns0:c r="K106" s="15" t="n">
        <ns0:v>5012</ns0:v>
      </ns0:c>
      <ns0:c r="L106" t="inlineStr">
        <ns0:is>
          <ns0:t>FETCH|0x0000005C|0x0A8E0A63</ns0:t>
        </ns0:is>
      </ns0:c>
      <ns0:c r="M106" t="inlineStr">
        <ns0:is>
          <ns0:t>beq@0x0000005C</ns0:t>
        </ns0:is>
      </ns0:c>
      <ns0:c r="N106">
        <ns0:f>IF(E106="FETCH",IF(COUNTIF($M$6:M106,M106)=1,1,0),0)</ns0:f>
        <ns0:v>0</ns0:v>
      </ns0:c>
      <ns0:c r="O106" t="inlineStr">
        <ns0:is>
          <ns0:t>ROM OK</ns0:t>
        </ns0:is>
      </ns0:c>
      <ns0:c r="P106">
        <ns0:f>IF(AND(E106="FETCH",F106="0x00000048"),C106-1,0)</ns0:f>
        <ns0:v>0</ns0:v>
      </ns0:c>
      <ns0:c r="Q106" s="15" t="inlineStr">
        <ns0:is>
          <ns0:t>E:0000000b:00010031:0000005c:0a8e0a63</ns0:t>
        </ns0:is>
      </ns0:c>
    </ns0:row>
    <ns0:row r="107">
      <ns0:c r="A107" t="n">
        <ns0:v>5</ns0:v>
      </ns0:c>
      <ns0:c r="B107" t="inlineStr">
        <ns0:is>
          <ns0:t>4</ns0:t>
        </ns0:is>
      </ns0:c>
      <ns0:c r="C107" t="n">
        <ns0:v>13</ns0:v>
      </ns0:c>
      <ns0:c r="D107" t="n">
        <ns0:v>53</ns0:v>
      </ns0:c>
      <ns0:c r="E107" s="14" t="inlineStr">
        <ns0:is>
          <ns0:t>FETCH</ns0:t>
        </ns0:is>
      </ns0:c>
      <ns0:c r="F107" s="15" t="inlineStr">
        <ns0:is>
          <ns0:t>0x00000060</ns0:t>
        </ns0:is>
      </ns0:c>
      <ns0:c r="G107" s="15" t="inlineStr">
        <ns0:is>
          <ns0:t>0x03000413</ns0:t>
        </ns0:is>
      </ns0:c>
      <ns0:c r="H107" s="15" t="inlineStr">
        <ns0:is>
          <ns0:t>addi s0, zero, 48</ns0:t>
        </ns0:is>
      </ns0:c>
      <ns0:c r="I107" t="inlineStr">
        <ns0:is>
          <ns0:t>addi</ns0:t>
        </ns0:is>
      </ns0:c>
      <ns0:c r="J107" t="inlineStr">
        <ns0:is>
          <ns0:t>CORE</ns0:t>
        </ns0:is>
      </ns0:c>
      <ns0:c r="K107" s="15" t="n">
        <ns0:v>5013</ns0:v>
      </ns0:c>
      <ns0:c r="L107" t="inlineStr">
        <ns0:is>
          <ns0:t>FETCH|0x00000060|0x03000413</ns0:t>
        </ns0:is>
      </ns0:c>
      <ns0:c r="M107" t="inlineStr">
        <ns0:is>
          <ns0:t>addi@0x00000060</ns0:t>
        </ns0:is>
      </ns0:c>
      <ns0:c r="N107">
        <ns0:f>IF(E107="FETCH",IF(COUNTIF($M$6:M107,M107)=1,1,0),0)</ns0:f>
        <ns0:v>0</ns0:v>
      </ns0:c>
      <ns0:c r="O107" t="inlineStr">
        <ns0:is>
          <ns0:t>ROM OK</ns0:t>
        </ns0:is>
      </ns0:c>
      <ns0:c r="P107">
        <ns0:f>IF(AND(E107="FETCH",F107="0x00000048"),C107-1,0)</ns0:f>
        <ns0:v>0</ns0:v>
      </ns0:c>
      <ns0:c r="Q107" s="15" t="inlineStr">
        <ns0:is>
          <ns0:t>E:0000000c:00010035:00000060:03000413</ns0:t>
        </ns0:is>
      </ns0:c>
    </ns0:row>
    <ns0:row r="108">
      <ns0:c r="A108" t="n">
        <ns0:v>5</ns0:v>
      </ns0:c>
      <ns0:c r="B108" t="inlineStr">
        <ns0:is>
          <ns0:t>4</ns0:t>
        </ns0:is>
      </ns0:c>
      <ns0:c r="C108" t="n">
        <ns0:v>14</ns0:v>
      </ns0:c>
      <ns0:c r="D108" t="n">
        <ns0:v>57</ns0:v>
      </ns0:c>
      <ns0:c r="E108" s="14" t="inlineStr">
        <ns0:is>
          <ns0:t>FETCH</ns0:t>
        </ns0:is>
      </ns0:c>
      <ns0:c r="F108" s="15" t="inlineStr">
        <ns0:is>
          <ns0:t>0x00000064</ns0:t>
        </ns0:is>
      </ns0:c>
      <ns0:c r="G108" s="15" t="inlineStr">
        <ns0:is>
          <ns0:t>0x048E0463</ns0:t>
        </ns0:is>
      </ns0:c>
      <ns0:c r="H108" s="15" t="inlineStr">
        <ns0:is>
          <ns0:t>beq t3, s0, 0x000000AC</ns0:t>
        </ns0:is>
      </ns0:c>
      <ns0:c r="I108" t="inlineStr">
        <ns0:is>
          <ns0:t>beq</ns0:t>
        </ns0:is>
      </ns0:c>
      <ns0:c r="J108" t="inlineStr">
        <ns0:is>
          <ns0:t>CORE</ns0:t>
        </ns0:is>
      </ns0:c>
      <ns0:c r="K108" s="15" t="n">
        <ns0:v>5014</ns0:v>
      </ns0:c>
      <ns0:c r="L108" t="inlineStr">
        <ns0:is>
          <ns0:t>FETCH|0x00000064|0x048E0463</ns0:t>
        </ns0:is>
      </ns0:c>
      <ns0:c r="M108" t="inlineStr">
        <ns0:is>
          <ns0:t>beq@0x00000064</ns0:t>
        </ns0:is>
      </ns0:c>
      <ns0:c r="N108">
        <ns0:f>IF(E108="FETCH",IF(COUNTIF($M$6:M108,M108)=1,1,0),0)</ns0:f>
        <ns0:v>0</ns0:v>
      </ns0:c>
      <ns0:c r="O108" t="inlineStr">
        <ns0:is>
          <ns0:t>ROM OK</ns0:t>
        </ns0:is>
      </ns0:c>
      <ns0:c r="P108">
        <ns0:f>IF(AND(E108="FETCH",F108="0x00000048"),C108-1,0)</ns0:f>
        <ns0:v>0</ns0:v>
      </ns0:c>
      <ns0:c r="Q108" s="15" t="inlineStr">
        <ns0:is>
          <ns0:t>E:0000000d:00010039:00000064:048e0463</ns0:t>
        </ns0:is>
      </ns0:c>
    </ns0:row>
    <ns0:row r="109">
      <ns0:c r="A109" t="n">
        <ns0:v>5</ns0:v>
      </ns0:c>
      <ns0:c r="B109" t="inlineStr">
        <ns0:is>
          <ns0:t>4</ns0:t>
        </ns0:is>
      </ns0:c>
      <ns0:c r="C109" t="n">
        <ns0:v>15</ns0:v>
      </ns0:c>
      <ns0:c r="D109" t="n">
        <ns0:v>61</ns0:v>
      </ns0:c>
      <ns0:c r="E109" s="14" t="inlineStr">
        <ns0:is>
          <ns0:t>FETCH</ns0:t>
        </ns0:is>
      </ns0:c>
      <ns0:c r="F109" s="15" t="inlineStr">
        <ns0:is>
          <ns0:t>0x00000068</ns0:t>
        </ns0:is>
      </ns0:c>
      <ns0:c r="G109" s="15" t="inlineStr">
        <ns0:is>
          <ns0:t>0x03100413</ns0:t>
        </ns0:is>
      </ns0:c>
      <ns0:c r="H109" s="15" t="inlineStr">
        <ns0:is>
          <ns0:t>addi s0, zero, 49</ns0:t>
        </ns0:is>
      </ns0:c>
      <ns0:c r="I109" t="inlineStr">
        <ns0:is>
          <ns0:t>addi</ns0:t>
        </ns0:is>
      </ns0:c>
      <ns0:c r="J109" t="inlineStr">
        <ns0:is>
          <ns0:t>CORE</ns0:t>
        </ns0:is>
      </ns0:c>
      <ns0:c r="K109" s="15" t="n">
        <ns0:v>5015</ns0:v>
      </ns0:c>
      <ns0:c r="L109" t="inlineStr">
        <ns0:is>
          <ns0:t>FETCH|0x00000068|0x03100413</ns0:t>
        </ns0:is>
      </ns0:c>
      <ns0:c r="M109" t="inlineStr">
        <ns0:is>
          <ns0:t>addi@0x00000068</ns0:t>
        </ns0:is>
      </ns0:c>
      <ns0:c r="N109">
        <ns0:f>IF(E109="FETCH",IF(COUNTIF($M$6:M109,M109)=1,1,0),0)</ns0:f>
        <ns0:v>0</ns0:v>
      </ns0:c>
      <ns0:c r="O109" t="inlineStr">
        <ns0:is>
          <ns0:t>ROM OK</ns0:t>
        </ns0:is>
      </ns0:c>
      <ns0:c r="P109">
        <ns0:f>IF(AND(E109="FETCH",F109="0x00000048"),C109-1,0)</ns0:f>
        <ns0:v>0</ns0:v>
      </ns0:c>
      <ns0:c r="Q109" s="15" t="inlineStr">
        <ns0:is>
          <ns0:t>E:0000000e:0001003d:00000068:03100413</ns0:t>
        </ns0:is>
      </ns0:c>
    </ns0:row>
    <ns0:row r="110">
      <ns0:c r="A110" t="n">
        <ns0:v>5</ns0:v>
      </ns0:c>
      <ns0:c r="B110" t="inlineStr">
        <ns0:is>
          <ns0:t>4</ns0:t>
        </ns0:is>
      </ns0:c>
      <ns0:c r="C110" t="n">
        <ns0:v>16</ns0:v>
      </ns0:c>
      <ns0:c r="D110" t="n">
        <ns0:v>65</ns0:v>
      </ns0:c>
      <ns0:c r="E110" s="14" t="inlineStr">
        <ns0:is>
          <ns0:t>FETCH</ns0:t>
        </ns0:is>
      </ns0:c>
      <ns0:c r="F110" s="15" t="inlineStr">
        <ns0:is>
          <ns0:t>0x0000006C</ns0:t>
        </ns0:is>
      </ns0:c>
      <ns0:c r="G110" s="15" t="inlineStr">
        <ns0:is>
          <ns0:t>0x048E0663</ns0:t>
        </ns0:is>
      </ns0:c>
      <ns0:c r="H110" s="15" t="inlineStr">
        <ns0:is>
          <ns0:t>beq t3, s0, 0x000000B8</ns0:t>
        </ns0:is>
      </ns0:c>
      <ns0:c r="I110" t="inlineStr">
        <ns0:is>
          <ns0:t>beq</ns0:t>
        </ns0:is>
      </ns0:c>
      <ns0:c r="J110" t="inlineStr">
        <ns0:is>
          <ns0:t>CORE</ns0:t>
        </ns0:is>
      </ns0:c>
      <ns0:c r="K110" s="15" t="n">
        <ns0:v>5016</ns0:v>
      </ns0:c>
      <ns0:c r="L110" t="inlineStr">
        <ns0:is>
          <ns0:t>FETCH|0x0000006C|0x048E0663</ns0:t>
        </ns0:is>
      </ns0:c>
      <ns0:c r="M110" t="inlineStr">
        <ns0:is>
          <ns0:t>beq@0x0000006C</ns0:t>
        </ns0:is>
      </ns0:c>
      <ns0:c r="N110">
        <ns0:f>IF(E110="FETCH",IF(COUNTIF($M$6:M110,M110)=1,1,0),0)</ns0:f>
        <ns0:v>0</ns0:v>
      </ns0:c>
      <ns0:c r="O110" t="inlineStr">
        <ns0:is>
          <ns0:t>ROM OK</ns0:t>
        </ns0:is>
      </ns0:c>
      <ns0:c r="P110">
        <ns0:f>IF(AND(E110="FETCH",F110="0x00000048"),C110-1,0)</ns0:f>
        <ns0:v>0</ns0:v>
      </ns0:c>
      <ns0:c r="Q110" s="15" t="inlineStr">
        <ns0:is>
          <ns0:t>E:0000000f:00010041:0000006c:048e0663</ns0:t>
        </ns0:is>
      </ns0:c>
    </ns0:row>
    <ns0:row r="111">
      <ns0:c r="A111" t="n">
        <ns0:v>5</ns0:v>
      </ns0:c>
      <ns0:c r="B111" t="inlineStr">
        <ns0:is>
          <ns0:t>4</ns0:t>
        </ns0:is>
      </ns0:c>
      <ns0:c r="C111" t="n">
        <ns0:v>17</ns0:v>
      </ns0:c>
      <ns0:c r="D111" t="n">
        <ns0:v>69</ns0:v>
      </ns0:c>
      <ns0:c r="E111" s="14" t="inlineStr">
        <ns0:is>
          <ns0:t>FETCH</ns0:t>
        </ns0:is>
      </ns0:c>
      <ns0:c r="F111" s="15" t="inlineStr">
        <ns0:is>
          <ns0:t>0x00000070</ns0:t>
        </ns0:is>
      </ns0:c>
      <ns0:c r="G111" s="15" t="inlineStr">
        <ns0:is>
          <ns0:t>0x03200413</ns0:t>
        </ns0:is>
      </ns0:c>
      <ns0:c r="H111" s="15" t="inlineStr">
        <ns0:is>
          <ns0:t>addi s0, zero, 50</ns0:t>
        </ns0:is>
      </ns0:c>
      <ns0:c r="I111" t="inlineStr">
        <ns0:is>
          <ns0:t>addi</ns0:t>
        </ns0:is>
      </ns0:c>
      <ns0:c r="J111" t="inlineStr">
        <ns0:is>
          <ns0:t>CORE</ns0:t>
        </ns0:is>
      </ns0:c>
      <ns0:c r="K111" s="15" t="n">
        <ns0:v>5017</ns0:v>
      </ns0:c>
      <ns0:c r="L111" t="inlineStr">
        <ns0:is>
          <ns0:t>FETCH|0x00000070|0x03200413</ns0:t>
        </ns0:is>
      </ns0:c>
      <ns0:c r="M111" t="inlineStr">
        <ns0:is>
          <ns0:t>addi@0x00000070</ns0:t>
        </ns0:is>
      </ns0:c>
      <ns0:c r="N111">
        <ns0:f>IF(E111="FETCH",IF(COUNTIF($M$6:M111,M111)=1,1,0),0)</ns0:f>
        <ns0:v>0</ns0:v>
      </ns0:c>
      <ns0:c r="O111" t="inlineStr">
        <ns0:is>
          <ns0:t>ROM OK</ns0:t>
        </ns0:is>
      </ns0:c>
      <ns0:c r="P111">
        <ns0:f>IF(AND(E111="FETCH",F111="0x00000048"),C111-1,0)</ns0:f>
        <ns0:v>0</ns0:v>
      </ns0:c>
      <ns0:c r="Q111" s="15" t="inlineStr">
        <ns0:is>
          <ns0:t>E:00000010:00010045:00000070:03200413</ns0:t>
        </ns0:is>
      </ns0:c>
    </ns0:row>
    <ns0:row r="112">
      <ns0:c r="A112" t="n">
        <ns0:v>5</ns0:v>
      </ns0:c>
      <ns0:c r="B112" t="inlineStr">
        <ns0:is>
          <ns0:t>4</ns0:t>
        </ns0:is>
      </ns0:c>
      <ns0:c r="C112" t="n">
        <ns0:v>18</ns0:v>
      </ns0:c>
      <ns0:c r="D112" t="n">
        <ns0:v>73</ns0:v>
      </ns0:c>
      <ns0:c r="E112" s="14" t="inlineStr">
        <ns0:is>
          <ns0:t>FETCH</ns0:t>
        </ns0:is>
      </ns0:c>
      <ns0:c r="F112" s="15" t="inlineStr">
        <ns0:is>
          <ns0:t>0x00000074</ns0:t>
        </ns0:is>
      </ns0:c>
      <ns0:c r="G112" s="15" t="inlineStr">
        <ns0:is>
          <ns0:t>0x048E0863</ns0:t>
        </ns0:is>
      </ns0:c>
      <ns0:c r="H112" s="15" t="inlineStr">
        <ns0:is>
          <ns0:t>beq t3, s0, 0x000000C4</ns0:t>
        </ns0:is>
      </ns0:c>
      <ns0:c r="I112" t="inlineStr">
        <ns0:is>
          <ns0:t>beq</ns0:t>
        </ns0:is>
      </ns0:c>
      <ns0:c r="J112" t="inlineStr">
        <ns0:is>
          <ns0:t>CORE</ns0:t>
        </ns0:is>
      </ns0:c>
      <ns0:c r="K112" s="15" t="n">
        <ns0:v>5018</ns0:v>
      </ns0:c>
      <ns0:c r="L112" t="inlineStr">
        <ns0:is>
          <ns0:t>FETCH|0x00000074|0x048E0863</ns0:t>
        </ns0:is>
      </ns0:c>
      <ns0:c r="M112" t="inlineStr">
        <ns0:is>
          <ns0:t>beq@0x00000074</ns0:t>
        </ns0:is>
      </ns0:c>
      <ns0:c r="N112">
        <ns0:f>IF(E112="FETCH",IF(COUNTIF($M$6:M112,M112)=1,1,0),0)</ns0:f>
        <ns0:v>0</ns0:v>
      </ns0:c>
      <ns0:c r="O112" t="inlineStr">
        <ns0:is>
          <ns0:t>ROM OK</ns0:t>
        </ns0:is>
      </ns0:c>
      <ns0:c r="P112">
        <ns0:f>IF(AND(E112="FETCH",F112="0x00000048"),C112-1,0)</ns0:f>
        <ns0:v>0</ns0:v>
      </ns0:c>
      <ns0:c r="Q112" s="15" t="inlineStr">
        <ns0:is>
          <ns0:t>E:00000011:00010049:00000074:048e0863</ns0:t>
        </ns0:is>
      </ns0:c>
    </ns0:row>
    <ns0:row r="113">
      <ns0:c r="A113" t="n">
        <ns0:v>5</ns0:v>
      </ns0:c>
      <ns0:c r="B113" t="inlineStr">
        <ns0:is>
          <ns0:t>4</ns0:t>
        </ns0:is>
      </ns0:c>
      <ns0:c r="C113" t="n">
        <ns0:v>19</ns0:v>
      </ns0:c>
      <ns0:c r="D113" t="n">
        <ns0:v>77</ns0:v>
      </ns0:c>
      <ns0:c r="E113" s="14" t="inlineStr">
        <ns0:is>
          <ns0:t>FETCH</ns0:t>
        </ns0:is>
      </ns0:c>
      <ns0:c r="F113" s="15" t="inlineStr">
        <ns0:is>
          <ns0:t>0x00000078</ns0:t>
        </ns0:is>
      </ns0:c>
      <ns0:c r="G113" s="15" t="inlineStr">
        <ns0:is>
          <ns0:t>0x03300413</ns0:t>
        </ns0:is>
      </ns0:c>
      <ns0:c r="H113" s="15" t="inlineStr">
        <ns0:is>
          <ns0:t>addi s0, zero, 51</ns0:t>
        </ns0:is>
      </ns0:c>
      <ns0:c r="I113" t="inlineStr">
        <ns0:is>
          <ns0:t>addi</ns0:t>
        </ns0:is>
      </ns0:c>
      <ns0:c r="J113" t="inlineStr">
        <ns0:is>
          <ns0:t>CORE</ns0:t>
        </ns0:is>
      </ns0:c>
      <ns0:c r="K113" s="15" t="n">
        <ns0:v>5019</ns0:v>
      </ns0:c>
      <ns0:c r="L113" t="inlineStr">
        <ns0:is>
          <ns0:t>FETCH|0x00000078|0x03300413</ns0:t>
        </ns0:is>
      </ns0:c>
      <ns0:c r="M113" t="inlineStr">
        <ns0:is>
          <ns0:t>addi@0x00000078</ns0:t>
        </ns0:is>
      </ns0:c>
      <ns0:c r="N113">
        <ns0:f>IF(E113="FETCH",IF(COUNTIF($M$6:M113,M113)=1,1,0),0)</ns0:f>
        <ns0:v>0</ns0:v>
      </ns0:c>
      <ns0:c r="O113" t="inlineStr">
        <ns0:is>
          <ns0:t>ROM OK</ns0:t>
        </ns0:is>
      </ns0:c>
      <ns0:c r="P113">
        <ns0:f>IF(AND(E113="FETCH",F113="0x00000048"),C113-1,0)</ns0:f>
        <ns0:v>0</ns0:v>
      </ns0:c>
      <ns0:c r="Q113" s="15" t="inlineStr">
        <ns0:is>
          <ns0:t>E:00000012:0001004d:00000078:03300413</ns0:t>
        </ns0:is>
      </ns0:c>
    </ns0:row>
    <ns0:row r="114">
      <ns0:c r="A114" t="n">
        <ns0:v>5</ns0:v>
      </ns0:c>
      <ns0:c r="B114" t="inlineStr">
        <ns0:is>
          <ns0:t>4</ns0:t>
        </ns0:is>
      </ns0:c>
      <ns0:c r="C114" t="n">
        <ns0:v>20</ns0:v>
      </ns0:c>
      <ns0:c r="D114" t="n">
        <ns0:v>81</ns0:v>
      </ns0:c>
      <ns0:c r="E114" s="14" t="inlineStr">
        <ns0:is>
          <ns0:t>FETCH</ns0:t>
        </ns0:is>
      </ns0:c>
      <ns0:c r="F114" s="15" t="inlineStr">
        <ns0:is>
          <ns0:t>0x0000007C</ns0:t>
        </ns0:is>
      </ns0:c>
      <ns0:c r="G114" s="15" t="inlineStr">
        <ns0:is>
          <ns0:t>0x048E0A63</ns0:t>
        </ns0:is>
      </ns0:c>
      <ns0:c r="H114" s="15" t="inlineStr">
        <ns0:is>
          <ns0:t>beq t3, s0, 0x000000D0</ns0:t>
        </ns0:is>
      </ns0:c>
      <ns0:c r="I114" t="inlineStr">
        <ns0:is>
          <ns0:t>beq</ns0:t>
        </ns0:is>
      </ns0:c>
      <ns0:c r="J114" t="inlineStr">
        <ns0:is>
          <ns0:t>CORE</ns0:t>
        </ns0:is>
      </ns0:c>
      <ns0:c r="K114" s="15" t="n">
        <ns0:v>5020</ns0:v>
      </ns0:c>
      <ns0:c r="L114" t="inlineStr">
        <ns0:is>
          <ns0:t>FETCH|0x0000007C|0x048E0A63</ns0:t>
        </ns0:is>
      </ns0:c>
      <ns0:c r="M114" t="inlineStr">
        <ns0:is>
          <ns0:t>beq@0x0000007C</ns0:t>
        </ns0:is>
      </ns0:c>
      <ns0:c r="N114">
        <ns0:f>IF(E114="FETCH",IF(COUNTIF($M$6:M114,M114)=1,1,0),0)</ns0:f>
        <ns0:v>0</ns0:v>
      </ns0:c>
      <ns0:c r="O114" t="inlineStr">
        <ns0:is>
          <ns0:t>ROM OK</ns0:t>
        </ns0:is>
      </ns0:c>
      <ns0:c r="P114">
        <ns0:f>IF(AND(E114="FETCH",F114="0x00000048"),C114-1,0)</ns0:f>
        <ns0:v>0</ns0:v>
      </ns0:c>
      <ns0:c r="Q114" s="15" t="inlineStr">
        <ns0:is>
          <ns0:t>E:00000013:00010051:0000007c:048e0a63</ns0:t>
        </ns0:is>
      </ns0:c>
    </ns0:row>
    <ns0:row r="115">
      <ns0:c r="A115" t="n">
        <ns0:v>5</ns0:v>
      </ns0:c>
      <ns0:c r="B115" t="inlineStr">
        <ns0:is>
          <ns0:t>4</ns0:t>
        </ns0:is>
      </ns0:c>
      <ns0:c r="C115" t="n">
        <ns0:v>21</ns0:v>
      </ns0:c>
      <ns0:c r="D115" t="n">
        <ns0:v>85</ns0:v>
      </ns0:c>
      <ns0:c r="E115" s="14" t="inlineStr">
        <ns0:is>
          <ns0:t>FETCH</ns0:t>
        </ns0:is>
      </ns0:c>
      <ns0:c r="F115" s="15" t="inlineStr">
        <ns0:is>
          <ns0:t>0x00000080</ns0:t>
        </ns0:is>
      </ns0:c>
      <ns0:c r="G115" s="15" t="inlineStr">
        <ns0:is>
          <ns0:t>0x03400413</ns0:t>
        </ns0:is>
      </ns0:c>
      <ns0:c r="H115" s="15" t="inlineStr">
        <ns0:is>
          <ns0:t>addi s0, zero, 52</ns0:t>
        </ns0:is>
      </ns0:c>
      <ns0:c r="I115" t="inlineStr">
        <ns0:is>
          <ns0:t>addi</ns0:t>
        </ns0:is>
      </ns0:c>
      <ns0:c r="J115" t="inlineStr">
        <ns0:is>
          <ns0:t>CORE</ns0:t>
        </ns0:is>
      </ns0:c>
      <ns0:c r="K115" s="15" t="n">
        <ns0:v>5021</ns0:v>
      </ns0:c>
      <ns0:c r="L115" t="inlineStr">
        <ns0:is>
          <ns0:t>FETCH|0x00000080|0x03400413</ns0:t>
        </ns0:is>
      </ns0:c>
      <ns0:c r="M115" t="inlineStr">
        <ns0:is>
          <ns0:t>addi@0x00000080</ns0:t>
        </ns0:is>
      </ns0:c>
      <ns0:c r="N115">
        <ns0:f>IF(E115="FETCH",IF(COUNTIF($M$6:M115,M115)=1,1,0),0)</ns0:f>
        <ns0:v>0</ns0:v>
      </ns0:c>
      <ns0:c r="O115" t="inlineStr">
        <ns0:is>
          <ns0:t>ROM OK</ns0:t>
        </ns0:is>
      </ns0:c>
      <ns0:c r="P115">
        <ns0:f>IF(AND(E115="FETCH",F115="0x00000048"),C115-1,0)</ns0:f>
        <ns0:v>0</ns0:v>
      </ns0:c>
      <ns0:c r="Q115" s="15" t="inlineStr">
        <ns0:is>
          <ns0:t>E:00000014:00010055:00000080:03400413</ns0:t>
        </ns0:is>
      </ns0:c>
    </ns0:row>
    <ns0:row r="116">
      <ns0:c r="A116" t="n">
        <ns0:v>5</ns0:v>
      </ns0:c>
      <ns0:c r="B116" t="inlineStr">
        <ns0:is>
          <ns0:t>4</ns0:t>
        </ns0:is>
      </ns0:c>
      <ns0:c r="C116" t="n">
        <ns0:v>22</ns0:v>
      </ns0:c>
      <ns0:c r="D116" t="n">
        <ns0:v>89</ns0:v>
      </ns0:c>
      <ns0:c r="E116" s="14" t="inlineStr">
        <ns0:is>
          <ns0:t>FETCH</ns0:t>
        </ns0:is>
      </ns0:c>
      <ns0:c r="F116" s="15" t="inlineStr">
        <ns0:is>
          <ns0:t>0x00000084</ns0:t>
        </ns0:is>
      </ns0:c>
      <ns0:c r="G116" s="15" t="inlineStr">
        <ns0:is>
          <ns0:t>0x048E0C63</ns0:t>
        </ns0:is>
      </ns0:c>
      <ns0:c r="H116" s="15" t="inlineStr">
        <ns0:is>
          <ns0:t>beq t3, s0, 0x000000DC</ns0:t>
        </ns0:is>
      </ns0:c>
      <ns0:c r="I116" t="inlineStr">
        <ns0:is>
          <ns0:t>beq</ns0:t>
        </ns0:is>
      </ns0:c>
      <ns0:c r="J116" t="inlineStr">
        <ns0:is>
          <ns0:t>CORE</ns0:t>
        </ns0:is>
      </ns0:c>
      <ns0:c r="K116" s="15" t="n">
        <ns0:v>5022</ns0:v>
      </ns0:c>
      <ns0:c r="L116" t="inlineStr">
        <ns0:is>
          <ns0:t>FETCH|0x00000084|0x048E0C63</ns0:t>
        </ns0:is>
      </ns0:c>
      <ns0:c r="M116" t="inlineStr">
        <ns0:is>
          <ns0:t>beq@0x00000084</ns0:t>
        </ns0:is>
      </ns0:c>
      <ns0:c r="N116">
        <ns0:f>IF(E116="FETCH",IF(COUNTIF($M$6:M116,M116)=1,1,0),0)</ns0:f>
        <ns0:v>0</ns0:v>
      </ns0:c>
      <ns0:c r="O116" t="inlineStr">
        <ns0:is>
          <ns0:t>ROM OK</ns0:t>
        </ns0:is>
      </ns0:c>
      <ns0:c r="P116">
        <ns0:f>IF(AND(E116="FETCH",F116="0x00000048"),C116-1,0)</ns0:f>
        <ns0:v>0</ns0:v>
      </ns0:c>
      <ns0:c r="Q116" s="15" t="inlineStr">
        <ns0:is>
          <ns0:t>E:00000015:00010059:00000084:048e0c63</ns0:t>
        </ns0:is>
      </ns0:c>
    </ns0:row>
    <ns0:row r="117">
      <ns0:c r="A117" t="n">
        <ns0:v>5</ns0:v>
      </ns0:c>
      <ns0:c r="B117" t="inlineStr">
        <ns0:is>
          <ns0:t>4</ns0:t>
        </ns0:is>
      </ns0:c>
      <ns0:c r="C117" t="n">
        <ns0:v>23</ns0:v>
      </ns0:c>
      <ns0:c r="D117" t="n">
        <ns0:v>93</ns0:v>
      </ns0:c>
      <ns0:c r="E117" s="14" t="inlineStr">
        <ns0:is>
          <ns0:t>FETCH</ns0:t>
        </ns0:is>
      </ns0:c>
      <ns0:c r="F117" s="15" t="inlineStr">
        <ns0:is>
          <ns0:t>0x00000088</ns0:t>
        </ns0:is>
      </ns0:c>
      <ns0:c r="G117" s="15" t="inlineStr">
        <ns0:is>
          <ns0:t>0x03500413</ns0:t>
        </ns0:is>
      </ns0:c>
      <ns0:c r="H117" s="15" t="inlineStr">
        <ns0:is>
          <ns0:t>addi s0, zero, 53</ns0:t>
        </ns0:is>
      </ns0:c>
      <ns0:c r="I117" t="inlineStr">
        <ns0:is>
          <ns0:t>addi</ns0:t>
        </ns0:is>
      </ns0:c>
      <ns0:c r="J117" t="inlineStr">
        <ns0:is>
          <ns0:t>CORE</ns0:t>
        </ns0:is>
      </ns0:c>
      <ns0:c r="K117" s="15" t="n">
        <ns0:v>5023</ns0:v>
      </ns0:c>
      <ns0:c r="L117" t="inlineStr">
        <ns0:is>
          <ns0:t>FETCH|0x00000088|0x03500413</ns0:t>
        </ns0:is>
      </ns0:c>
      <ns0:c r="M117" t="inlineStr">
        <ns0:is>
          <ns0:t>addi@0x00000088</ns0:t>
        </ns0:is>
      </ns0:c>
      <ns0:c r="N117">
        <ns0:f>IF(E117="FETCH",IF(COUNTIF($M$6:M117,M117)=1,1,0),0)</ns0:f>
        <ns0:v>0</ns0:v>
      </ns0:c>
      <ns0:c r="O117" t="inlineStr">
        <ns0:is>
          <ns0:t>ROM OK</ns0:t>
        </ns0:is>
      </ns0:c>
      <ns0:c r="P117">
        <ns0:f>IF(AND(E117="FETCH",F117="0x00000048"),C117-1,0)</ns0:f>
        <ns0:v>0</ns0:v>
      </ns0:c>
      <ns0:c r="Q117" s="15" t="inlineStr">
        <ns0:is>
          <ns0:t>E:00000016:0001005d:00000088:03500413</ns0:t>
        </ns0:is>
      </ns0:c>
    </ns0:row>
    <ns0:row r="118">
      <ns0:c r="A118" t="n">
        <ns0:v>5</ns0:v>
      </ns0:c>
      <ns0:c r="B118" t="inlineStr">
        <ns0:is>
          <ns0:t>4</ns0:t>
        </ns0:is>
      </ns0:c>
      <ns0:c r="C118" t="n">
        <ns0:v>24</ns0:v>
      </ns0:c>
      <ns0:c r="D118" t="n">
        <ns0:v>96</ns0:v>
      </ns0:c>
      <ns0:c r="E118" s="14" t="inlineStr">
        <ns0:is>
          <ns0:t>FETCH</ns0:t>
        </ns0:is>
      </ns0:c>
      <ns0:c r="F118" s="15" t="inlineStr">
        <ns0:is>
          <ns0:t>0x000000DC</ns0:t>
        </ns0:is>
      </ns0:c>
      <ns0:c r="G118" s="15" t="inlineStr">
        <ns0:is>
          <ns0:t>0x00800E93</ns0:t>
        </ns0:is>
      </ns0:c>
      <ns0:c r="H118" s="15" t="inlineStr">
        <ns0:is>
          <ns0:t>addi t4, zero, 8</ns0:t>
        </ns0:is>
      </ns0:c>
      <ns0:c r="I118" t="inlineStr">
        <ns0:is>
          <ns0:t>addi</ns0:t>
        </ns0:is>
      </ns0:c>
      <ns0:c r="J118" t="inlineStr">
        <ns0:is>
          <ns0:t>CORE</ns0:t>
        </ns0:is>
      </ns0:c>
      <ns0:c r="K118" s="15" t="n">
        <ns0:v>5024</ns0:v>
      </ns0:c>
      <ns0:c r="L118" t="inlineStr">
        <ns0:is>
          <ns0:t>FETCH|0x000000DC|0x00800E93</ns0:t>
        </ns0:is>
      </ns0:c>
      <ns0:c r="M118" t="inlineStr">
        <ns0:is>
          <ns0:t>addi@0x000000DC</ns0:t>
        </ns0:is>
      </ns0:c>
      <ns0:c r="N118">
        <ns0:f>IF(E118="FETCH",IF(COUNTIF($M$6:M118,M118)=1,1,0),0)</ns0:f>
        <ns0:v>0</ns0:v>
      </ns0:c>
      <ns0:c r="O118" t="inlineStr">
        <ns0:is>
          <ns0:t>ROM OK</ns0:t>
        </ns0:is>
      </ns0:c>
      <ns0:c r="P118">
        <ns0:f>IF(AND(E118="FETCH",F118="0x00000048"),C118-1,0)</ns0:f>
        <ns0:v>0</ns0:v>
      </ns0:c>
      <ns0:c r="Q118" s="15" t="inlineStr">
        <ns0:is>
          <ns0:t>E:00000017:00010060:000000dc:00800e93</ns0:t>
        </ns0:is>
      </ns0:c>
    </ns0:row>
    <ns0:row r="119">
      <ns0:c r="A119" t="n">
        <ns0:v>5</ns0:v>
      </ns0:c>
      <ns0:c r="B119" t="inlineStr">
        <ns0:is>
          <ns0:t>4</ns0:t>
        </ns0:is>
      </ns0:c>
      <ns0:c r="C119" t="n">
        <ns0:v>25</ns0:v>
      </ns0:c>
      <ns0:c r="D119" t="n">
        <ns0:v>100</ns0:v>
      </ns0:c>
      <ns0:c r="E119" s="14" t="inlineStr">
        <ns0:is>
          <ns0:t>FETCH</ns0:t>
        </ns0:is>
      </ns0:c>
      <ns0:c r="F119" s="15" t="inlineStr">
        <ns0:is>
          <ns0:t>0x000000E0</ns0:t>
        </ns0:is>
      </ns0:c>
      <ns0:c r="G119" s="15" t="inlineStr">
        <ns0:is>
          <ns0:t>0x03400F13</ns0:t>
        </ns0:is>
      </ns0:c>
      <ns0:c r="H119" s="15" t="inlineStr">
        <ns0:is>
          <ns0:t>addi t5, zero, 52</ns0:t>
        </ns0:is>
      </ns0:c>
      <ns0:c r="I119" t="inlineStr">
        <ns0:is>
          <ns0:t>addi</ns0:t>
        </ns0:is>
      </ns0:c>
      <ns0:c r="J119" t="inlineStr">
        <ns0:is>
          <ns0:t>CORE</ns0:t>
        </ns0:is>
      </ns0:c>
      <ns0:c r="K119" s="15" t="n">
        <ns0:v>5025</ns0:v>
      </ns0:c>
      <ns0:c r="L119" t="inlineStr">
        <ns0:is>
          <ns0:t>FETCH|0x000000E0|0x03400F13</ns0:t>
        </ns0:is>
      </ns0:c>
      <ns0:c r="M119" t="inlineStr">
        <ns0:is>
          <ns0:t>addi@0x000000E0</ns0:t>
        </ns0:is>
      </ns0:c>
      <ns0:c r="N119">
        <ns0:f>IF(E119="FETCH",IF(COUNTIF($M$6:M119,M119)=1,1,0),0)</ns0:f>
        <ns0:v>0</ns0:v>
      </ns0:c>
      <ns0:c r="O119" t="inlineStr">
        <ns0:is>
          <ns0:t>ROM OK</ns0:t>
        </ns0:is>
      </ns0:c>
      <ns0:c r="P119">
        <ns0:f>IF(AND(E119="FETCH",F119="0x00000048"),C119-1,0)</ns0:f>
        <ns0:v>0</ns0:v>
      </ns0:c>
      <ns0:c r="Q119" s="15" t="inlineStr">
        <ns0:is>
          <ns0:t>E:00000018:00010064:000000e0:03400f13</ns0:t>
        </ns0:is>
      </ns0:c>
    </ns0:row>
    <ns0:row r="120">
      <ns0:c r="A120" t="n">
        <ns0:v>5</ns0:v>
      </ns0:c>
      <ns0:c r="B120" t="inlineStr">
        <ns0:is>
          <ns0:t>4</ns0:t>
        </ns0:is>
      </ns0:c>
      <ns0:c r="C120" t="n">
        <ns0:v>26</ns0:v>
      </ns0:c>
      <ns0:c r="D120" t="n">
        <ns0:v>104</ns0:v>
      </ns0:c>
      <ns0:c r="E120" s="14" t="inlineStr">
        <ns0:is>
          <ns0:t>FETCH</ns0:t>
        </ns0:is>
      </ns0:c>
      <ns0:c r="F120" s="15" t="inlineStr">
        <ns0:is>
          <ns0:t>0x000000E4</ns0:t>
        </ns0:is>
      </ns0:c>
      <ns0:c r="G120" s="15" t="inlineStr">
        <ns0:is>
          <ns0:t>0x01C0006F</ns0:t>
        </ns0:is>
      </ns0:c>
      <ns0:c r="H120" s="15" t="inlineStr">
        <ns0:is>
          <ns0:t>jal zero, 0x00000100</ns0:t>
        </ns0:is>
      </ns0:c>
      <ns0:c r="I120" t="inlineStr">
        <ns0:is>
          <ns0:t>jal</ns0:t>
        </ns0:is>
      </ns0:c>
      <ns0:c r="J120" t="inlineStr">
        <ns0:is>
          <ns0:t>CORE</ns0:t>
        </ns0:is>
      </ns0:c>
      <ns0:c r="K120" s="15" t="n">
        <ns0:v>5026</ns0:v>
      </ns0:c>
      <ns0:c r="L120" t="inlineStr">
        <ns0:is>
          <ns0:t>FETCH|0x000000E4|0x01C0006F</ns0:t>
        </ns0:is>
      </ns0:c>
      <ns0:c r="M120" t="inlineStr">
        <ns0:is>
          <ns0:t>jal@0x000000E4</ns0:t>
        </ns0:is>
      </ns0:c>
      <ns0:c r="N120">
        <ns0:f>IF(E120="FETCH",IF(COUNTIF($M$6:M120,M120)=1,1,0),0)</ns0:f>
        <ns0:v>0</ns0:v>
      </ns0:c>
      <ns0:c r="O120" t="inlineStr">
        <ns0:is>
          <ns0:t>ROM OK</ns0:t>
        </ns0:is>
      </ns0:c>
      <ns0:c r="P120">
        <ns0:f>IF(AND(E120="FETCH",F120="0x00000048"),C120-1,0)</ns0:f>
        <ns0:v>0</ns0:v>
      </ns0:c>
      <ns0:c r="Q120" s="15" t="inlineStr">
        <ns0:is>
          <ns0:t>E:00000019:00010068:000000e4:01c0006f</ns0:t>
        </ns0:is>
      </ns0:c>
    </ns0:row>
    <ns0:row r="121">
      <ns0:c r="A121" t="n">
        <ns0:v>5</ns0:v>
      </ns0:c>
      <ns0:c r="B121" t="inlineStr">
        <ns0:is>
          <ns0:t>4</ns0:t>
        </ns0:is>
      </ns0:c>
      <ns0:c r="C121" t="n">
        <ns0:v>27</ns0:v>
      </ns0:c>
      <ns0:c r="D121" t="n">
        <ns0:v>108</ns0:v>
      </ns0:c>
      <ns0:c r="E121" s="14" t="inlineStr">
        <ns0:is>
          <ns0:t>FETCH</ns0:t>
        </ns0:is>
      </ns0:c>
      <ns0:c r="F121" s="15" t="inlineStr">
        <ns0:is>
          <ns0:t>0x00000100</ns0:t>
        </ns0:is>
      </ns0:c>
      <ns0:c r="G121" s="15" t="inlineStr">
        <ns0:is>
          <ns0:t>0x01D2A023</ns0:t>
        </ns0:is>
      </ns0:c>
      <ns0:c r="H121" s="15" t="inlineStr">
        <ns0:is>
          <ns0:t>sw t4, 0(t0)</ns0:t>
        </ns0:is>
      </ns0:c>
      <ns0:c r="I121" t="inlineStr">
        <ns0:is>
          <ns0:t>sw</ns0:t>
        </ns0:is>
      </ns0:c>
      <ns0:c r="J121" t="inlineStr">
        <ns0:is>
          <ns0:t>CORE</ns0:t>
        </ns0:is>
      </ns0:c>
      <ns0:c r="K121" s="15" t="n">
        <ns0:v>5027</ns0:v>
      </ns0:c>
      <ns0:c r="L121" t="inlineStr">
        <ns0:is>
          <ns0:t>FETCH|0x00000100|0x01D2A023</ns0:t>
        </ns0:is>
      </ns0:c>
      <ns0:c r="M121" t="inlineStr">
        <ns0:is>
          <ns0:t>sw@0x00000100</ns0:t>
        </ns0:is>
      </ns0:c>
      <ns0:c r="N121">
        <ns0:f>IF(E121="FETCH",IF(COUNTIF($M$6:M121,M121)=1,1,0),0)</ns0:f>
        <ns0:v>0</ns0:v>
      </ns0:c>
      <ns0:c r="O121" t="inlineStr">
        <ns0:is>
          <ns0:t>ROM OK</ns0:t>
        </ns0:is>
      </ns0:c>
      <ns0:c r="P121">
        <ns0:f>IF(AND(E121="FETCH",F121="0x00000048"),C121-1,0)</ns0:f>
        <ns0:v>0</ns0:v>
      </ns0:c>
      <ns0:c r="Q121" s="15" t="inlineStr">
        <ns0:is>
          <ns0:t>E:0000001a:0001006c:00000100:01d2a023</ns0:t>
        </ns0:is>
      </ns0:c>
    </ns0:row>
    <ns0:row r="122">
      <ns0:c r="A122" t="n">
        <ns0:v>5</ns0:v>
      </ns0:c>
      <ns0:c r="B122" t="inlineStr">
        <ns0:is>
          <ns0:t>4</ns0:t>
        </ns0:is>
      </ns0:c>
      <ns0:c r="C122" t="n">
        <ns0:v>28</ns0:v>
      </ns0:c>
      <ns0:c r="D122" t="n">
        <ns0:v>112</ns0:v>
      </ns0:c>
      <ns0:c r="E122" s="14" t="inlineStr">
        <ns0:is>
          <ns0:t>FETCH</ns0:t>
        </ns0:is>
      </ns0:c>
      <ns0:c r="F122" s="15" t="inlineStr">
        <ns0:is>
          <ns0:t>0x00000104</ns0:t>
        </ns0:is>
      </ns0:c>
      <ns0:c r="G122" s="15" t="inlineStr">
        <ns0:is>
          <ns0:t>0x0002AF83</ns0:t>
        </ns0:is>
      </ns0:c>
      <ns0:c r="H122" s="15" t="inlineStr">
        <ns0:is>
          <ns0:t>lw t6, 0(t0)</ns0:t>
        </ns0:is>
      </ns0:c>
      <ns0:c r="I122" t="inlineStr">
        <ns0:is>
          <ns0:t>lw</ns0:t>
        </ns0:is>
      </ns0:c>
      <ns0:c r="J122" t="inlineStr">
        <ns0:is>
          <ns0:t>CORE</ns0:t>
        </ns0:is>
      </ns0:c>
      <ns0:c r="K122" s="15" t="n">
        <ns0:v>5028</ns0:v>
      </ns0:c>
      <ns0:c r="L122" t="inlineStr">
        <ns0:is>
          <ns0:t>FETCH|0x00000104|0x0002AF83</ns0:t>
        </ns0:is>
      </ns0:c>
      <ns0:c r="M122" t="inlineStr">
        <ns0:is>
          <ns0:t>lw@0x00000104</ns0:t>
        </ns0:is>
      </ns0:c>
      <ns0:c r="N122">
        <ns0:f>IF(E122="FETCH",IF(COUNTIF($M$6:M122,M122)=1,1,0),0)</ns0:f>
        <ns0:v>0</ns0:v>
      </ns0:c>
      <ns0:c r="O122" t="inlineStr">
        <ns0:is>
          <ns0:t>ROM OK</ns0:t>
        </ns0:is>
      </ns0:c>
      <ns0:c r="P122">
        <ns0:f>IF(AND(E122="FETCH",F122="0x00000048"),C122-1,0)</ns0:f>
        <ns0:v>0</ns0:v>
      </ns0:c>
      <ns0:c r="Q122" s="15" t="inlineStr">
        <ns0:is>
          <ns0:t>E:0000001b:00010070:00000104:0002af83</ns0:t>
        </ns0:is>
      </ns0:c>
    </ns0:row>
    <ns0:row r="123">
      <ns0:c r="A123" s="17" t="n">
        <ns0:v>5</ns0:v>
      </ns0:c>
      <ns0:c r="B123" s="17" t="inlineStr">
        <ns0:is>
          <ns0:t>4</ns0:t>
        </ns0:is>
      </ns0:c>
      <ns0:c r="C123" s="17" t="n">
        <ns0:v>29</ns0:v>
      </ns0:c>
      <ns0:c r="D123" s="17" t="n">
        <ns0:v>115</ns0:v>
      </ns0:c>
      <ns0:c r="E123" s="18" t="inlineStr">
        <ns0:is>
          <ns0:t>LED_WRITE</ns0:t>
        </ns0:is>
      </ns0:c>
      <ns0:c r="F123" s="19" t="inlineStr">
        <ns0:is>
          <ns0:t>0x20000000</ns0:t>
        </ns0:is>
      </ns0:c>
      <ns0:c r="G123" s="19" t="inlineStr">
        <ns0:is>
          <ns0:t>0x00000008</ns0:t>
        </ns0:is>
      </ns0:c>
      <ns0:c r="H123" s="19" t="inlineStr">
        <ns0:is>
          <ns0:t>MMIO GPIO write</ns0:t>
        </ns0:is>
      </ns0:c>
      <ns0:c r="I123" s="17" t="inlineStr">
        <ns0:is>
          <ns0:t>LED_WRITE</ns0:t>
        </ns0:is>
      </ns0:c>
      <ns0:c r="J123" s="17" t="inlineStr">
        <ns0:is>
          <ns0:t>MMIO</ns0:t>
        </ns0:is>
      </ns0:c>
      <ns0:c r="K123" s="19" t="n">
        <ns0:v>5029</ns0:v>
      </ns0:c>
      <ns0:c r="L123" s="17" t="inlineStr">
        <ns0:is>
          <ns0:t>LED_WRITE|0x20000000|0x00000008</ns0:t>
        </ns0:is>
      </ns0:c>
      <ns0:c r="M123" s="17" t="inlineStr"/>
      <ns0:c r="N123" s="17">
        <ns0:f>IF(E123="FETCH",IF(COUNTIF($M$6:M123,M123)=1,1,0),0)</ns0:f>
        <ns0:v>0</ns0:v>
      </ns0:c>
      <ns0:c r="O123" s="17" t="inlineStr">
        <ns0:is>
          <ns0:t>MMIO OK</ns0:t>
        </ns0:is>
      </ns0:c>
      <ns0:c r="P123" s="17">
        <ns0:f>IF(AND(E123="FETCH",F123="0x00000048"),C123-1,0)</ns0:f>
        <ns0:v>0</ns0:v>
      </ns0:c>
      <ns0:c r="Q123" s="19" t="inlineStr">
        <ns0:is>
          <ns0:t>E:0000001c:00020073:20000000:00000008</ns0:t>
        </ns0:is>
      </ns0:c>
    </ns0:row>
    <ns0:row r="124">
      <ns0:c r="A124" t="n">
        <ns0:v>6</ns0:v>
      </ns0:c>
      <ns0:c r="B124" t="inlineStr">
        <ns0:is>
          <ns0:t>0</ns0:t>
        </ns0:is>
      </ns0:c>
      <ns0:c r="C124" t="n">
        <ns0:v>1</ns0:v>
      </ns0:c>
      <ns0:c r="D124" t="n">
        <ns0:v>1</ns0:v>
      </ns0:c>
      <ns0:c r="E124" s="14" t="inlineStr">
        <ns0:is>
          <ns0:t>FETCH</ns0:t>
        </ns0:is>
      </ns0:c>
      <ns0:c r="F124" s="15" t="inlineStr">
        <ns0:is>
          <ns0:t>0x00000038</ns0:t>
        </ns0:is>
      </ns0:c>
      <ns0:c r="G124" s="15" t="inlineStr">
        <ns0:is>
          <ns0:t>0x01C2A383</ns0:t>
        </ns0:is>
      </ns0:c>
      <ns0:c r="H124" s="15" t="inlineStr">
        <ns0:is>
          <ns0:t>lw t2, 28(t0)</ns0:t>
        </ns0:is>
      </ns0:c>
      <ns0:c r="I124" t="inlineStr">
        <ns0:is>
          <ns0:t>lw</ns0:t>
        </ns0:is>
      </ns0:c>
      <ns0:c r="J124" s="16" t="inlineStr">
        <ns0:is>
          <ns0:t>POLL</ns0:t>
        </ns0:is>
      </ns0:c>
      <ns0:c r="K124" s="15" t="n">
        <ns0:v>6001</ns0:v>
      </ns0:c>
      <ns0:c r="L124" t="inlineStr">
        <ns0:is>
          <ns0:t>FETCH|0x00000038|0x01C2A383</ns0:t>
        </ns0:is>
      </ns0:c>
      <ns0:c r="M124" t="inlineStr">
        <ns0:is>
          <ns0:t>lw@0x00000038</ns0:t>
        </ns0:is>
      </ns0:c>
      <ns0:c r="N124">
        <ns0:f>IF(E124="FETCH",IF(COUNTIF($M$6:M124,M124)=1,1,0),0)</ns0:f>
        <ns0:v>0</ns0:v>
      </ns0:c>
      <ns0:c r="O124" t="inlineStr">
        <ns0:is>
          <ns0:t>ROM OK</ns0:t>
        </ns0:is>
      </ns0:c>
      <ns0:c r="P124">
        <ns0:f>IF(AND(E124="FETCH",F124="0x00000048"),C124-1,0)</ns0:f>
        <ns0:v>0</ns0:v>
      </ns0:c>
      <ns0:c r="Q124" s="15" t="inlineStr">
        <ns0:is>
          <ns0:t>E:00000000:00010001:00000038:01c2a383</ns0:t>
        </ns0:is>
      </ns0:c>
    </ns0:row>
    <ns0:row r="125">
      <ns0:c r="A125" t="n">
        <ns0:v>6</ns0:v>
      </ns0:c>
      <ns0:c r="B125" t="inlineStr">
        <ns0:is>
          <ns0:t>0</ns0:t>
        </ns0:is>
      </ns0:c>
      <ns0:c r="C125" t="n">
        <ns0:v>2</ns0:v>
      </ns0:c>
      <ns0:c r="D125" t="n">
        <ns0:v>5</ns0:v>
      </ns0:c>
      <ns0:c r="E125" s="14" t="inlineStr">
        <ns0:is>
          <ns0:t>FETCH</ns0:t>
        </ns0:is>
      </ns0:c>
      <ns0:c r="F125" s="15" t="inlineStr">
        <ns0:is>
          <ns0:t>0x0000003C</ns0:t>
        </ns0:is>
      </ns0:c>
      <ns0:c r="G125" s="15" t="inlineStr">
        <ns0:is>
          <ns0:t>0x0013F393</ns0:t>
        </ns0:is>
      </ns0:c>
      <ns0:c r="H125" s="15" t="inlineStr">
        <ns0:is>
          <ns0:t>andi t2, t2, 1</ns0:t>
        </ns0:is>
      </ns0:c>
      <ns0:c r="I125" t="inlineStr">
        <ns0:is>
          <ns0:t>andi</ns0:t>
        </ns0:is>
      </ns0:c>
      <ns0:c r="J125" s="16" t="inlineStr">
        <ns0:is>
          <ns0:t>POLL</ns0:t>
        </ns0:is>
      </ns0:c>
      <ns0:c r="K125" s="15" t="n">
        <ns0:v>6002</ns0:v>
      </ns0:c>
      <ns0:c r="L125" t="inlineStr">
        <ns0:is>
          <ns0:t>FETCH|0x0000003C|0x0013F393</ns0:t>
        </ns0:is>
      </ns0:c>
      <ns0:c r="M125" t="inlineStr">
        <ns0:is>
          <ns0:t>andi@0x0000003C</ns0:t>
        </ns0:is>
      </ns0:c>
      <ns0:c r="N125">
        <ns0:f>IF(E125="FETCH",IF(COUNTIF($M$6:M125,M125)=1,1,0),0)</ns0:f>
        <ns0:v>0</ns0:v>
      </ns0:c>
      <ns0:c r="O125" t="inlineStr">
        <ns0:is>
          <ns0:t>ROM OK</ns0:t>
        </ns0:is>
      </ns0:c>
      <ns0:c r="P125">
        <ns0:f>IF(AND(E125="FETCH",F125="0x00000048"),C125-1,0)</ns0:f>
        <ns0:v>0</ns0:v>
      </ns0:c>
      <ns0:c r="Q125" s="15" t="inlineStr">
        <ns0:is>
          <ns0:t>E:00000001:00010005:0000003c:0013f393</ns0:t>
        </ns0:is>
      </ns0:c>
    </ns0:row>
    <ns0:row r="126">
      <ns0:c r="A126" t="n">
        <ns0:v>6</ns0:v>
      </ns0:c>
      <ns0:c r="B126" t="inlineStr">
        <ns0:is>
          <ns0:t>0</ns0:t>
        </ns0:is>
      </ns0:c>
      <ns0:c r="C126" t="n">
        <ns0:v>3</ns0:v>
      </ns0:c>
      <ns0:c r="D126" t="n">
        <ns0:v>12</ns0:v>
      </ns0:c>
      <ns0:c r="E126" s="14" t="inlineStr">
        <ns0:is>
          <ns0:t>FETCH</ns0:t>
        </ns0:is>
      </ns0:c>
      <ns0:c r="F126" s="15" t="inlineStr">
        <ns0:is>
          <ns0:t>0x00000040</ns0:t>
        </ns0:is>
      </ns0:c>
      <ns0:c r="G126" s="15" t="inlineStr">
        <ns0:is>
          <ns0:t>0xFE038CE3</ns0:t>
        </ns0:is>
      </ns0:c>
      <ns0:c r="H126" s="15" t="inlineStr">
        <ns0:is>
          <ns0:t>beq t2, zero, 0x00000038</ns0:t>
        </ns0:is>
      </ns0:c>
      <ns0:c r="I126" t="inlineStr">
        <ns0:is>
          <ns0:t>beq</ns0:t>
        </ns0:is>
      </ns0:c>
      <ns0:c r="J126" s="16" t="inlineStr">
        <ns0:is>
          <ns0:t>POLL</ns0:t>
        </ns0:is>
      </ns0:c>
      <ns0:c r="K126" s="15" t="n">
        <ns0:v>6003</ns0:v>
      </ns0:c>
      <ns0:c r="L126" t="inlineStr">
        <ns0:is>
          <ns0:t>FETCH|0x00000040|0xFE038CE3</ns0:t>
        </ns0:is>
      </ns0:c>
      <ns0:c r="M126" t="inlineStr">
        <ns0:is>
          <ns0:t>beq@0x00000040</ns0:t>
        </ns0:is>
      </ns0:c>
      <ns0:c r="N126">
        <ns0:f>IF(E126="FETCH",IF(COUNTIF($M$6:M126,M126)=1,1,0),0)</ns0:f>
        <ns0:v>0</ns0:v>
      </ns0:c>
      <ns0:c r="O126" t="inlineStr">
        <ns0:is>
          <ns0:t>ROM OK</ns0:t>
        </ns0:is>
      </ns0:c>
      <ns0:c r="P126">
        <ns0:f>IF(AND(E126="FETCH",F126="0x00000048"),C126-1,0)</ns0:f>
        <ns0:v>0</ns0:v>
      </ns0:c>
      <ns0:c r="Q126" s="15" t="inlineStr">
        <ns0:is>
          <ns0:t>E:00000002:0001000c:00000040:fe038ce3</ns0:t>
        </ns0:is>
      </ns0:c>
    </ns0:row>
    <ns0:row r="127">
      <ns0:c r="A127" t="n">
        <ns0:v>6</ns0:v>
      </ns0:c>
      <ns0:c r="B127" t="inlineStr">
        <ns0:is>
          <ns0:t>0</ns0:t>
        </ns0:is>
      </ns0:c>
      <ns0:c r="C127" t="n">
        <ns0:v>4</ns0:v>
      </ns0:c>
      <ns0:c r="D127" t="n">
        <ns0:v>16</ns0:v>
      </ns0:c>
      <ns0:c r="E127" s="14" t="inlineStr">
        <ns0:is>
          <ns0:t>FETCH</ns0:t>
        </ns0:is>
      </ns0:c>
      <ns0:c r="F127" s="15" t="inlineStr">
        <ns0:is>
          <ns0:t>0x00000044</ns0:t>
        </ns0:is>
      </ns0:c>
      <ns0:c r="G127" s="15" t="inlineStr">
        <ns0:is>
          <ns0:t>0x0182AE03</ns0:t>
        </ns0:is>
      </ns0:c>
      <ns0:c r="H127" s="15" t="inlineStr">
        <ns0:is>
          <ns0:t>lw t3, 24(t0)</ns0:t>
        </ns0:is>
      </ns0:c>
      <ns0:c r="I127" t="inlineStr">
        <ns0:is>
          <ns0:t>lw</ns0:t>
        </ns0:is>
      </ns0:c>
      <ns0:c r="J127" s="16" t="inlineStr">
        <ns0:is>
          <ns0:t>POLL</ns0:t>
        </ns0:is>
      </ns0:c>
      <ns0:c r="K127" s="15" t="n">
        <ns0:v>6004</ns0:v>
      </ns0:c>
      <ns0:c r="L127" t="inlineStr">
        <ns0:is>
          <ns0:t>FETCH|0x00000044|0x0182AE03</ns0:t>
        </ns0:is>
      </ns0:c>
      <ns0:c r="M127" t="inlineStr">
        <ns0:is>
          <ns0:t>lw@0x00000044</ns0:t>
        </ns0:is>
      </ns0:c>
      <ns0:c r="N127">
        <ns0:f>IF(E127="FETCH",IF(COUNTIF($M$6:M127,M127)=1,1,0),0)</ns0:f>
        <ns0:v>0</ns0:v>
      </ns0:c>
      <ns0:c r="O127" t="inlineStr">
        <ns0:is>
          <ns0:t>ROM OK</ns0:t>
        </ns0:is>
      </ns0:c>
      <ns0:c r="P127">
        <ns0:f>IF(AND(E127="FETCH",F127="0x00000048"),C127-1,0)</ns0:f>
        <ns0:v>0</ns0:v>
      </ns0:c>
      <ns0:c r="Q127" s="15" t="inlineStr">
        <ns0:is>
          <ns0:t>E:00000003:00010010:00000044:0182ae03</ns0:t>
        </ns0:is>
      </ns0:c>
    </ns0:row>
    <ns0:row r="128">
      <ns0:c r="A128" t="n">
        <ns0:v>6</ns0:v>
      </ns0:c>
      <ns0:c r="B128" t="inlineStr">
        <ns0:is>
          <ns0:t>0</ns0:t>
        </ns0:is>
      </ns0:c>
      <ns0:c r="C128" t="n">
        <ns0:v>5</ns0:v>
      </ns0:c>
      <ns0:c r="D128" t="n">
        <ns0:v>20</ns0:v>
      </ns0:c>
      <ns0:c r="E128" s="14" t="inlineStr">
        <ns0:is>
          <ns0:t>FETCH</ns0:t>
        </ns0:is>
      </ns0:c>
      <ns0:c r="F128" s="15" t="inlineStr">
        <ns0:is>
          <ns0:t>0x00000048</ns0:t>
        </ns0:is>
      </ns0:c>
      <ns0:c r="G128" s="15" t="inlineStr">
        <ns0:is>
          <ns0:t>0x05400413</ns0:t>
        </ns0:is>
      </ns0:c>
      <ns0:c r="H128" s="15" t="inlineStr">
        <ns0:is>
          <ns0:t>addi s0, zero, 84</ns0:t>
        </ns0:is>
      </ns0:c>
      <ns0:c r="I128" t="inlineStr">
        <ns0:is>
          <ns0:t>addi</ns0:t>
        </ns0:is>
      </ns0:c>
      <ns0:c r="J128" t="inlineStr">
        <ns0:is>
          <ns0:t>CORE</ns0:t>
        </ns0:is>
      </ns0:c>
      <ns0:c r="K128" s="15" t="n">
        <ns0:v>6005</ns0:v>
      </ns0:c>
      <ns0:c r="L128" t="inlineStr">
        <ns0:is>
          <ns0:t>FETCH|0x00000048|0x05400413</ns0:t>
        </ns0:is>
      </ns0:c>
      <ns0:c r="M128" t="inlineStr">
        <ns0:is>
          <ns0:t>addi@0x00000048</ns0:t>
        </ns0:is>
      </ns0:c>
      <ns0:c r="N128">
        <ns0:f>IF(E128="FETCH",IF(COUNTIF($M$6:M128,M128)=1,1,0),0)</ns0:f>
        <ns0:v>0</ns0:v>
      </ns0:c>
      <ns0:c r="O128" t="inlineStr">
        <ns0:is>
          <ns0:t>ROM OK</ns0:t>
        </ns0:is>
      </ns0:c>
      <ns0:c r="P128">
        <ns0:f>IF(AND(E128="FETCH",F128="0x00000048"),C128-1,0)</ns0:f>
        <ns0:v>4</ns0:v>
      </ns0:c>
      <ns0:c r="Q128" s="15" t="inlineStr">
        <ns0:is>
          <ns0:t>E:00000004:00010014:00000048:05400413</ns0:t>
        </ns0:is>
      </ns0:c>
    </ns0:row>
    <ns0:row r="129">
      <ns0:c r="A129" t="n">
        <ns0:v>6</ns0:v>
      </ns0:c>
      <ns0:c r="B129" t="inlineStr">
        <ns0:is>
          <ns0:t>0</ns0:t>
        </ns0:is>
      </ns0:c>
      <ns0:c r="C129" t="n">
        <ns0:v>6</ns0:v>
      </ns0:c>
      <ns0:c r="D129" t="n">
        <ns0:v>27</ns0:v>
      </ns0:c>
      <ns0:c r="E129" s="14" t="inlineStr">
        <ns0:is>
          <ns0:t>FETCH</ns0:t>
        </ns0:is>
      </ns0:c>
      <ns0:c r="F129" s="15" t="inlineStr">
        <ns0:is>
          <ns0:t>0x0000004C</ns0:t>
        </ns0:is>
      </ns0:c>
      <ns0:c r="G129" s="15" t="inlineStr">
        <ns0:is>
          <ns0:t>0x1A8E0063</ns0:t>
        </ns0:is>
      </ns0:c>
      <ns0:c r="H129" s="15" t="inlineStr">
        <ns0:is>
          <ns0:t>beq t3, s0, 0x000001EC</ns0:t>
        </ns0:is>
      </ns0:c>
      <ns0:c r="I129" t="inlineStr">
        <ns0:is>
          <ns0:t>beq</ns0:t>
        </ns0:is>
      </ns0:c>
      <ns0:c r="J129" t="inlineStr">
        <ns0:is>
          <ns0:t>CORE</ns0:t>
        </ns0:is>
      </ns0:c>
      <ns0:c r="K129" s="15" t="n">
        <ns0:v>6006</ns0:v>
      </ns0:c>
      <ns0:c r="L129" t="inlineStr">
        <ns0:is>
          <ns0:t>FETCH|0x0000004C|0x1A8E0063</ns0:t>
        </ns0:is>
      </ns0:c>
      <ns0:c r="M129" t="inlineStr">
        <ns0:is>
          <ns0:t>beq@0x0000004C</ns0:t>
        </ns0:is>
      </ns0:c>
      <ns0:c r="N129">
        <ns0:f>IF(E129="FETCH",IF(COUNTIF($M$6:M129,M129)=1,1,0),0)</ns0:f>
        <ns0:v>0</ns0:v>
      </ns0:c>
      <ns0:c r="O129" t="inlineStr">
        <ns0:is>
          <ns0:t>ROM OK</ns0:t>
        </ns0:is>
      </ns0:c>
      <ns0:c r="P129">
        <ns0:f>IF(AND(E129="FETCH",F129="0x00000048"),C129-1,0)</ns0:f>
        <ns0:v>0</ns0:v>
      </ns0:c>
      <ns0:c r="Q129" s="15" t="inlineStr">
        <ns0:is>
          <ns0:t>E:00000005:0001001b:0000004c:1a8e0063</ns0:t>
        </ns0:is>
      </ns0:c>
    </ns0:row>
    <ns0:row r="130">
      <ns0:c r="A130" t="n">
        <ns0:v>6</ns0:v>
      </ns0:c>
      <ns0:c r="B130" t="inlineStr">
        <ns0:is>
          <ns0:t>0</ns0:t>
        </ns0:is>
      </ns0:c>
      <ns0:c r="C130" t="n">
        <ns0:v>7</ns0:v>
      </ns0:c>
      <ns0:c r="D130" t="n">
        <ns0:v>31</ns0:v>
      </ns0:c>
      <ns0:c r="E130" s="14" t="inlineStr">
        <ns0:is>
          <ns0:t>FETCH</ns0:t>
        </ns0:is>
      </ns0:c>
      <ns0:c r="F130" s="15" t="inlineStr">
        <ns0:is>
          <ns0:t>0x00000050</ns0:t>
        </ns0:is>
      </ns0:c>
      <ns0:c r="G130" s="15" t="inlineStr">
        <ns0:is>
          <ns0:t>0x04300413</ns0:t>
        </ns0:is>
      </ns0:c>
      <ns0:c r="H130" s="15" t="inlineStr">
        <ns0:is>
          <ns0:t>addi s0, zero, 67</ns0:t>
        </ns0:is>
      </ns0:c>
      <ns0:c r="I130" t="inlineStr">
        <ns0:is>
          <ns0:t>addi</ns0:t>
        </ns0:is>
      </ns0:c>
      <ns0:c r="J130" t="inlineStr">
        <ns0:is>
          <ns0:t>CORE</ns0:t>
        </ns0:is>
      </ns0:c>
      <ns0:c r="K130" s="15" t="n">
        <ns0:v>6007</ns0:v>
      </ns0:c>
      <ns0:c r="L130" t="inlineStr">
        <ns0:is>
          <ns0:t>FETCH|0x00000050|0x04300413</ns0:t>
        </ns0:is>
      </ns0:c>
      <ns0:c r="M130" t="inlineStr">
        <ns0:is>
          <ns0:t>addi@0x00000050</ns0:t>
        </ns0:is>
      </ns0:c>
      <ns0:c r="N130">
        <ns0:f>IF(E130="FETCH",IF(COUNTIF($M$6:M130,M130)=1,1,0),0)</ns0:f>
        <ns0:v>0</ns0:v>
      </ns0:c>
      <ns0:c r="O130" t="inlineStr">
        <ns0:is>
          <ns0:t>ROM OK</ns0:t>
        </ns0:is>
      </ns0:c>
      <ns0:c r="P130">
        <ns0:f>IF(AND(E130="FETCH",F130="0x00000048"),C130-1,0)</ns0:f>
        <ns0:v>0</ns0:v>
      </ns0:c>
      <ns0:c r="Q130" s="15" t="inlineStr">
        <ns0:is>
          <ns0:t>E:00000006:0001001f:00000050:04300413</ns0:t>
        </ns0:is>
      </ns0:c>
    </ns0:row>
    <ns0:row r="131">
      <ns0:c r="A131" t="n">
        <ns0:v>6</ns0:v>
      </ns0:c>
      <ns0:c r="B131" t="inlineStr">
        <ns0:is>
          <ns0:t>0</ns0:t>
        </ns0:is>
      </ns0:c>
      <ns0:c r="C131" t="n">
        <ns0:v>8</ns0:v>
      </ns0:c>
      <ns0:c r="D131" t="n">
        <ns0:v>35</ns0:v>
      </ns0:c>
      <ns0:c r="E131" s="14" t="inlineStr">
        <ns0:is>
          <ns0:t>FETCH</ns0:t>
        </ns0:is>
      </ns0:c>
      <ns0:c r="F131" s="15" t="inlineStr">
        <ns0:is>
          <ns0:t>0x00000054</ns0:t>
        </ns0:is>
      </ns0:c>
      <ns0:c r="G131" s="15" t="inlineStr">
        <ns0:is>
          <ns0:t>0x188E0063</ns0:t>
        </ns0:is>
      </ns0:c>
      <ns0:c r="H131" s="15" t="inlineStr">
        <ns0:is>
          <ns0:t>beq t3, s0, 0x000001D4</ns0:t>
        </ns0:is>
      </ns0:c>
      <ns0:c r="I131" t="inlineStr">
        <ns0:is>
          <ns0:t>beq</ns0:t>
        </ns0:is>
      </ns0:c>
      <ns0:c r="J131" t="inlineStr">
        <ns0:is>
          <ns0:t>CORE</ns0:t>
        </ns0:is>
      </ns0:c>
      <ns0:c r="K131" s="15" t="n">
        <ns0:v>6008</ns0:v>
      </ns0:c>
      <ns0:c r="L131" t="inlineStr">
        <ns0:is>
          <ns0:t>FETCH|0x00000054|0x188E0063</ns0:t>
        </ns0:is>
      </ns0:c>
      <ns0:c r="M131" t="inlineStr">
        <ns0:is>
          <ns0:t>beq@0x00000054</ns0:t>
        </ns0:is>
      </ns0:c>
      <ns0:c r="N131">
        <ns0:f>IF(E131="FETCH",IF(COUNTIF($M$6:M131,M131)=1,1,0),0)</ns0:f>
        <ns0:v>0</ns0:v>
      </ns0:c>
      <ns0:c r="O131" t="inlineStr">
        <ns0:is>
          <ns0:t>ROM OK</ns0:t>
        </ns0:is>
      </ns0:c>
      <ns0:c r="P131">
        <ns0:f>IF(AND(E131="FETCH",F131="0x00000048"),C131-1,0)</ns0:f>
        <ns0:v>0</ns0:v>
      </ns0:c>
      <ns0:c r="Q131" s="15" t="inlineStr">
        <ns0:is>
          <ns0:t>E:00000007:00010023:00000054:188e0063</ns0:t>
        </ns0:is>
      </ns0:c>
    </ns0:row>
    <ns0:row r="132">
      <ns0:c r="A132" t="n">
        <ns0:v>6</ns0:v>
      </ns0:c>
      <ns0:c r="B132" t="inlineStr">
        <ns0:is>
          <ns0:t>0</ns0:t>
        </ns0:is>
      </ns0:c>
      <ns0:c r="C132" t="n">
        <ns0:v>9</ns0:v>
      </ns0:c>
      <ns0:c r="D132" t="n">
        <ns0:v>39</ns0:v>
      </ns0:c>
      <ns0:c r="E132" s="14" t="inlineStr">
        <ns0:is>
          <ns0:t>FETCH</ns0:t>
        </ns0:is>
      </ns0:c>
      <ns0:c r="F132" s="15" t="inlineStr">
        <ns0:is>
          <ns0:t>0x00000058</ns0:t>
        </ns0:is>
      </ns0:c>
      <ns0:c r="G132" s="15" t="inlineStr">
        <ns0:is>
          <ns0:t>0x03F00413</ns0:t>
        </ns0:is>
      </ns0:c>
      <ns0:c r="H132" s="15" t="inlineStr">
        <ns0:is>
          <ns0:t>addi s0, zero, 63</ns0:t>
        </ns0:is>
      </ns0:c>
      <ns0:c r="I132" t="inlineStr">
        <ns0:is>
          <ns0:t>addi</ns0:t>
        </ns0:is>
      </ns0:c>
      <ns0:c r="J132" t="inlineStr">
        <ns0:is>
          <ns0:t>CORE</ns0:t>
        </ns0:is>
      </ns0:c>
      <ns0:c r="K132" s="15" t="n">
        <ns0:v>6009</ns0:v>
      </ns0:c>
      <ns0:c r="L132" t="inlineStr">
        <ns0:is>
          <ns0:t>FETCH|0x00000058|0x03F00413</ns0:t>
        </ns0:is>
      </ns0:c>
      <ns0:c r="M132" t="inlineStr">
        <ns0:is>
          <ns0:t>addi@0x00000058</ns0:t>
        </ns0:is>
      </ns0:c>
      <ns0:c r="N132">
        <ns0:f>IF(E132="FETCH",IF(COUNTIF($M$6:M132,M132)=1,1,0),0)</ns0:f>
        <ns0:v>0</ns0:v>
      </ns0:c>
      <ns0:c r="O132" t="inlineStr">
        <ns0:is>
          <ns0:t>ROM OK</ns0:t>
        </ns0:is>
      </ns0:c>
      <ns0:c r="P132">
        <ns0:f>IF(AND(E132="FETCH",F132="0x00000048"),C132-1,0)</ns0:f>
        <ns0:v>0</ns0:v>
      </ns0:c>
      <ns0:c r="Q132" s="15" t="inlineStr">
        <ns0:is>
          <ns0:t>E:00000008:00010027:00000058:03f00413</ns0:t>
        </ns0:is>
      </ns0:c>
    </ns0:row>
    <ns0:row r="133">
      <ns0:c r="A133" t="n">
        <ns0:v>6</ns0:v>
      </ns0:c>
      <ns0:c r="B133" t="inlineStr">
        <ns0:is>
          <ns0:t>0</ns0:t>
        </ns0:is>
      </ns0:c>
      <ns0:c r="C133" t="n">
        <ns0:v>10</ns0:v>
      </ns0:c>
      <ns0:c r="D133" t="n">
        <ns0:v>43</ns0:v>
      </ns0:c>
      <ns0:c r="E133" s="14" t="inlineStr">
        <ns0:is>
          <ns0:t>FETCH</ns0:t>
        </ns0:is>
      </ns0:c>
      <ns0:c r="F133" s="15" t="inlineStr">
        <ns0:is>
          <ns0:t>0x0000005C</ns0:t>
        </ns0:is>
      </ns0:c>
      <ns0:c r="G133" s="15" t="inlineStr">
        <ns0:is>
          <ns0:t>0x0A8E0A63</ns0:t>
        </ns0:is>
      </ns0:c>
      <ns0:c r="H133" s="15" t="inlineStr">
        <ns0:is>
          <ns0:t>beq t3, s0, 0x00000110</ns0:t>
        </ns0:is>
      </ns0:c>
      <ns0:c r="I133" t="inlineStr">
        <ns0:is>
          <ns0:t>beq</ns0:t>
        </ns0:is>
      </ns0:c>
      <ns0:c r="J133" t="inlineStr">
        <ns0:is>
          <ns0:t>CORE</ns0:t>
        </ns0:is>
      </ns0:c>
      <ns0:c r="K133" s="15" t="n">
        <ns0:v>6010</ns0:v>
      </ns0:c>
      <ns0:c r="L133" t="inlineStr">
        <ns0:is>
          <ns0:t>FETCH|0x0000005C|0x0A8E0A63</ns0:t>
        </ns0:is>
      </ns0:c>
      <ns0:c r="M133" t="inlineStr">
        <ns0:is>
          <ns0:t>beq@0x0000005C</ns0:t>
        </ns0:is>
      </ns0:c>
      <ns0:c r="N133">
        <ns0:f>IF(E133="FETCH",IF(COUNTIF($M$6:M133,M133)=1,1,0),0)</ns0:f>
        <ns0:v>0</ns0:v>
      </ns0:c>
      <ns0:c r="O133" t="inlineStr">
        <ns0:is>
          <ns0:t>ROM OK</ns0:t>
        </ns0:is>
      </ns0:c>
      <ns0:c r="P133">
        <ns0:f>IF(AND(E133="FETCH",F133="0x00000048"),C133-1,0)</ns0:f>
        <ns0:v>0</ns0:v>
      </ns0:c>
      <ns0:c r="Q133" s="15" t="inlineStr">
        <ns0:is>
          <ns0:t>E:00000009:0001002b:0000005c:0a8e0a63</ns0:t>
        </ns0:is>
      </ns0:c>
    </ns0:row>
    <ns0:row r="134">
      <ns0:c r="A134" t="n">
        <ns0:v>6</ns0:v>
      </ns0:c>
      <ns0:c r="B134" t="inlineStr">
        <ns0:is>
          <ns0:t>0</ns0:t>
        </ns0:is>
      </ns0:c>
      <ns0:c r="C134" t="n">
        <ns0:v>11</ns0:v>
      </ns0:c>
      <ns0:c r="D134" t="n">
        <ns0:v>47</ns0:v>
      </ns0:c>
      <ns0:c r="E134" s="14" t="inlineStr">
        <ns0:is>
          <ns0:t>FETCH</ns0:t>
        </ns0:is>
      </ns0:c>
      <ns0:c r="F134" s="15" t="inlineStr">
        <ns0:is>
          <ns0:t>0x00000060</ns0:t>
        </ns0:is>
      </ns0:c>
      <ns0:c r="G134" s="15" t="inlineStr">
        <ns0:is>
          <ns0:t>0x03000413</ns0:t>
        </ns0:is>
      </ns0:c>
      <ns0:c r="H134" s="15" t="inlineStr">
        <ns0:is>
          <ns0:t>addi s0, zero, 48</ns0:t>
        </ns0:is>
      </ns0:c>
      <ns0:c r="I134" t="inlineStr">
        <ns0:is>
          <ns0:t>addi</ns0:t>
        </ns0:is>
      </ns0:c>
      <ns0:c r="J134" t="inlineStr">
        <ns0:is>
          <ns0:t>CORE</ns0:t>
        </ns0:is>
      </ns0:c>
      <ns0:c r="K134" s="15" t="n">
        <ns0:v>6011</ns0:v>
      </ns0:c>
      <ns0:c r="L134" t="inlineStr">
        <ns0:is>
          <ns0:t>FETCH|0x00000060|0x03000413</ns0:t>
        </ns0:is>
      </ns0:c>
      <ns0:c r="M134" t="inlineStr">
        <ns0:is>
          <ns0:t>addi@0x00000060</ns0:t>
        </ns0:is>
      </ns0:c>
      <ns0:c r="N134">
        <ns0:f>IF(E134="FETCH",IF(COUNTIF($M$6:M134,M134)=1,1,0),0)</ns0:f>
        <ns0:v>0</ns0:v>
      </ns0:c>
      <ns0:c r="O134" t="inlineStr">
        <ns0:is>
          <ns0:t>ROM OK</ns0:t>
        </ns0:is>
      </ns0:c>
      <ns0:c r="P134">
        <ns0:f>IF(AND(E134="FETCH",F134="0x00000048"),C134-1,0)</ns0:f>
        <ns0:v>0</ns0:v>
      </ns0:c>
      <ns0:c r="Q134" s="15" t="inlineStr">
        <ns0:is>
          <ns0:t>E:0000000a:0001002f:00000060:03000413</ns0:t>
        </ns0:is>
      </ns0:c>
    </ns0:row>
    <ns0:row r="135">
      <ns0:c r="A135" t="n">
        <ns0:v>6</ns0:v>
      </ns0:c>
      <ns0:c r="B135" t="inlineStr">
        <ns0:is>
          <ns0:t>0</ns0:t>
        </ns0:is>
      </ns0:c>
      <ns0:c r="C135" t="n">
        <ns0:v>12</ns0:v>
      </ns0:c>
      <ns0:c r="D135" t="n">
        <ns0:v>51</ns0:v>
      </ns0:c>
      <ns0:c r="E135" s="14" t="inlineStr">
        <ns0:is>
          <ns0:t>FETCH</ns0:t>
        </ns0:is>
      </ns0:c>
      <ns0:c r="F135" s="15" t="inlineStr">
        <ns0:is>
          <ns0:t>0x00000064</ns0:t>
        </ns0:is>
      </ns0:c>
      <ns0:c r="G135" s="15" t="inlineStr">
        <ns0:is>
          <ns0:t>0x048E0463</ns0:t>
        </ns0:is>
      </ns0:c>
      <ns0:c r="H135" s="15" t="inlineStr">
        <ns0:is>
          <ns0:t>beq t3, s0, 0x000000AC</ns0:t>
        </ns0:is>
      </ns0:c>
      <ns0:c r="I135" t="inlineStr">
        <ns0:is>
          <ns0:t>beq</ns0:t>
        </ns0:is>
      </ns0:c>
      <ns0:c r="J135" t="inlineStr">
        <ns0:is>
          <ns0:t>CORE</ns0:t>
        </ns0:is>
      </ns0:c>
      <ns0:c r="K135" s="15" t="n">
        <ns0:v>6012</ns0:v>
      </ns0:c>
      <ns0:c r="L135" t="inlineStr">
        <ns0:is>
          <ns0:t>FETCH|0x00000064|0x048E0463</ns0:t>
        </ns0:is>
      </ns0:c>
      <ns0:c r="M135" t="inlineStr">
        <ns0:is>
          <ns0:t>beq@0x00000064</ns0:t>
        </ns0:is>
      </ns0:c>
      <ns0:c r="N135">
        <ns0:f>IF(E135="FETCH",IF(COUNTIF($M$6:M135,M135)=1,1,0),0)</ns0:f>
        <ns0:v>0</ns0:v>
      </ns0:c>
      <ns0:c r="O135" t="inlineStr">
        <ns0:is>
          <ns0:t>ROM OK</ns0:t>
        </ns0:is>
      </ns0:c>
      <ns0:c r="P135">
        <ns0:f>IF(AND(E135="FETCH",F135="0x00000048"),C135-1,0)</ns0:f>
        <ns0:v>0</ns0:v>
      </ns0:c>
      <ns0:c r="Q135" s="15" t="inlineStr">
        <ns0:is>
          <ns0:t>E:0000000b:00010033:00000064:048e0463</ns0:t>
        </ns0:is>
      </ns0:c>
    </ns0:row>
    <ns0:row r="136">
      <ns0:c r="A136" t="n">
        <ns0:v>6</ns0:v>
      </ns0:c>
      <ns0:c r="B136" t="inlineStr">
        <ns0:is>
          <ns0:t>0</ns0:t>
        </ns0:is>
      </ns0:c>
      <ns0:c r="C136" t="n">
        <ns0:v>13</ns0:v>
      </ns0:c>
      <ns0:c r="D136" t="n">
        <ns0:v>55</ns0:v>
      </ns0:c>
      <ns0:c r="E136" s="14" t="inlineStr">
        <ns0:is>
          <ns0:t>FETCH</ns0:t>
        </ns0:is>
      </ns0:c>
      <ns0:c r="F136" s="15" t="inlineStr">
        <ns0:is>
          <ns0:t>0x00000068</ns0:t>
        </ns0:is>
      </ns0:c>
      <ns0:c r="G136" s="15" t="inlineStr">
        <ns0:is>
          <ns0:t>0x03100413</ns0:t>
        </ns0:is>
      </ns0:c>
      <ns0:c r="H136" s="15" t="inlineStr">
        <ns0:is>
          <ns0:t>addi s0, zero, 49</ns0:t>
        </ns0:is>
      </ns0:c>
      <ns0:c r="I136" t="inlineStr">
        <ns0:is>
          <ns0:t>addi</ns0:t>
        </ns0:is>
      </ns0:c>
      <ns0:c r="J136" t="inlineStr">
        <ns0:is>
          <ns0:t>CORE</ns0:t>
        </ns0:is>
      </ns0:c>
      <ns0:c r="K136" s="15" t="n">
        <ns0:v>6013</ns0:v>
      </ns0:c>
      <ns0:c r="L136" t="inlineStr">
        <ns0:is>
          <ns0:t>FETCH|0x00000068|0x03100413</ns0:t>
        </ns0:is>
      </ns0:c>
      <ns0:c r="M136" t="inlineStr">
        <ns0:is>
          <ns0:t>addi@0x00000068</ns0:t>
        </ns0:is>
      </ns0:c>
      <ns0:c r="N136">
        <ns0:f>IF(E136="FETCH",IF(COUNTIF($M$6:M136,M136)=1,1,0),0)</ns0:f>
        <ns0:v>0</ns0:v>
      </ns0:c>
      <ns0:c r="O136" t="inlineStr">
        <ns0:is>
          <ns0:t>ROM OK</ns0:t>
        </ns0:is>
      </ns0:c>
      <ns0:c r="P136">
        <ns0:f>IF(AND(E136="FETCH",F136="0x00000048"),C136-1,0)</ns0:f>
        <ns0:v>0</ns0:v>
      </ns0:c>
      <ns0:c r="Q136" s="15" t="inlineStr">
        <ns0:is>
          <ns0:t>E:0000000c:00010037:00000068:03100413</ns0:t>
        </ns0:is>
      </ns0:c>
    </ns0:row>
    <ns0:row r="137">
      <ns0:c r="A137" t="n">
        <ns0:v>6</ns0:v>
      </ns0:c>
      <ns0:c r="B137" t="inlineStr">
        <ns0:is>
          <ns0:t>0</ns0:t>
        </ns0:is>
      </ns0:c>
      <ns0:c r="C137" t="n">
        <ns0:v>14</ns0:v>
      </ns0:c>
      <ns0:c r="D137" t="n">
        <ns0:v>58</ns0:v>
      </ns0:c>
      <ns0:c r="E137" s="14" t="inlineStr">
        <ns0:is>
          <ns0:t>FETCH</ns0:t>
        </ns0:is>
      </ns0:c>
      <ns0:c r="F137" s="15" t="inlineStr">
        <ns0:is>
          <ns0:t>0x000000AC</ns0:t>
        </ns0:is>
      </ns0:c>
      <ns0:c r="G137" s="15" t="inlineStr">
        <ns0:is>
          <ns0:t>0x00000E93</ns0:t>
        </ns0:is>
      </ns0:c>
      <ns0:c r="H137" s="15" t="inlineStr">
        <ns0:is>
          <ns0:t>addi t4, zero, 0</ns0:t>
        </ns0:is>
      </ns0:c>
      <ns0:c r="I137" t="inlineStr">
        <ns0:is>
          <ns0:t>addi</ns0:t>
        </ns0:is>
      </ns0:c>
      <ns0:c r="J137" t="inlineStr">
        <ns0:is>
          <ns0:t>CORE</ns0:t>
        </ns0:is>
      </ns0:c>
      <ns0:c r="K137" s="15" t="n">
        <ns0:v>6014</ns0:v>
      </ns0:c>
      <ns0:c r="L137" t="inlineStr">
        <ns0:is>
          <ns0:t>FETCH|0x000000AC|0x00000E93</ns0:t>
        </ns0:is>
      </ns0:c>
      <ns0:c r="M137" t="inlineStr">
        <ns0:is>
          <ns0:t>addi@0x000000AC</ns0:t>
        </ns0:is>
      </ns0:c>
      <ns0:c r="N137">
        <ns0:f>IF(E137="FETCH",IF(COUNTIF($M$6:M137,M137)=1,1,0),0)</ns0:f>
        <ns0:v>0</ns0:v>
      </ns0:c>
      <ns0:c r="O137" t="inlineStr">
        <ns0:is>
          <ns0:t>ROM OK</ns0:t>
        </ns0:is>
      </ns0:c>
      <ns0:c r="P137">
        <ns0:f>IF(AND(E137="FETCH",F137="0x00000048"),C137-1,0)</ns0:f>
        <ns0:v>0</ns0:v>
      </ns0:c>
      <ns0:c r="Q137" s="15" t="inlineStr">
        <ns0:is>
          <ns0:t>E:0000000d:0001003a:000000ac:00000e93</ns0:t>
        </ns0:is>
      </ns0:c>
    </ns0:row>
    <ns0:row r="138">
      <ns0:c r="A138" t="n">
        <ns0:v>6</ns0:v>
      </ns0:c>
      <ns0:c r="B138" t="inlineStr">
        <ns0:is>
          <ns0:t>0</ns0:t>
        </ns0:is>
      </ns0:c>
      <ns0:c r="C138" t="n">
        <ns0:v>15</ns0:v>
      </ns0:c>
      <ns0:c r="D138" t="n">
        <ns0:v>62</ns0:v>
      </ns0:c>
      <ns0:c r="E138" s="14" t="inlineStr">
        <ns0:is>
          <ns0:t>FETCH</ns0:t>
        </ns0:is>
      </ns0:c>
      <ns0:c r="F138" s="15" t="inlineStr">
        <ns0:is>
          <ns0:t>0x000000B0</ns0:t>
        </ns0:is>
      </ns0:c>
      <ns0:c r="G138" s="15" t="inlineStr">
        <ns0:is>
          <ns0:t>0x03000F13</ns0:t>
        </ns0:is>
      </ns0:c>
      <ns0:c r="H138" s="15" t="inlineStr">
        <ns0:is>
          <ns0:t>addi t5, zero, 48</ns0:t>
        </ns0:is>
      </ns0:c>
      <ns0:c r="I138" t="inlineStr">
        <ns0:is>
          <ns0:t>addi</ns0:t>
        </ns0:is>
      </ns0:c>
      <ns0:c r="J138" t="inlineStr">
        <ns0:is>
          <ns0:t>CORE</ns0:t>
        </ns0:is>
      </ns0:c>
      <ns0:c r="K138" s="15" t="n">
        <ns0:v>6015</ns0:v>
      </ns0:c>
      <ns0:c r="L138" t="inlineStr">
        <ns0:is>
          <ns0:t>FETCH|0x000000B0|0x03000F13</ns0:t>
        </ns0:is>
      </ns0:c>
      <ns0:c r="M138" t="inlineStr">
        <ns0:is>
          <ns0:t>addi@0x000000B0</ns0:t>
        </ns0:is>
      </ns0:c>
      <ns0:c r="N138">
        <ns0:f>IF(E138="FETCH",IF(COUNTIF($M$6:M138,M138)=1,1,0),0)</ns0:f>
        <ns0:v>0</ns0:v>
      </ns0:c>
      <ns0:c r="O138" t="inlineStr">
        <ns0:is>
          <ns0:t>ROM OK</ns0:t>
        </ns0:is>
      </ns0:c>
      <ns0:c r="P138">
        <ns0:f>IF(AND(E138="FETCH",F138="0x00000048"),C138-1,0)</ns0:f>
        <ns0:v>0</ns0:v>
      </ns0:c>
      <ns0:c r="Q138" s="15" t="inlineStr">
        <ns0:is>
          <ns0:t>E:0000000e:0001003e:000000b0:03000f13</ns0:t>
        </ns0:is>
      </ns0:c>
    </ns0:row>
    <ns0:row r="139">
      <ns0:c r="A139" t="n">
        <ns0:v>6</ns0:v>
      </ns0:c>
      <ns0:c r="B139" t="inlineStr">
        <ns0:is>
          <ns0:t>0</ns0:t>
        </ns0:is>
      </ns0:c>
      <ns0:c r="C139" t="n">
        <ns0:v>16</ns0:v>
      </ns0:c>
      <ns0:c r="D139" t="n">
        <ns0:v>66</ns0:v>
      </ns0:c>
      <ns0:c r="E139" s="14" t="inlineStr">
        <ns0:is>
          <ns0:t>FETCH</ns0:t>
        </ns0:is>
      </ns0:c>
      <ns0:c r="F139" s="15" t="inlineStr">
        <ns0:is>
          <ns0:t>0x000000B4</ns0:t>
        </ns0:is>
      </ns0:c>
      <ns0:c r="G139" s="15" t="inlineStr">
        <ns0:is>
          <ns0:t>0x04C0006F</ns0:t>
        </ns0:is>
      </ns0:c>
      <ns0:c r="H139" s="15" t="inlineStr">
        <ns0:is>
          <ns0:t>jal zero, 0x00000100</ns0:t>
        </ns0:is>
      </ns0:c>
      <ns0:c r="I139" t="inlineStr">
        <ns0:is>
          <ns0:t>jal</ns0:t>
        </ns0:is>
      </ns0:c>
      <ns0:c r="J139" t="inlineStr">
        <ns0:is>
          <ns0:t>CORE</ns0:t>
        </ns0:is>
      </ns0:c>
      <ns0:c r="K139" s="15" t="n">
        <ns0:v>6016</ns0:v>
      </ns0:c>
      <ns0:c r="L139" t="inlineStr">
        <ns0:is>
          <ns0:t>FETCH|0x000000B4|0x04C0006F</ns0:t>
        </ns0:is>
      </ns0:c>
      <ns0:c r="M139" t="inlineStr">
        <ns0:is>
          <ns0:t>jal@0x000000B4</ns0:t>
        </ns0:is>
      </ns0:c>
      <ns0:c r="N139">
        <ns0:f>IF(E139="FETCH",IF(COUNTIF($M$6:M139,M139)=1,1,0),0)</ns0:f>
        <ns0:v>0</ns0:v>
      </ns0:c>
      <ns0:c r="O139" t="inlineStr">
        <ns0:is>
          <ns0:t>ROM OK</ns0:t>
        </ns0:is>
      </ns0:c>
      <ns0:c r="P139">
        <ns0:f>IF(AND(E139="FETCH",F139="0x00000048"),C139-1,0)</ns0:f>
        <ns0:v>0</ns0:v>
      </ns0:c>
      <ns0:c r="Q139" s="15" t="inlineStr">
        <ns0:is>
          <ns0:t>E:0000000f:00010042:000000b4:04c0006f</ns0:t>
        </ns0:is>
      </ns0:c>
    </ns0:row>
    <ns0:row r="140">
      <ns0:c r="A140" t="n">
        <ns0:v>6</ns0:v>
      </ns0:c>
      <ns0:c r="B140" t="inlineStr">
        <ns0:is>
          <ns0:t>0</ns0:t>
        </ns0:is>
      </ns0:c>
      <ns0:c r="C140" t="n">
        <ns0:v>17</ns0:v>
      </ns0:c>
      <ns0:c r="D140" t="n">
        <ns0:v>70</ns0:v>
      </ns0:c>
      <ns0:c r="E140" s="14" t="inlineStr">
        <ns0:is>
          <ns0:t>FETCH</ns0:t>
        </ns0:is>
      </ns0:c>
      <ns0:c r="F140" s="15" t="inlineStr">
        <ns0:is>
          <ns0:t>0x00000100</ns0:t>
        </ns0:is>
      </ns0:c>
      <ns0:c r="G140" s="15" t="inlineStr">
        <ns0:is>
          <ns0:t>0x01D2A023</ns0:t>
        </ns0:is>
      </ns0:c>
      <ns0:c r="H140" s="15" t="inlineStr">
        <ns0:is>
          <ns0:t>sw t4, 0(t0)</ns0:t>
        </ns0:is>
      </ns0:c>
      <ns0:c r="I140" t="inlineStr">
        <ns0:is>
          <ns0:t>sw</ns0:t>
        </ns0:is>
      </ns0:c>
      <ns0:c r="J140" t="inlineStr">
        <ns0:is>
          <ns0:t>CORE</ns0:t>
        </ns0:is>
      </ns0:c>
      <ns0:c r="K140" s="15" t="n">
        <ns0:v>6017</ns0:v>
      </ns0:c>
      <ns0:c r="L140" t="inlineStr">
        <ns0:is>
          <ns0:t>FETCH|0x00000100|0x01D2A023</ns0:t>
        </ns0:is>
      </ns0:c>
      <ns0:c r="M140" t="inlineStr">
        <ns0:is>
          <ns0:t>sw@0x00000100</ns0:t>
        </ns0:is>
      </ns0:c>
      <ns0:c r="N140">
        <ns0:f>IF(E140="FETCH",IF(COUNTIF($M$6:M140,M140)=1,1,0),0)</ns0:f>
        <ns0:v>0</ns0:v>
      </ns0:c>
      <ns0:c r="O140" t="inlineStr">
        <ns0:is>
          <ns0:t>ROM OK</ns0:t>
        </ns0:is>
      </ns0:c>
      <ns0:c r="P140">
        <ns0:f>IF(AND(E140="FETCH",F140="0x00000048"),C140-1,0)</ns0:f>
        <ns0:v>0</ns0:v>
      </ns0:c>
      <ns0:c r="Q140" s="15" t="inlineStr">
        <ns0:is>
          <ns0:t>E:00000010:00010046:00000100:01d2a023</ns0:t>
        </ns0:is>
      </ns0:c>
    </ns0:row>
    <ns0:row r="141">
      <ns0:c r="A141" t="n">
        <ns0:v>6</ns0:v>
      </ns0:c>
      <ns0:c r="B141" t="inlineStr">
        <ns0:is>
          <ns0:t>0</ns0:t>
        </ns0:is>
      </ns0:c>
      <ns0:c r="C141" t="n">
        <ns0:v>18</ns0:v>
      </ns0:c>
      <ns0:c r="D141" t="n">
        <ns0:v>74</ns0:v>
      </ns0:c>
      <ns0:c r="E141" s="14" t="inlineStr">
        <ns0:is>
          <ns0:t>FETCH</ns0:t>
        </ns0:is>
      </ns0:c>
      <ns0:c r="F141" s="15" t="inlineStr">
        <ns0:is>
          <ns0:t>0x00000104</ns0:t>
        </ns0:is>
      </ns0:c>
      <ns0:c r="G141" s="15" t="inlineStr">
        <ns0:is>
          <ns0:t>0x0002AF83</ns0:t>
        </ns0:is>
      </ns0:c>
      <ns0:c r="H141" s="15" t="inlineStr">
        <ns0:is>
          <ns0:t>lw t6, 0(t0)</ns0:t>
        </ns0:is>
      </ns0:c>
      <ns0:c r="I141" t="inlineStr">
        <ns0:is>
          <ns0:t>lw</ns0:t>
        </ns0:is>
      </ns0:c>
      <ns0:c r="J141" t="inlineStr">
        <ns0:is>
          <ns0:t>CORE</ns0:t>
        </ns0:is>
      </ns0:c>
      <ns0:c r="K141" s="15" t="n">
        <ns0:v>6018</ns0:v>
      </ns0:c>
      <ns0:c r="L141" t="inlineStr">
        <ns0:is>
          <ns0:t>FETCH|0x00000104|0x0002AF83</ns0:t>
        </ns0:is>
      </ns0:c>
      <ns0:c r="M141" t="inlineStr">
        <ns0:is>
          <ns0:t>lw@0x00000104</ns0:t>
        </ns0:is>
      </ns0:c>
      <ns0:c r="N141">
        <ns0:f>IF(E141="FETCH",IF(COUNTIF($M$6:M141,M141)=1,1,0),0)</ns0:f>
        <ns0:v>0</ns0:v>
      </ns0:c>
      <ns0:c r="O141" t="inlineStr">
        <ns0:is>
          <ns0:t>ROM OK</ns0:t>
        </ns0:is>
      </ns0:c>
      <ns0:c r="P141">
        <ns0:f>IF(AND(E141="FETCH",F141="0x00000048"),C141-1,0)</ns0:f>
        <ns0:v>0</ns0:v>
      </ns0:c>
      <ns0:c r="Q141" s="15" t="inlineStr">
        <ns0:is>
          <ns0:t>E:00000011:0001004a:00000104:0002af83</ns0:t>
        </ns0:is>
      </ns0:c>
    </ns0:row>
    <ns0:row r="142">
      <ns0:c r="A142" s="17" t="n">
        <ns0:v>6</ns0:v>
      </ns0:c>
      <ns0:c r="B142" s="17" t="inlineStr">
        <ns0:is>
          <ns0:t>0</ns0:t>
        </ns0:is>
      </ns0:c>
      <ns0:c r="C142" s="17" t="n">
        <ns0:v>19</ns0:v>
      </ns0:c>
      <ns0:c r="D142" s="17" t="n">
        <ns0:v>77</ns0:v>
      </ns0:c>
      <ns0:c r="E142" s="18" t="inlineStr">
        <ns0:is>
          <ns0:t>LED_WRITE</ns0:t>
        </ns0:is>
      </ns0:c>
      <ns0:c r="F142" s="19" t="inlineStr">
        <ns0:is>
          <ns0:t>0x20000000</ns0:t>
        </ns0:is>
      </ns0:c>
      <ns0:c r="G142" s="19" t="inlineStr">
        <ns0:is>
          <ns0:t>0x00000000</ns0:t>
        </ns0:is>
      </ns0:c>
      <ns0:c r="H142" s="19" t="inlineStr">
        <ns0:is>
          <ns0:t>MMIO GPIO write</ns0:t>
        </ns0:is>
      </ns0:c>
      <ns0:c r="I142" s="17" t="inlineStr">
        <ns0:is>
          <ns0:t>LED_WRITE</ns0:t>
        </ns0:is>
      </ns0:c>
      <ns0:c r="J142" s="17" t="inlineStr">
        <ns0:is>
          <ns0:t>MMIO</ns0:t>
        </ns0:is>
      </ns0:c>
      <ns0:c r="K142" s="19" t="n">
        <ns0:v>6019</ns0:v>
      </ns0:c>
      <ns0:c r="L142" s="17" t="inlineStr">
        <ns0:is>
          <ns0:t>LED_WRITE|0x20000000|0x00000000</ns0:t>
        </ns0:is>
      </ns0:c>
      <ns0:c r="M142" s="17" t="inlineStr"/>
      <ns0:c r="N142" s="17">
        <ns0:f>IF(E142="FETCH",IF(COUNTIF($M$6:M142,M142)=1,1,0),0)</ns0:f>
        <ns0:v>0</ns0:v>
      </ns0:c>
      <ns0:c r="O142" s="17" t="inlineStr">
        <ns0:is>
          <ns0:t>MMIO OK</ns0:t>
        </ns0:is>
      </ns0:c>
      <ns0:c r="P142" s="17">
        <ns0:f>IF(AND(E142="FETCH",F142="0x00000048"),C142-1,0)</ns0:f>
        <ns0:v>0</ns0:v>
      </ns0:c>
      <ns0:c r="Q142" s="19" t="inlineStr">
        <ns0:is>
          <ns0:t>E:00000012:0002004d:20000000:00000000</ns0:t>
        </ns0:is>
      </ns0:c>
    </ns0:row>
    <ns0:row r="143">
      <ns0:c r="A143" t="n">
        <ns0:v>7</ns0:v>
      </ns0:c>
      <ns0:c r="B143" t="inlineStr">
        <ns0:is>
          <ns0:t>4</ns0:t>
        </ns0:is>
      </ns0:c>
      <ns0:c r="C143" t="n">
        <ns0:v>1</ns0:v>
      </ns0:c>
      <ns0:c r="D143" t="n">
        <ns0:v>1</ns0:v>
      </ns0:c>
      <ns0:c r="E143" s="14" t="inlineStr">
        <ns0:is>
          <ns0:t>FETCH</ns0:t>
        </ns0:is>
      </ns0:c>
      <ns0:c r="F143" s="15" t="inlineStr">
        <ns0:is>
          <ns0:t>0x00000044</ns0:t>
        </ns0:is>
      </ns0:c>
      <ns0:c r="G143" s="15" t="inlineStr">
        <ns0:is>
          <ns0:t>0x0182AE03</ns0:t>
        </ns0:is>
      </ns0:c>
      <ns0:c r="H143" s="15" t="inlineStr">
        <ns0:is>
          <ns0:t>lw t3, 24(t0)</ns0:t>
        </ns0:is>
      </ns0:c>
      <ns0:c r="I143" t="inlineStr">
        <ns0:is>
          <ns0:t>lw</ns0:t>
        </ns0:is>
      </ns0:c>
      <ns0:c r="J143" s="16" t="inlineStr">
        <ns0:is>
          <ns0:t>POLL</ns0:t>
        </ns0:is>
      </ns0:c>
      <ns0:c r="K143" s="15" t="n">
        <ns0:v>7001</ns0:v>
      </ns0:c>
      <ns0:c r="L143" t="inlineStr">
        <ns0:is>
          <ns0:t>FETCH|0x00000044|0x0182AE03</ns0:t>
        </ns0:is>
      </ns0:c>
      <ns0:c r="M143" t="inlineStr">
        <ns0:is>
          <ns0:t>lw@0x00000044</ns0:t>
        </ns0:is>
      </ns0:c>
      <ns0:c r="N143">
        <ns0:f>IF(E143="FETCH",IF(COUNTIF($M$6:M143,M143)=1,1,0),0)</ns0:f>
        <ns0:v>0</ns0:v>
      </ns0:c>
      <ns0:c r="O143" t="inlineStr">
        <ns0:is>
          <ns0:t>ROM OK</ns0:t>
        </ns0:is>
      </ns0:c>
      <ns0:c r="P143">
        <ns0:f>IF(AND(E143="FETCH",F143="0x00000048"),C143-1,0)</ns0:f>
        <ns0:v>0</ns0:v>
      </ns0:c>
      <ns0:c r="Q143" s="15" t="inlineStr">
        <ns0:is>
          <ns0:t>E:00000000:00010001:00000044:0182ae03</ns0:t>
        </ns0:is>
      </ns0:c>
    </ns0:row>
    <ns0:row r="144">
      <ns0:c r="A144" t="n">
        <ns0:v>7</ns0:v>
      </ns0:c>
      <ns0:c r="B144" t="inlineStr">
        <ns0:is>
          <ns0:t>4</ns0:t>
        </ns0:is>
      </ns0:c>
      <ns0:c r="C144" t="n">
        <ns0:v>2</ns0:v>
      </ns0:c>
      <ns0:c r="D144" t="n">
        <ns0:v>4</ns0:v>
      </ns0:c>
      <ns0:c r="E144" s="14" t="inlineStr">
        <ns0:is>
          <ns0:t>FETCH</ns0:t>
        </ns0:is>
      </ns0:c>
      <ns0:c r="F144" s="15" t="inlineStr">
        <ns0:is>
          <ns0:t>0x00000038</ns0:t>
        </ns0:is>
      </ns0:c>
      <ns0:c r="G144" s="15" t="inlineStr">
        <ns0:is>
          <ns0:t>0x01C2A383</ns0:t>
        </ns0:is>
      </ns0:c>
      <ns0:c r="H144" s="15" t="inlineStr">
        <ns0:is>
          <ns0:t>lw t2, 28(t0)</ns0:t>
        </ns0:is>
      </ns0:c>
      <ns0:c r="I144" t="inlineStr">
        <ns0:is>
          <ns0:t>lw</ns0:t>
        </ns0:is>
      </ns0:c>
      <ns0:c r="J144" s="16" t="inlineStr">
        <ns0:is>
          <ns0:t>POLL</ns0:t>
        </ns0:is>
      </ns0:c>
      <ns0:c r="K144" s="15" t="n">
        <ns0:v>7002</ns0:v>
      </ns0:c>
      <ns0:c r="L144" t="inlineStr">
        <ns0:is>
          <ns0:t>FETCH|0x00000038|0x01C2A383</ns0:t>
        </ns0:is>
      </ns0:c>
      <ns0:c r="M144" t="inlineStr">
        <ns0:is>
          <ns0:t>lw@0x00000038</ns0:t>
        </ns0:is>
      </ns0:c>
      <ns0:c r="N144">
        <ns0:f>IF(E144="FETCH",IF(COUNTIF($M$6:M144,M144)=1,1,0),0)</ns0:f>
        <ns0:v>0</ns0:v>
      </ns0:c>
      <ns0:c r="O144" t="inlineStr">
        <ns0:is>
          <ns0:t>ROM OK</ns0:t>
        </ns0:is>
      </ns0:c>
      <ns0:c r="P144">
        <ns0:f>IF(AND(E144="FETCH",F144="0x00000048"),C144-1,0)</ns0:f>
        <ns0:v>0</ns0:v>
      </ns0:c>
      <ns0:c r="Q144" s="15" t="inlineStr">
        <ns0:is>
          <ns0:t>E:00000001:00010004:00000038:01c2a383</ns0:t>
        </ns0:is>
      </ns0:c>
    </ns0:row>
    <ns0:row r="145">
      <ns0:c r="A145" t="n">
        <ns0:v>7</ns0:v>
      </ns0:c>
      <ns0:c r="B145" t="inlineStr">
        <ns0:is>
          <ns0:t>4</ns0:t>
        </ns0:is>
      </ns0:c>
      <ns0:c r="C145" t="n">
        <ns0:v>3</ns0:v>
      </ns0:c>
      <ns0:c r="D145" t="n">
        <ns0:v>8</ns0:v>
      </ns0:c>
      <ns0:c r="E145" s="14" t="inlineStr">
        <ns0:is>
          <ns0:t>FETCH</ns0:t>
        </ns0:is>
      </ns0:c>
      <ns0:c r="F145" s="15" t="inlineStr">
        <ns0:is>
          <ns0:t>0x0000003C</ns0:t>
        </ns0:is>
      </ns0:c>
      <ns0:c r="G145" s="15" t="inlineStr">
        <ns0:is>
          <ns0:t>0x0013F393</ns0:t>
        </ns0:is>
      </ns0:c>
      <ns0:c r="H145" s="15" t="inlineStr">
        <ns0:is>
          <ns0:t>andi t2, t2, 1</ns0:t>
        </ns0:is>
      </ns0:c>
      <ns0:c r="I145" t="inlineStr">
        <ns0:is>
          <ns0:t>andi</ns0:t>
        </ns0:is>
      </ns0:c>
      <ns0:c r="J145" s="16" t="inlineStr">
        <ns0:is>
          <ns0:t>POLL</ns0:t>
        </ns0:is>
      </ns0:c>
      <ns0:c r="K145" s="15" t="n">
        <ns0:v>7003</ns0:v>
      </ns0:c>
      <ns0:c r="L145" t="inlineStr">
        <ns0:is>
          <ns0:t>FETCH|0x0000003C|0x0013F393</ns0:t>
        </ns0:is>
      </ns0:c>
      <ns0:c r="M145" t="inlineStr">
        <ns0:is>
          <ns0:t>andi@0x0000003C</ns0:t>
        </ns0:is>
      </ns0:c>
      <ns0:c r="N145">
        <ns0:f>IF(E145="FETCH",IF(COUNTIF($M$6:M145,M145)=1,1,0),0)</ns0:f>
        <ns0:v>0</ns0:v>
      </ns0:c>
      <ns0:c r="O145" t="inlineStr">
        <ns0:is>
          <ns0:t>ROM OK</ns0:t>
        </ns0:is>
      </ns0:c>
      <ns0:c r="P145">
        <ns0:f>IF(AND(E145="FETCH",F145="0x00000048"),C145-1,0)</ns0:f>
        <ns0:v>0</ns0:v>
      </ns0:c>
      <ns0:c r="Q145" s="15" t="inlineStr">
        <ns0:is>
          <ns0:t>E:00000002:00010008:0000003c:0013f393</ns0:t>
        </ns0:is>
      </ns0:c>
    </ns0:row>
    <ns0:row r="146">
      <ns0:c r="A146" t="n">
        <ns0:v>7</ns0:v>
      </ns0:c>
      <ns0:c r="B146" t="inlineStr">
        <ns0:is>
          <ns0:t>4</ns0:t>
        </ns0:is>
      </ns0:c>
      <ns0:c r="C146" t="n">
        <ns0:v>4</ns0:v>
      </ns0:c>
      <ns0:c r="D146" t="n">
        <ns0:v>15</ns0:v>
      </ns0:c>
      <ns0:c r="E146" s="14" t="inlineStr">
        <ns0:is>
          <ns0:t>FETCH</ns0:t>
        </ns0:is>
      </ns0:c>
      <ns0:c r="F146" s="15" t="inlineStr">
        <ns0:is>
          <ns0:t>0x00000040</ns0:t>
        </ns0:is>
      </ns0:c>
      <ns0:c r="G146" s="15" t="inlineStr">
        <ns0:is>
          <ns0:t>0xFE038CE3</ns0:t>
        </ns0:is>
      </ns0:c>
      <ns0:c r="H146" s="15" t="inlineStr">
        <ns0:is>
          <ns0:t>beq t2, zero, 0x00000038</ns0:t>
        </ns0:is>
      </ns0:c>
      <ns0:c r="I146" t="inlineStr">
        <ns0:is>
          <ns0:t>beq</ns0:t>
        </ns0:is>
      </ns0:c>
      <ns0:c r="J146" s="16" t="inlineStr">
        <ns0:is>
          <ns0:t>POLL</ns0:t>
        </ns0:is>
      </ns0:c>
      <ns0:c r="K146" s="15" t="n">
        <ns0:v>7004</ns0:v>
      </ns0:c>
      <ns0:c r="L146" t="inlineStr">
        <ns0:is>
          <ns0:t>FETCH|0x00000040|0xFE038CE3</ns0:t>
        </ns0:is>
      </ns0:c>
      <ns0:c r="M146" t="inlineStr">
        <ns0:is>
          <ns0:t>beq@0x00000040</ns0:t>
        </ns0:is>
      </ns0:c>
      <ns0:c r="N146">
        <ns0:f>IF(E146="FETCH",IF(COUNTIF($M$6:M146,M146)=1,1,0),0)</ns0:f>
        <ns0:v>0</ns0:v>
      </ns0:c>
      <ns0:c r="O146" t="inlineStr">
        <ns0:is>
          <ns0:t>ROM OK</ns0:t>
        </ns0:is>
      </ns0:c>
      <ns0:c r="P146">
        <ns0:f>IF(AND(E146="FETCH",F146="0x00000048"),C146-1,0)</ns0:f>
        <ns0:v>0</ns0:v>
      </ns0:c>
      <ns0:c r="Q146" s="15" t="inlineStr">
        <ns0:is>
          <ns0:t>E:00000003:0001000f:00000040:fe038ce3</ns0:t>
        </ns0:is>
      </ns0:c>
    </ns0:row>
    <ns0:row r="147">
      <ns0:c r="A147" t="n">
        <ns0:v>7</ns0:v>
      </ns0:c>
      <ns0:c r="B147" t="inlineStr">
        <ns0:is>
          <ns0:t>4</ns0:t>
        </ns0:is>
      </ns0:c>
      <ns0:c r="C147" t="n">
        <ns0:v>5</ns0:v>
      </ns0:c>
      <ns0:c r="D147" t="n">
        <ns0:v>19</ns0:v>
      </ns0:c>
      <ns0:c r="E147" s="14" t="inlineStr">
        <ns0:is>
          <ns0:t>FETCH</ns0:t>
        </ns0:is>
      </ns0:c>
      <ns0:c r="F147" s="15" t="inlineStr">
        <ns0:is>
          <ns0:t>0x00000044</ns0:t>
        </ns0:is>
      </ns0:c>
      <ns0:c r="G147" s="15" t="inlineStr">
        <ns0:is>
          <ns0:t>0x0182AE03</ns0:t>
        </ns0:is>
      </ns0:c>
      <ns0:c r="H147" s="15" t="inlineStr">
        <ns0:is>
          <ns0:t>lw t3, 24(t0)</ns0:t>
        </ns0:is>
      </ns0:c>
      <ns0:c r="I147" t="inlineStr">
        <ns0:is>
          <ns0:t>lw</ns0:t>
        </ns0:is>
      </ns0:c>
      <ns0:c r="J147" s="16" t="inlineStr">
        <ns0:is>
          <ns0:t>POLL</ns0:t>
        </ns0:is>
      </ns0:c>
      <ns0:c r="K147" s="15" t="n">
        <ns0:v>7005</ns0:v>
      </ns0:c>
      <ns0:c r="L147" t="inlineStr">
        <ns0:is>
          <ns0:t>FETCH|0x00000044|0x0182AE03</ns0:t>
        </ns0:is>
      </ns0:c>
      <ns0:c r="M147" t="inlineStr">
        <ns0:is>
          <ns0:t>lw@0x00000044</ns0:t>
        </ns0:is>
      </ns0:c>
      <ns0:c r="N147">
        <ns0:f>IF(E147="FETCH",IF(COUNTIF($M$6:M147,M147)=1,1,0),0)</ns0:f>
        <ns0:v>0</ns0:v>
      </ns0:c>
      <ns0:c r="O147" t="inlineStr">
        <ns0:is>
          <ns0:t>ROM OK</ns0:t>
        </ns0:is>
      </ns0:c>
      <ns0:c r="P147">
        <ns0:f>IF(AND(E147="FETCH",F147="0x00000048"),C147-1,0)</ns0:f>
        <ns0:v>0</ns0:v>
      </ns0:c>
      <ns0:c r="Q147" s="15" t="inlineStr">
        <ns0:is>
          <ns0:t>E:00000004:00010013:00000044:0182ae03</ns0:t>
        </ns0:is>
      </ns0:c>
    </ns0:row>
    <ns0:row r="148">
      <ns0:c r="A148" t="n">
        <ns0:v>7</ns0:v>
      </ns0:c>
      <ns0:c r="B148" t="inlineStr">
        <ns0:is>
          <ns0:t>4</ns0:t>
        </ns0:is>
      </ns0:c>
      <ns0:c r="C148" t="n">
        <ns0:v>6</ns0:v>
      </ns0:c>
      <ns0:c r="D148" t="n">
        <ns0:v>23</ns0:v>
      </ns0:c>
      <ns0:c r="E148" s="14" t="inlineStr">
        <ns0:is>
          <ns0:t>FETCH</ns0:t>
        </ns0:is>
      </ns0:c>
      <ns0:c r="F148" s="15" t="inlineStr">
        <ns0:is>
          <ns0:t>0x00000048</ns0:t>
        </ns0:is>
      </ns0:c>
      <ns0:c r="G148" s="15" t="inlineStr">
        <ns0:is>
          <ns0:t>0x05400413</ns0:t>
        </ns0:is>
      </ns0:c>
      <ns0:c r="H148" s="15" t="inlineStr">
        <ns0:is>
          <ns0:t>addi s0, zero, 84</ns0:t>
        </ns0:is>
      </ns0:c>
      <ns0:c r="I148" t="inlineStr">
        <ns0:is>
          <ns0:t>addi</ns0:t>
        </ns0:is>
      </ns0:c>
      <ns0:c r="J148" t="inlineStr">
        <ns0:is>
          <ns0:t>CORE</ns0:t>
        </ns0:is>
      </ns0:c>
      <ns0:c r="K148" s="15" t="n">
        <ns0:v>7006</ns0:v>
      </ns0:c>
      <ns0:c r="L148" t="inlineStr">
        <ns0:is>
          <ns0:t>FETCH|0x00000048|0x05400413</ns0:t>
        </ns0:is>
      </ns0:c>
      <ns0:c r="M148" t="inlineStr">
        <ns0:is>
          <ns0:t>addi@0x00000048</ns0:t>
        </ns0:is>
      </ns0:c>
      <ns0:c r="N148">
        <ns0:f>IF(E148="FETCH",IF(COUNTIF($M$6:M148,M148)=1,1,0),0)</ns0:f>
        <ns0:v>0</ns0:v>
      </ns0:c>
      <ns0:c r="O148" t="inlineStr">
        <ns0:is>
          <ns0:t>ROM OK</ns0:t>
        </ns0:is>
      </ns0:c>
      <ns0:c r="P148">
        <ns0:f>IF(AND(E148="FETCH",F148="0x00000048"),C148-1,0)</ns0:f>
        <ns0:v>5</ns0:v>
      </ns0:c>
      <ns0:c r="Q148" s="15" t="inlineStr">
        <ns0:is>
          <ns0:t>E:00000005:00010017:00000048:05400413</ns0:t>
        </ns0:is>
      </ns0:c>
    </ns0:row>
    <ns0:row r="149">
      <ns0:c r="A149" t="n">
        <ns0:v>7</ns0:v>
      </ns0:c>
      <ns0:c r="B149" t="inlineStr">
        <ns0:is>
          <ns0:t>4</ns0:t>
        </ns0:is>
      </ns0:c>
      <ns0:c r="C149" t="n">
        <ns0:v>7</ns0:v>
      </ns0:c>
      <ns0:c r="D149" t="n">
        <ns0:v>30</ns0:v>
      </ns0:c>
      <ns0:c r="E149" s="14" t="inlineStr">
        <ns0:is>
          <ns0:t>FETCH</ns0:t>
        </ns0:is>
      </ns0:c>
      <ns0:c r="F149" s="15" t="inlineStr">
        <ns0:is>
          <ns0:t>0x0000004C</ns0:t>
        </ns0:is>
      </ns0:c>
      <ns0:c r="G149" s="15" t="inlineStr">
        <ns0:is>
          <ns0:t>0x1A8E0063</ns0:t>
        </ns0:is>
      </ns0:c>
      <ns0:c r="H149" s="15" t="inlineStr">
        <ns0:is>
          <ns0:t>beq t3, s0, 0x000001EC</ns0:t>
        </ns0:is>
      </ns0:c>
      <ns0:c r="I149" t="inlineStr">
        <ns0:is>
          <ns0:t>beq</ns0:t>
        </ns0:is>
      </ns0:c>
      <ns0:c r="J149" t="inlineStr">
        <ns0:is>
          <ns0:t>CORE</ns0:t>
        </ns0:is>
      </ns0:c>
      <ns0:c r="K149" s="15" t="n">
        <ns0:v>7007</ns0:v>
      </ns0:c>
      <ns0:c r="L149" t="inlineStr">
        <ns0:is>
          <ns0:t>FETCH|0x0000004C|0x1A8E0063</ns0:t>
        </ns0:is>
      </ns0:c>
      <ns0:c r="M149" t="inlineStr">
        <ns0:is>
          <ns0:t>beq@0x0000004C</ns0:t>
        </ns0:is>
      </ns0:c>
      <ns0:c r="N149">
        <ns0:f>IF(E149="FETCH",IF(COUNTIF($M$6:M149,M149)=1,1,0),0)</ns0:f>
        <ns0:v>0</ns0:v>
      </ns0:c>
      <ns0:c r="O149" t="inlineStr">
        <ns0:is>
          <ns0:t>ROM OK</ns0:t>
        </ns0:is>
      </ns0:c>
      <ns0:c r="P149">
        <ns0:f>IF(AND(E149="FETCH",F149="0x00000048"),C149-1,0)</ns0:f>
        <ns0:v>0</ns0:v>
      </ns0:c>
      <ns0:c r="Q149" s="15" t="inlineStr">
        <ns0:is>
          <ns0:t>E:00000006:0001001e:0000004c:1a8e0063</ns0:t>
        </ns0:is>
      </ns0:c>
    </ns0:row>
    <ns0:row r="150">
      <ns0:c r="A150" t="n">
        <ns0:v>7</ns0:v>
      </ns0:c>
      <ns0:c r="B150" t="inlineStr">
        <ns0:is>
          <ns0:t>4</ns0:t>
        </ns0:is>
      </ns0:c>
      <ns0:c r="C150" t="n">
        <ns0:v>8</ns0:v>
      </ns0:c>
      <ns0:c r="D150" t="n">
        <ns0:v>34</ns0:v>
      </ns0:c>
      <ns0:c r="E150" s="14" t="inlineStr">
        <ns0:is>
          <ns0:t>FETCH</ns0:t>
        </ns0:is>
      </ns0:c>
      <ns0:c r="F150" s="15" t="inlineStr">
        <ns0:is>
          <ns0:t>0x00000050</ns0:t>
        </ns0:is>
      </ns0:c>
      <ns0:c r="G150" s="15" t="inlineStr">
        <ns0:is>
          <ns0:t>0x04300413</ns0:t>
        </ns0:is>
      </ns0:c>
      <ns0:c r="H150" s="15" t="inlineStr">
        <ns0:is>
          <ns0:t>addi s0, zero, 67</ns0:t>
        </ns0:is>
      </ns0:c>
      <ns0:c r="I150" t="inlineStr">
        <ns0:is>
          <ns0:t>addi</ns0:t>
        </ns0:is>
      </ns0:c>
      <ns0:c r="J150" t="inlineStr">
        <ns0:is>
          <ns0:t>CORE</ns0:t>
        </ns0:is>
      </ns0:c>
      <ns0:c r="K150" s="15" t="n">
        <ns0:v>7008</ns0:v>
      </ns0:c>
      <ns0:c r="L150" t="inlineStr">
        <ns0:is>
          <ns0:t>FETCH|0x00000050|0x04300413</ns0:t>
        </ns0:is>
      </ns0:c>
      <ns0:c r="M150" t="inlineStr">
        <ns0:is>
          <ns0:t>addi@0x00000050</ns0:t>
        </ns0:is>
      </ns0:c>
      <ns0:c r="N150">
        <ns0:f>IF(E150="FETCH",IF(COUNTIF($M$6:M150,M150)=1,1,0),0)</ns0:f>
        <ns0:v>0</ns0:v>
      </ns0:c>
      <ns0:c r="O150" t="inlineStr">
        <ns0:is>
          <ns0:t>ROM OK</ns0:t>
        </ns0:is>
      </ns0:c>
      <ns0:c r="P150">
        <ns0:f>IF(AND(E150="FETCH",F150="0x00000048"),C150-1,0)</ns0:f>
        <ns0:v>0</ns0:v>
      </ns0:c>
      <ns0:c r="Q150" s="15" t="inlineStr">
        <ns0:is>
          <ns0:t>E:00000007:00010022:00000050:04300413</ns0:t>
        </ns0:is>
      </ns0:c>
    </ns0:row>
    <ns0:row r="151">
      <ns0:c r="A151" t="n">
        <ns0:v>7</ns0:v>
      </ns0:c>
      <ns0:c r="B151" t="inlineStr">
        <ns0:is>
          <ns0:t>4</ns0:t>
        </ns0:is>
      </ns0:c>
      <ns0:c r="C151" t="n">
        <ns0:v>9</ns0:v>
      </ns0:c>
      <ns0:c r="D151" t="n">
        <ns0:v>38</ns0:v>
      </ns0:c>
      <ns0:c r="E151" s="14" t="inlineStr">
        <ns0:is>
          <ns0:t>FETCH</ns0:t>
        </ns0:is>
      </ns0:c>
      <ns0:c r="F151" s="15" t="inlineStr">
        <ns0:is>
          <ns0:t>0x00000054</ns0:t>
        </ns0:is>
      </ns0:c>
      <ns0:c r="G151" s="15" t="inlineStr">
        <ns0:is>
          <ns0:t>0x188E0063</ns0:t>
        </ns0:is>
      </ns0:c>
      <ns0:c r="H151" s="15" t="inlineStr">
        <ns0:is>
          <ns0:t>beq t3, s0, 0x000001D4</ns0:t>
        </ns0:is>
      </ns0:c>
      <ns0:c r="I151" t="inlineStr">
        <ns0:is>
          <ns0:t>beq</ns0:t>
        </ns0:is>
      </ns0:c>
      <ns0:c r="J151" t="inlineStr">
        <ns0:is>
          <ns0:t>CORE</ns0:t>
        </ns0:is>
      </ns0:c>
      <ns0:c r="K151" s="15" t="n">
        <ns0:v>7009</ns0:v>
      </ns0:c>
      <ns0:c r="L151" t="inlineStr">
        <ns0:is>
          <ns0:t>FETCH|0x00000054|0x188E0063</ns0:t>
        </ns0:is>
      </ns0:c>
      <ns0:c r="M151" t="inlineStr">
        <ns0:is>
          <ns0:t>beq@0x00000054</ns0:t>
        </ns0:is>
      </ns0:c>
      <ns0:c r="N151">
        <ns0:f>IF(E151="FETCH",IF(COUNTIF($M$6:M151,M151)=1,1,0),0)</ns0:f>
        <ns0:v>0</ns0:v>
      </ns0:c>
      <ns0:c r="O151" t="inlineStr">
        <ns0:is>
          <ns0:t>ROM OK</ns0:t>
        </ns0:is>
      </ns0:c>
      <ns0:c r="P151">
        <ns0:f>IF(AND(E151="FETCH",F151="0x00000048"),C151-1,0)</ns0:f>
        <ns0:v>0</ns0:v>
      </ns0:c>
      <ns0:c r="Q151" s="15" t="inlineStr">
        <ns0:is>
          <ns0:t>E:00000008:00010026:00000054:188e0063</ns0:t>
        </ns0:is>
      </ns0:c>
    </ns0:row>
    <ns0:row r="152">
      <ns0:c r="A152" t="n">
        <ns0:v>7</ns0:v>
      </ns0:c>
      <ns0:c r="B152" t="inlineStr">
        <ns0:is>
          <ns0:t>4</ns0:t>
        </ns0:is>
      </ns0:c>
      <ns0:c r="C152" t="n">
        <ns0:v>10</ns0:v>
      </ns0:c>
      <ns0:c r="D152" t="n">
        <ns0:v>42</ns0:v>
      </ns0:c>
      <ns0:c r="E152" s="14" t="inlineStr">
        <ns0:is>
          <ns0:t>FETCH</ns0:t>
        </ns0:is>
      </ns0:c>
      <ns0:c r="F152" s="15" t="inlineStr">
        <ns0:is>
          <ns0:t>0x00000058</ns0:t>
        </ns0:is>
      </ns0:c>
      <ns0:c r="G152" s="15" t="inlineStr">
        <ns0:is>
          <ns0:t>0x03F00413</ns0:t>
        </ns0:is>
      </ns0:c>
      <ns0:c r="H152" s="15" t="inlineStr">
        <ns0:is>
          <ns0:t>addi s0, zero, 63</ns0:t>
        </ns0:is>
      </ns0:c>
      <ns0:c r="I152" t="inlineStr">
        <ns0:is>
          <ns0:t>addi</ns0:t>
        </ns0:is>
      </ns0:c>
      <ns0:c r="J152" t="inlineStr">
        <ns0:is>
          <ns0:t>CORE</ns0:t>
        </ns0:is>
      </ns0:c>
      <ns0:c r="K152" s="15" t="n">
        <ns0:v>7010</ns0:v>
      </ns0:c>
      <ns0:c r="L152" t="inlineStr">
        <ns0:is>
          <ns0:t>FETCH|0x00000058|0x03F00413</ns0:t>
        </ns0:is>
      </ns0:c>
      <ns0:c r="M152" t="inlineStr">
        <ns0:is>
          <ns0:t>addi@0x00000058</ns0:t>
        </ns0:is>
      </ns0:c>
      <ns0:c r="N152">
        <ns0:f>IF(E152="FETCH",IF(COUNTIF($M$6:M152,M152)=1,1,0),0)</ns0:f>
        <ns0:v>0</ns0:v>
      </ns0:c>
      <ns0:c r="O152" t="inlineStr">
        <ns0:is>
          <ns0:t>ROM OK</ns0:t>
        </ns0:is>
      </ns0:c>
      <ns0:c r="P152">
        <ns0:f>IF(AND(E152="FETCH",F152="0x00000048"),C152-1,0)</ns0:f>
        <ns0:v>0</ns0:v>
      </ns0:c>
      <ns0:c r="Q152" s="15" t="inlineStr">
        <ns0:is>
          <ns0:t>E:00000009:0001002a:00000058:03f00413</ns0:t>
        </ns0:is>
      </ns0:c>
    </ns0:row>
    <ns0:row r="153">
      <ns0:c r="A153" t="n">
        <ns0:v>7</ns0:v>
      </ns0:c>
      <ns0:c r="B153" t="inlineStr">
        <ns0:is>
          <ns0:t>4</ns0:t>
        </ns0:is>
      </ns0:c>
      <ns0:c r="C153" t="n">
        <ns0:v>11</ns0:v>
      </ns0:c>
      <ns0:c r="D153" t="n">
        <ns0:v>46</ns0:v>
      </ns0:c>
      <ns0:c r="E153" s="14" t="inlineStr">
        <ns0:is>
          <ns0:t>FETCH</ns0:t>
        </ns0:is>
      </ns0:c>
      <ns0:c r="F153" s="15" t="inlineStr">
        <ns0:is>
          <ns0:t>0x0000005C</ns0:t>
        </ns0:is>
      </ns0:c>
      <ns0:c r="G153" s="15" t="inlineStr">
        <ns0:is>
          <ns0:t>0x0A8E0A63</ns0:t>
        </ns0:is>
      </ns0:c>
      <ns0:c r="H153" s="15" t="inlineStr">
        <ns0:is>
          <ns0:t>beq t3, s0, 0x00000110</ns0:t>
        </ns0:is>
      </ns0:c>
      <ns0:c r="I153" t="inlineStr">
        <ns0:is>
          <ns0:t>beq</ns0:t>
        </ns0:is>
      </ns0:c>
      <ns0:c r="J153" t="inlineStr">
        <ns0:is>
          <ns0:t>CORE</ns0:t>
        </ns0:is>
      </ns0:c>
      <ns0:c r="K153" s="15" t="n">
        <ns0:v>7011</ns0:v>
      </ns0:c>
      <ns0:c r="L153" t="inlineStr">
        <ns0:is>
          <ns0:t>FETCH|0x0000005C|0x0A8E0A63</ns0:t>
        </ns0:is>
      </ns0:c>
      <ns0:c r="M153" t="inlineStr">
        <ns0:is>
          <ns0:t>beq@0x0000005C</ns0:t>
        </ns0:is>
      </ns0:c>
      <ns0:c r="N153">
        <ns0:f>IF(E153="FETCH",IF(COUNTIF($M$6:M153,M153)=1,1,0),0)</ns0:f>
        <ns0:v>0</ns0:v>
      </ns0:c>
      <ns0:c r="O153" t="inlineStr">
        <ns0:is>
          <ns0:t>ROM OK</ns0:t>
        </ns0:is>
      </ns0:c>
      <ns0:c r="P153">
        <ns0:f>IF(AND(E153="FETCH",F153="0x00000048"),C153-1,0)</ns0:f>
        <ns0:v>0</ns0:v>
      </ns0:c>
      <ns0:c r="Q153" s="15" t="inlineStr">
        <ns0:is>
          <ns0:t>E:0000000a:0001002e:0000005c:0a8e0a63</ns0:t>
        </ns0:is>
      </ns0:c>
    </ns0:row>
    <ns0:row r="154">
      <ns0:c r="A154" t="n">
        <ns0:v>7</ns0:v>
      </ns0:c>
      <ns0:c r="B154" t="inlineStr">
        <ns0:is>
          <ns0:t>4</ns0:t>
        </ns0:is>
      </ns0:c>
      <ns0:c r="C154" t="n">
        <ns0:v>12</ns0:v>
      </ns0:c>
      <ns0:c r="D154" t="n">
        <ns0:v>50</ns0:v>
      </ns0:c>
      <ns0:c r="E154" s="14" t="inlineStr">
        <ns0:is>
          <ns0:t>FETCH</ns0:t>
        </ns0:is>
      </ns0:c>
      <ns0:c r="F154" s="15" t="inlineStr">
        <ns0:is>
          <ns0:t>0x00000060</ns0:t>
        </ns0:is>
      </ns0:c>
      <ns0:c r="G154" s="15" t="inlineStr">
        <ns0:is>
          <ns0:t>0x03000413</ns0:t>
        </ns0:is>
      </ns0:c>
      <ns0:c r="H154" s="15" t="inlineStr">
        <ns0:is>
          <ns0:t>addi s0, zero, 48</ns0:t>
        </ns0:is>
      </ns0:c>
      <ns0:c r="I154" t="inlineStr">
        <ns0:is>
          <ns0:t>addi</ns0:t>
        </ns0:is>
      </ns0:c>
      <ns0:c r="J154" t="inlineStr">
        <ns0:is>
          <ns0:t>CORE</ns0:t>
        </ns0:is>
      </ns0:c>
      <ns0:c r="K154" s="15" t="n">
        <ns0:v>7012</ns0:v>
      </ns0:c>
      <ns0:c r="L154" t="inlineStr">
        <ns0:is>
          <ns0:t>FETCH|0x00000060|0x03000413</ns0:t>
        </ns0:is>
      </ns0:c>
      <ns0:c r="M154" t="inlineStr">
        <ns0:is>
          <ns0:t>addi@0x00000060</ns0:t>
        </ns0:is>
      </ns0:c>
      <ns0:c r="N154">
        <ns0:f>IF(E154="FETCH",IF(COUNTIF($M$6:M154,M154)=1,1,0),0)</ns0:f>
        <ns0:v>0</ns0:v>
      </ns0:c>
      <ns0:c r="O154" t="inlineStr">
        <ns0:is>
          <ns0:t>ROM OK</ns0:t>
        </ns0:is>
      </ns0:c>
      <ns0:c r="P154">
        <ns0:f>IF(AND(E154="FETCH",F154="0x00000048"),C154-1,0)</ns0:f>
        <ns0:v>0</ns0:v>
      </ns0:c>
      <ns0:c r="Q154" s="15" t="inlineStr">
        <ns0:is>
          <ns0:t>E:0000000b:00010032:00000060:03000413</ns0:t>
        </ns0:is>
      </ns0:c>
    </ns0:row>
    <ns0:row r="155">
      <ns0:c r="A155" t="n">
        <ns0:v>7</ns0:v>
      </ns0:c>
      <ns0:c r="B155" t="inlineStr">
        <ns0:is>
          <ns0:t>4</ns0:t>
        </ns0:is>
      </ns0:c>
      <ns0:c r="C155" t="n">
        <ns0:v>13</ns0:v>
      </ns0:c>
      <ns0:c r="D155" t="n">
        <ns0:v>54</ns0:v>
      </ns0:c>
      <ns0:c r="E155" s="14" t="inlineStr">
        <ns0:is>
          <ns0:t>FETCH</ns0:t>
        </ns0:is>
      </ns0:c>
      <ns0:c r="F155" s="15" t="inlineStr">
        <ns0:is>
          <ns0:t>0x00000064</ns0:t>
        </ns0:is>
      </ns0:c>
      <ns0:c r="G155" s="15" t="inlineStr">
        <ns0:is>
          <ns0:t>0x048E0463</ns0:t>
        </ns0:is>
      </ns0:c>
      <ns0:c r="H155" s="15" t="inlineStr">
        <ns0:is>
          <ns0:t>beq t3, s0, 0x000000AC</ns0:t>
        </ns0:is>
      </ns0:c>
      <ns0:c r="I155" t="inlineStr">
        <ns0:is>
          <ns0:t>beq</ns0:t>
        </ns0:is>
      </ns0:c>
      <ns0:c r="J155" t="inlineStr">
        <ns0:is>
          <ns0:t>CORE</ns0:t>
        </ns0:is>
      </ns0:c>
      <ns0:c r="K155" s="15" t="n">
        <ns0:v>7013</ns0:v>
      </ns0:c>
      <ns0:c r="L155" t="inlineStr">
        <ns0:is>
          <ns0:t>FETCH|0x00000064|0x048E0463</ns0:t>
        </ns0:is>
      </ns0:c>
      <ns0:c r="M155" t="inlineStr">
        <ns0:is>
          <ns0:t>beq@0x00000064</ns0:t>
        </ns0:is>
      </ns0:c>
      <ns0:c r="N155">
        <ns0:f>IF(E155="FETCH",IF(COUNTIF($M$6:M155,M155)=1,1,0),0)</ns0:f>
        <ns0:v>0</ns0:v>
      </ns0:c>
      <ns0:c r="O155" t="inlineStr">
        <ns0:is>
          <ns0:t>ROM OK</ns0:t>
        </ns0:is>
      </ns0:c>
      <ns0:c r="P155">
        <ns0:f>IF(AND(E155="FETCH",F155="0x00000048"),C155-1,0)</ns0:f>
        <ns0:v>0</ns0:v>
      </ns0:c>
      <ns0:c r="Q155" s="15" t="inlineStr">
        <ns0:is>
          <ns0:t>E:0000000c:00010036:00000064:048e0463</ns0:t>
        </ns0:is>
      </ns0:c>
    </ns0:row>
    <ns0:row r="156">
      <ns0:c r="A156" t="n">
        <ns0:v>7</ns0:v>
      </ns0:c>
      <ns0:c r="B156" t="inlineStr">
        <ns0:is>
          <ns0:t>4</ns0:t>
        </ns0:is>
      </ns0:c>
      <ns0:c r="C156" t="n">
        <ns0:v>14</ns0:v>
      </ns0:c>
      <ns0:c r="D156" t="n">
        <ns0:v>58</ns0:v>
      </ns0:c>
      <ns0:c r="E156" s="14" t="inlineStr">
        <ns0:is>
          <ns0:t>FETCH</ns0:t>
        </ns0:is>
      </ns0:c>
      <ns0:c r="F156" s="15" t="inlineStr">
        <ns0:is>
          <ns0:t>0x00000068</ns0:t>
        </ns0:is>
      </ns0:c>
      <ns0:c r="G156" s="15" t="inlineStr">
        <ns0:is>
          <ns0:t>0x03100413</ns0:t>
        </ns0:is>
      </ns0:c>
      <ns0:c r="H156" s="15" t="inlineStr">
        <ns0:is>
          <ns0:t>addi s0, zero, 49</ns0:t>
        </ns0:is>
      </ns0:c>
      <ns0:c r="I156" t="inlineStr">
        <ns0:is>
          <ns0:t>addi</ns0:t>
        </ns0:is>
      </ns0:c>
      <ns0:c r="J156" t="inlineStr">
        <ns0:is>
          <ns0:t>CORE</ns0:t>
        </ns0:is>
      </ns0:c>
      <ns0:c r="K156" s="15" t="n">
        <ns0:v>7014</ns0:v>
      </ns0:c>
      <ns0:c r="L156" t="inlineStr">
        <ns0:is>
          <ns0:t>FETCH|0x00000068|0x03100413</ns0:t>
        </ns0:is>
      </ns0:c>
      <ns0:c r="M156" t="inlineStr">
        <ns0:is>
          <ns0:t>addi@0x00000068</ns0:t>
        </ns0:is>
      </ns0:c>
      <ns0:c r="N156">
        <ns0:f>IF(E156="FETCH",IF(COUNTIF($M$6:M156,M156)=1,1,0),0)</ns0:f>
        <ns0:v>0</ns0:v>
      </ns0:c>
      <ns0:c r="O156" t="inlineStr">
        <ns0:is>
          <ns0:t>ROM OK</ns0:t>
        </ns0:is>
      </ns0:c>
      <ns0:c r="P156">
        <ns0:f>IF(AND(E156="FETCH",F156="0x00000048"),C156-1,0)</ns0:f>
        <ns0:v>0</ns0:v>
      </ns0:c>
      <ns0:c r="Q156" s="15" t="inlineStr">
        <ns0:is>
          <ns0:t>E:0000000d:0001003a:00000068:03100413</ns0:t>
        </ns0:is>
      </ns0:c>
    </ns0:row>
    <ns0:row r="157">
      <ns0:c r="A157" t="n">
        <ns0:v>7</ns0:v>
      </ns0:c>
      <ns0:c r="B157" t="inlineStr">
        <ns0:is>
          <ns0:t>4</ns0:t>
        </ns0:is>
      </ns0:c>
      <ns0:c r="C157" t="n">
        <ns0:v>15</ns0:v>
      </ns0:c>
      <ns0:c r="D157" t="n">
        <ns0:v>62</ns0:v>
      </ns0:c>
      <ns0:c r="E157" s="14" t="inlineStr">
        <ns0:is>
          <ns0:t>FETCH</ns0:t>
        </ns0:is>
      </ns0:c>
      <ns0:c r="F157" s="15" t="inlineStr">
        <ns0:is>
          <ns0:t>0x0000006C</ns0:t>
        </ns0:is>
      </ns0:c>
      <ns0:c r="G157" s="15" t="inlineStr">
        <ns0:is>
          <ns0:t>0x048E0663</ns0:t>
        </ns0:is>
      </ns0:c>
      <ns0:c r="H157" s="15" t="inlineStr">
        <ns0:is>
          <ns0:t>beq t3, s0, 0x000000B8</ns0:t>
        </ns0:is>
      </ns0:c>
      <ns0:c r="I157" t="inlineStr">
        <ns0:is>
          <ns0:t>beq</ns0:t>
        </ns0:is>
      </ns0:c>
      <ns0:c r="J157" t="inlineStr">
        <ns0:is>
          <ns0:t>CORE</ns0:t>
        </ns0:is>
      </ns0:c>
      <ns0:c r="K157" s="15" t="n">
        <ns0:v>7015</ns0:v>
      </ns0:c>
      <ns0:c r="L157" t="inlineStr">
        <ns0:is>
          <ns0:t>FETCH|0x0000006C|0x048E0663</ns0:t>
        </ns0:is>
      </ns0:c>
      <ns0:c r="M157" t="inlineStr">
        <ns0:is>
          <ns0:t>beq@0x0000006C</ns0:t>
        </ns0:is>
      </ns0:c>
      <ns0:c r="N157">
        <ns0:f>IF(E157="FETCH",IF(COUNTIF($M$6:M157,M157)=1,1,0),0)</ns0:f>
        <ns0:v>0</ns0:v>
      </ns0:c>
      <ns0:c r="O157" t="inlineStr">
        <ns0:is>
          <ns0:t>ROM OK</ns0:t>
        </ns0:is>
      </ns0:c>
      <ns0:c r="P157">
        <ns0:f>IF(AND(E157="FETCH",F157="0x00000048"),C157-1,0)</ns0:f>
        <ns0:v>0</ns0:v>
      </ns0:c>
      <ns0:c r="Q157" s="15" t="inlineStr">
        <ns0:is>
          <ns0:t>E:0000000e:0001003e:0000006c:048e0663</ns0:t>
        </ns0:is>
      </ns0:c>
    </ns0:row>
    <ns0:row r="158">
      <ns0:c r="A158" t="n">
        <ns0:v>7</ns0:v>
      </ns0:c>
      <ns0:c r="B158" t="inlineStr">
        <ns0:is>
          <ns0:t>4</ns0:t>
        </ns0:is>
      </ns0:c>
      <ns0:c r="C158" t="n">
        <ns0:v>16</ns0:v>
      </ns0:c>
      <ns0:c r="D158" t="n">
        <ns0:v>66</ns0:v>
      </ns0:c>
      <ns0:c r="E158" s="14" t="inlineStr">
        <ns0:is>
          <ns0:t>FETCH</ns0:t>
        </ns0:is>
      </ns0:c>
      <ns0:c r="F158" s="15" t="inlineStr">
        <ns0:is>
          <ns0:t>0x00000070</ns0:t>
        </ns0:is>
      </ns0:c>
      <ns0:c r="G158" s="15" t="inlineStr">
        <ns0:is>
          <ns0:t>0x03200413</ns0:t>
        </ns0:is>
      </ns0:c>
      <ns0:c r="H158" s="15" t="inlineStr">
        <ns0:is>
          <ns0:t>addi s0, zero, 50</ns0:t>
        </ns0:is>
      </ns0:c>
      <ns0:c r="I158" t="inlineStr">
        <ns0:is>
          <ns0:t>addi</ns0:t>
        </ns0:is>
      </ns0:c>
      <ns0:c r="J158" t="inlineStr">
        <ns0:is>
          <ns0:t>CORE</ns0:t>
        </ns0:is>
      </ns0:c>
      <ns0:c r="K158" s="15" t="n">
        <ns0:v>7016</ns0:v>
      </ns0:c>
      <ns0:c r="L158" t="inlineStr">
        <ns0:is>
          <ns0:t>FETCH|0x00000070|0x03200413</ns0:t>
        </ns0:is>
      </ns0:c>
      <ns0:c r="M158" t="inlineStr">
        <ns0:is>
          <ns0:t>addi@0x00000070</ns0:t>
        </ns0:is>
      </ns0:c>
      <ns0:c r="N158">
        <ns0:f>IF(E158="FETCH",IF(COUNTIF($M$6:M158,M158)=1,1,0),0)</ns0:f>
        <ns0:v>0</ns0:v>
      </ns0:c>
      <ns0:c r="O158" t="inlineStr">
        <ns0:is>
          <ns0:t>ROM OK</ns0:t>
        </ns0:is>
      </ns0:c>
      <ns0:c r="P158">
        <ns0:f>IF(AND(E158="FETCH",F158="0x00000048"),C158-1,0)</ns0:f>
        <ns0:v>0</ns0:v>
      </ns0:c>
      <ns0:c r="Q158" s="15" t="inlineStr">
        <ns0:is>
          <ns0:t>E:0000000f:00010042:00000070:03200413</ns0:t>
        </ns0:is>
      </ns0:c>
    </ns0:row>
    <ns0:row r="159">
      <ns0:c r="A159" t="n">
        <ns0:v>7</ns0:v>
      </ns0:c>
      <ns0:c r="B159" t="inlineStr">
        <ns0:is>
          <ns0:t>4</ns0:t>
        </ns0:is>
      </ns0:c>
      <ns0:c r="C159" t="n">
        <ns0:v>17</ns0:v>
      </ns0:c>
      <ns0:c r="D159" t="n">
        <ns0:v>70</ns0:v>
      </ns0:c>
      <ns0:c r="E159" s="14" t="inlineStr">
        <ns0:is>
          <ns0:t>FETCH</ns0:t>
        </ns0:is>
      </ns0:c>
      <ns0:c r="F159" s="15" t="inlineStr">
        <ns0:is>
          <ns0:t>0x00000074</ns0:t>
        </ns0:is>
      </ns0:c>
      <ns0:c r="G159" s="15" t="inlineStr">
        <ns0:is>
          <ns0:t>0x048E0863</ns0:t>
        </ns0:is>
      </ns0:c>
      <ns0:c r="H159" s="15" t="inlineStr">
        <ns0:is>
          <ns0:t>beq t3, s0, 0x000000C4</ns0:t>
        </ns0:is>
      </ns0:c>
      <ns0:c r="I159" t="inlineStr">
        <ns0:is>
          <ns0:t>beq</ns0:t>
        </ns0:is>
      </ns0:c>
      <ns0:c r="J159" t="inlineStr">
        <ns0:is>
          <ns0:t>CORE</ns0:t>
        </ns0:is>
      </ns0:c>
      <ns0:c r="K159" s="15" t="n">
        <ns0:v>7017</ns0:v>
      </ns0:c>
      <ns0:c r="L159" t="inlineStr">
        <ns0:is>
          <ns0:t>FETCH|0x00000074|0x048E0863</ns0:t>
        </ns0:is>
      </ns0:c>
      <ns0:c r="M159" t="inlineStr">
        <ns0:is>
          <ns0:t>beq@0x00000074</ns0:t>
        </ns0:is>
      </ns0:c>
      <ns0:c r="N159">
        <ns0:f>IF(E159="FETCH",IF(COUNTIF($M$6:M159,M159)=1,1,0),0)</ns0:f>
        <ns0:v>0</ns0:v>
      </ns0:c>
      <ns0:c r="O159" t="inlineStr">
        <ns0:is>
          <ns0:t>ROM OK</ns0:t>
        </ns0:is>
      </ns0:c>
      <ns0:c r="P159">
        <ns0:f>IF(AND(E159="FETCH",F159="0x00000048"),C159-1,0)</ns0:f>
        <ns0:v>0</ns0:v>
      </ns0:c>
      <ns0:c r="Q159" s="15" t="inlineStr">
        <ns0:is>
          <ns0:t>E:00000010:00010046:00000074:048e0863</ns0:t>
        </ns0:is>
      </ns0:c>
    </ns0:row>
    <ns0:row r="160">
      <ns0:c r="A160" t="n">
        <ns0:v>7</ns0:v>
      </ns0:c>
      <ns0:c r="B160" t="inlineStr">
        <ns0:is>
          <ns0:t>4</ns0:t>
        </ns0:is>
      </ns0:c>
      <ns0:c r="C160" t="n">
        <ns0:v>18</ns0:v>
      </ns0:c>
      <ns0:c r="D160" t="n">
        <ns0:v>74</ns0:v>
      </ns0:c>
      <ns0:c r="E160" s="14" t="inlineStr">
        <ns0:is>
          <ns0:t>FETCH</ns0:t>
        </ns0:is>
      </ns0:c>
      <ns0:c r="F160" s="15" t="inlineStr">
        <ns0:is>
          <ns0:t>0x00000078</ns0:t>
        </ns0:is>
      </ns0:c>
      <ns0:c r="G160" s="15" t="inlineStr">
        <ns0:is>
          <ns0:t>0x03300413</ns0:t>
        </ns0:is>
      </ns0:c>
      <ns0:c r="H160" s="15" t="inlineStr">
        <ns0:is>
          <ns0:t>addi s0, zero, 51</ns0:t>
        </ns0:is>
      </ns0:c>
      <ns0:c r="I160" t="inlineStr">
        <ns0:is>
          <ns0:t>addi</ns0:t>
        </ns0:is>
      </ns0:c>
      <ns0:c r="J160" t="inlineStr">
        <ns0:is>
          <ns0:t>CORE</ns0:t>
        </ns0:is>
      </ns0:c>
      <ns0:c r="K160" s="15" t="n">
        <ns0:v>7018</ns0:v>
      </ns0:c>
      <ns0:c r="L160" t="inlineStr">
        <ns0:is>
          <ns0:t>FETCH|0x00000078|0x03300413</ns0:t>
        </ns0:is>
      </ns0:c>
      <ns0:c r="M160" t="inlineStr">
        <ns0:is>
          <ns0:t>addi@0x00000078</ns0:t>
        </ns0:is>
      </ns0:c>
      <ns0:c r="N160">
        <ns0:f>IF(E160="FETCH",IF(COUNTIF($M$6:M160,M160)=1,1,0),0)</ns0:f>
        <ns0:v>0</ns0:v>
      </ns0:c>
      <ns0:c r="O160" t="inlineStr">
        <ns0:is>
          <ns0:t>ROM OK</ns0:t>
        </ns0:is>
      </ns0:c>
      <ns0:c r="P160">
        <ns0:f>IF(AND(E160="FETCH",F160="0x00000048"),C160-1,0)</ns0:f>
        <ns0:v>0</ns0:v>
      </ns0:c>
      <ns0:c r="Q160" s="15" t="inlineStr">
        <ns0:is>
          <ns0:t>E:00000011:0001004a:00000078:03300413</ns0:t>
        </ns0:is>
      </ns0:c>
    </ns0:row>
    <ns0:row r="161">
      <ns0:c r="A161" t="n">
        <ns0:v>7</ns0:v>
      </ns0:c>
      <ns0:c r="B161" t="inlineStr">
        <ns0:is>
          <ns0:t>4</ns0:t>
        </ns0:is>
      </ns0:c>
      <ns0:c r="C161" t="n">
        <ns0:v>19</ns0:v>
      </ns0:c>
      <ns0:c r="D161" t="n">
        <ns0:v>78</ns0:v>
      </ns0:c>
      <ns0:c r="E161" s="14" t="inlineStr">
        <ns0:is>
          <ns0:t>FETCH</ns0:t>
        </ns0:is>
      </ns0:c>
      <ns0:c r="F161" s="15" t="inlineStr">
        <ns0:is>
          <ns0:t>0x0000007C</ns0:t>
        </ns0:is>
      </ns0:c>
      <ns0:c r="G161" s="15" t="inlineStr">
        <ns0:is>
          <ns0:t>0x048E0A63</ns0:t>
        </ns0:is>
      </ns0:c>
      <ns0:c r="H161" s="15" t="inlineStr">
        <ns0:is>
          <ns0:t>beq t3, s0, 0x000000D0</ns0:t>
        </ns0:is>
      </ns0:c>
      <ns0:c r="I161" t="inlineStr">
        <ns0:is>
          <ns0:t>beq</ns0:t>
        </ns0:is>
      </ns0:c>
      <ns0:c r="J161" t="inlineStr">
        <ns0:is>
          <ns0:t>CORE</ns0:t>
        </ns0:is>
      </ns0:c>
      <ns0:c r="K161" s="15" t="n">
        <ns0:v>7019</ns0:v>
      </ns0:c>
      <ns0:c r="L161" t="inlineStr">
        <ns0:is>
          <ns0:t>FETCH|0x0000007C|0x048E0A63</ns0:t>
        </ns0:is>
      </ns0:c>
      <ns0:c r="M161" t="inlineStr">
        <ns0:is>
          <ns0:t>beq@0x0000007C</ns0:t>
        </ns0:is>
      </ns0:c>
      <ns0:c r="N161">
        <ns0:f>IF(E161="FETCH",IF(COUNTIF($M$6:M161,M161)=1,1,0),0)</ns0:f>
        <ns0:v>0</ns0:v>
      </ns0:c>
      <ns0:c r="O161" t="inlineStr">
        <ns0:is>
          <ns0:t>ROM OK</ns0:t>
        </ns0:is>
      </ns0:c>
      <ns0:c r="P161">
        <ns0:f>IF(AND(E161="FETCH",F161="0x00000048"),C161-1,0)</ns0:f>
        <ns0:v>0</ns0:v>
      </ns0:c>
      <ns0:c r="Q161" s="15" t="inlineStr">
        <ns0:is>
          <ns0:t>E:00000012:0001004e:0000007c:048e0a63</ns0:t>
        </ns0:is>
      </ns0:c>
    </ns0:row>
    <ns0:row r="162">
      <ns0:c r="A162" t="n">
        <ns0:v>7</ns0:v>
      </ns0:c>
      <ns0:c r="B162" t="inlineStr">
        <ns0:is>
          <ns0:t>4</ns0:t>
        </ns0:is>
      </ns0:c>
      <ns0:c r="C162" t="n">
        <ns0:v>20</ns0:v>
      </ns0:c>
      <ns0:c r="D162" t="n">
        <ns0:v>82</ns0:v>
      </ns0:c>
      <ns0:c r="E162" s="14" t="inlineStr">
        <ns0:is>
          <ns0:t>FETCH</ns0:t>
        </ns0:is>
      </ns0:c>
      <ns0:c r="F162" s="15" t="inlineStr">
        <ns0:is>
          <ns0:t>0x00000080</ns0:t>
        </ns0:is>
      </ns0:c>
      <ns0:c r="G162" s="15" t="inlineStr">
        <ns0:is>
          <ns0:t>0x03400413</ns0:t>
        </ns0:is>
      </ns0:c>
      <ns0:c r="H162" s="15" t="inlineStr">
        <ns0:is>
          <ns0:t>addi s0, zero, 52</ns0:t>
        </ns0:is>
      </ns0:c>
      <ns0:c r="I162" t="inlineStr">
        <ns0:is>
          <ns0:t>addi</ns0:t>
        </ns0:is>
      </ns0:c>
      <ns0:c r="J162" t="inlineStr">
        <ns0:is>
          <ns0:t>CORE</ns0:t>
        </ns0:is>
      </ns0:c>
      <ns0:c r="K162" s="15" t="n">
        <ns0:v>7020</ns0:v>
      </ns0:c>
      <ns0:c r="L162" t="inlineStr">
        <ns0:is>
          <ns0:t>FETCH|0x00000080|0x03400413</ns0:t>
        </ns0:is>
      </ns0:c>
      <ns0:c r="M162" t="inlineStr">
        <ns0:is>
          <ns0:t>addi@0x00000080</ns0:t>
        </ns0:is>
      </ns0:c>
      <ns0:c r="N162">
        <ns0:f>IF(E162="FETCH",IF(COUNTIF($M$6:M162,M162)=1,1,0),0)</ns0:f>
        <ns0:v>0</ns0:v>
      </ns0:c>
      <ns0:c r="O162" t="inlineStr">
        <ns0:is>
          <ns0:t>ROM OK</ns0:t>
        </ns0:is>
      </ns0:c>
      <ns0:c r="P162">
        <ns0:f>IF(AND(E162="FETCH",F162="0x00000048"),C162-1,0)</ns0:f>
        <ns0:v>0</ns0:v>
      </ns0:c>
      <ns0:c r="Q162" s="15" t="inlineStr">
        <ns0:is>
          <ns0:t>E:00000013:00010052:00000080:03400413</ns0:t>
        </ns0:is>
      </ns0:c>
    </ns0:row>
    <ns0:row r="163">
      <ns0:c r="A163" t="n">
        <ns0:v>7</ns0:v>
      </ns0:c>
      <ns0:c r="B163" t="inlineStr">
        <ns0:is>
          <ns0:t>4</ns0:t>
        </ns0:is>
      </ns0:c>
      <ns0:c r="C163" t="n">
        <ns0:v>21</ns0:v>
      </ns0:c>
      <ns0:c r="D163" t="n">
        <ns0:v>86</ns0:v>
      </ns0:c>
      <ns0:c r="E163" s="14" t="inlineStr">
        <ns0:is>
          <ns0:t>FETCH</ns0:t>
        </ns0:is>
      </ns0:c>
      <ns0:c r="F163" s="15" t="inlineStr">
        <ns0:is>
          <ns0:t>0x00000084</ns0:t>
        </ns0:is>
      </ns0:c>
      <ns0:c r="G163" s="15" t="inlineStr">
        <ns0:is>
          <ns0:t>0x048E0C63</ns0:t>
        </ns0:is>
      </ns0:c>
      <ns0:c r="H163" s="15" t="inlineStr">
        <ns0:is>
          <ns0:t>beq t3, s0, 0x000000DC</ns0:t>
        </ns0:is>
      </ns0:c>
      <ns0:c r="I163" t="inlineStr">
        <ns0:is>
          <ns0:t>beq</ns0:t>
        </ns0:is>
      </ns0:c>
      <ns0:c r="J163" t="inlineStr">
        <ns0:is>
          <ns0:t>CORE</ns0:t>
        </ns0:is>
      </ns0:c>
      <ns0:c r="K163" s="15" t="n">
        <ns0:v>7021</ns0:v>
      </ns0:c>
      <ns0:c r="L163" t="inlineStr">
        <ns0:is>
          <ns0:t>FETCH|0x00000084|0x048E0C63</ns0:t>
        </ns0:is>
      </ns0:c>
      <ns0:c r="M163" t="inlineStr">
        <ns0:is>
          <ns0:t>beq@0x00000084</ns0:t>
        </ns0:is>
      </ns0:c>
      <ns0:c r="N163">
        <ns0:f>IF(E163="FETCH",IF(COUNTIF($M$6:M163,M163)=1,1,0),0)</ns0:f>
        <ns0:v>0</ns0:v>
      </ns0:c>
      <ns0:c r="O163" t="inlineStr">
        <ns0:is>
          <ns0:t>ROM OK</ns0:t>
        </ns0:is>
      </ns0:c>
      <ns0:c r="P163">
        <ns0:f>IF(AND(E163="FETCH",F163="0x00000048"),C163-1,0)</ns0:f>
        <ns0:v>0</ns0:v>
      </ns0:c>
      <ns0:c r="Q163" s="15" t="inlineStr">
        <ns0:is>
          <ns0:t>E:00000014:00010056:00000084:048e0c63</ns0:t>
        </ns0:is>
      </ns0:c>
    </ns0:row>
    <ns0:row r="164">
      <ns0:c r="A164" t="n">
        <ns0:v>7</ns0:v>
      </ns0:c>
      <ns0:c r="B164" t="inlineStr">
        <ns0:is>
          <ns0:t>4</ns0:t>
        </ns0:is>
      </ns0:c>
      <ns0:c r="C164" t="n">
        <ns0:v>22</ns0:v>
      </ns0:c>
      <ns0:c r="D164" t="n">
        <ns0:v>90</ns0:v>
      </ns0:c>
      <ns0:c r="E164" s="14" t="inlineStr">
        <ns0:is>
          <ns0:t>FETCH</ns0:t>
        </ns0:is>
      </ns0:c>
      <ns0:c r="F164" s="15" t="inlineStr">
        <ns0:is>
          <ns0:t>0x00000088</ns0:t>
        </ns0:is>
      </ns0:c>
      <ns0:c r="G164" s="15" t="inlineStr">
        <ns0:is>
          <ns0:t>0x03500413</ns0:t>
        </ns0:is>
      </ns0:c>
      <ns0:c r="H164" s="15" t="inlineStr">
        <ns0:is>
          <ns0:t>addi s0, zero, 53</ns0:t>
        </ns0:is>
      </ns0:c>
      <ns0:c r="I164" t="inlineStr">
        <ns0:is>
          <ns0:t>addi</ns0:t>
        </ns0:is>
      </ns0:c>
      <ns0:c r="J164" t="inlineStr">
        <ns0:is>
          <ns0:t>CORE</ns0:t>
        </ns0:is>
      </ns0:c>
      <ns0:c r="K164" s="15" t="n">
        <ns0:v>7022</ns0:v>
      </ns0:c>
      <ns0:c r="L164" t="inlineStr">
        <ns0:is>
          <ns0:t>FETCH|0x00000088|0x03500413</ns0:t>
        </ns0:is>
      </ns0:c>
      <ns0:c r="M164" t="inlineStr">
        <ns0:is>
          <ns0:t>addi@0x00000088</ns0:t>
        </ns0:is>
      </ns0:c>
      <ns0:c r="N164">
        <ns0:f>IF(E164="FETCH",IF(COUNTIF($M$6:M164,M164)=1,1,0),0)</ns0:f>
        <ns0:v>0</ns0:v>
      </ns0:c>
      <ns0:c r="O164" t="inlineStr">
        <ns0:is>
          <ns0:t>ROM OK</ns0:t>
        </ns0:is>
      </ns0:c>
      <ns0:c r="P164">
        <ns0:f>IF(AND(E164="FETCH",F164="0x00000048"),C164-1,0)</ns0:f>
        <ns0:v>0</ns0:v>
      </ns0:c>
      <ns0:c r="Q164" s="15" t="inlineStr">
        <ns0:is>
          <ns0:t>E:00000015:0001005a:00000088:03500413</ns0:t>
        </ns0:is>
      </ns0:c>
    </ns0:row>
    <ns0:row r="165">
      <ns0:c r="A165" t="n">
        <ns0:v>7</ns0:v>
      </ns0:c>
      <ns0:c r="B165" t="inlineStr">
        <ns0:is>
          <ns0:t>4</ns0:t>
        </ns0:is>
      </ns0:c>
      <ns0:c r="C165" t="n">
        <ns0:v>23</ns0:v>
      </ns0:c>
      <ns0:c r="D165" t="n">
        <ns0:v>93</ns0:v>
      </ns0:c>
      <ns0:c r="E165" s="14" t="inlineStr">
        <ns0:is>
          <ns0:t>FETCH</ns0:t>
        </ns0:is>
      </ns0:c>
      <ns0:c r="F165" s="15" t="inlineStr">
        <ns0:is>
          <ns0:t>0x000000DC</ns0:t>
        </ns0:is>
      </ns0:c>
      <ns0:c r="G165" s="15" t="inlineStr">
        <ns0:is>
          <ns0:t>0x00800E93</ns0:t>
        </ns0:is>
      </ns0:c>
      <ns0:c r="H165" s="15" t="inlineStr">
        <ns0:is>
          <ns0:t>addi t4, zero, 8</ns0:t>
        </ns0:is>
      </ns0:c>
      <ns0:c r="I165" t="inlineStr">
        <ns0:is>
          <ns0:t>addi</ns0:t>
        </ns0:is>
      </ns0:c>
      <ns0:c r="J165" t="inlineStr">
        <ns0:is>
          <ns0:t>CORE</ns0:t>
        </ns0:is>
      </ns0:c>
      <ns0:c r="K165" s="15" t="n">
        <ns0:v>7023</ns0:v>
      </ns0:c>
      <ns0:c r="L165" t="inlineStr">
        <ns0:is>
          <ns0:t>FETCH|0x000000DC|0x00800E93</ns0:t>
        </ns0:is>
      </ns0:c>
      <ns0:c r="M165" t="inlineStr">
        <ns0:is>
          <ns0:t>addi@0x000000DC</ns0:t>
        </ns0:is>
      </ns0:c>
      <ns0:c r="N165">
        <ns0:f>IF(E165="FETCH",IF(COUNTIF($M$6:M165,M165)=1,1,0),0)</ns0:f>
        <ns0:v>0</ns0:v>
      </ns0:c>
      <ns0:c r="O165" t="inlineStr">
        <ns0:is>
          <ns0:t>ROM OK</ns0:t>
        </ns0:is>
      </ns0:c>
      <ns0:c r="P165">
        <ns0:f>IF(AND(E165="FETCH",F165="0x00000048"),C165-1,0)</ns0:f>
        <ns0:v>0</ns0:v>
      </ns0:c>
      <ns0:c r="Q165" s="15" t="inlineStr">
        <ns0:is>
          <ns0:t>E:00000016:0001005d:000000dc:00800e93</ns0:t>
        </ns0:is>
      </ns0:c>
    </ns0:row>
    <ns0:row r="166">
      <ns0:c r="A166" t="n">
        <ns0:v>7</ns0:v>
      </ns0:c>
      <ns0:c r="B166" t="inlineStr">
        <ns0:is>
          <ns0:t>4</ns0:t>
        </ns0:is>
      </ns0:c>
      <ns0:c r="C166" t="n">
        <ns0:v>24</ns0:v>
      </ns0:c>
      <ns0:c r="D166" t="n">
        <ns0:v>97</ns0:v>
      </ns0:c>
      <ns0:c r="E166" s="14" t="inlineStr">
        <ns0:is>
          <ns0:t>FETCH</ns0:t>
        </ns0:is>
      </ns0:c>
      <ns0:c r="F166" s="15" t="inlineStr">
        <ns0:is>
          <ns0:t>0x000000E0</ns0:t>
        </ns0:is>
      </ns0:c>
      <ns0:c r="G166" s="15" t="inlineStr">
        <ns0:is>
          <ns0:t>0x03400F13</ns0:t>
        </ns0:is>
      </ns0:c>
      <ns0:c r="H166" s="15" t="inlineStr">
        <ns0:is>
          <ns0:t>addi t5, zero, 52</ns0:t>
        </ns0:is>
      </ns0:c>
      <ns0:c r="I166" t="inlineStr">
        <ns0:is>
          <ns0:t>addi</ns0:t>
        </ns0:is>
      </ns0:c>
      <ns0:c r="J166" t="inlineStr">
        <ns0:is>
          <ns0:t>CORE</ns0:t>
        </ns0:is>
      </ns0:c>
      <ns0:c r="K166" s="15" t="n">
        <ns0:v>7024</ns0:v>
      </ns0:c>
      <ns0:c r="L166" t="inlineStr">
        <ns0:is>
          <ns0:t>FETCH|0x000000E0|0x03400F13</ns0:t>
        </ns0:is>
      </ns0:c>
      <ns0:c r="M166" t="inlineStr">
        <ns0:is>
          <ns0:t>addi@0x000000E0</ns0:t>
        </ns0:is>
      </ns0:c>
      <ns0:c r="N166">
        <ns0:f>IF(E166="FETCH",IF(COUNTIF($M$6:M166,M166)=1,1,0),0)</ns0:f>
        <ns0:v>0</ns0:v>
      </ns0:c>
      <ns0:c r="O166" t="inlineStr">
        <ns0:is>
          <ns0:t>ROM OK</ns0:t>
        </ns0:is>
      </ns0:c>
      <ns0:c r="P166">
        <ns0:f>IF(AND(E166="FETCH",F166="0x00000048"),C166-1,0)</ns0:f>
        <ns0:v>0</ns0:v>
      </ns0:c>
      <ns0:c r="Q166" s="15" t="inlineStr">
        <ns0:is>
          <ns0:t>E:00000017:00010061:000000e0:03400f13</ns0:t>
        </ns0:is>
      </ns0:c>
    </ns0:row>
    <ns0:row r="167">
      <ns0:c r="A167" t="n">
        <ns0:v>7</ns0:v>
      </ns0:c>
      <ns0:c r="B167" t="inlineStr">
        <ns0:is>
          <ns0:t>4</ns0:t>
        </ns0:is>
      </ns0:c>
      <ns0:c r="C167" t="n">
        <ns0:v>25</ns0:v>
      </ns0:c>
      <ns0:c r="D167" t="n">
        <ns0:v>101</ns0:v>
      </ns0:c>
      <ns0:c r="E167" s="14" t="inlineStr">
        <ns0:is>
          <ns0:t>FETCH</ns0:t>
        </ns0:is>
      </ns0:c>
      <ns0:c r="F167" s="15" t="inlineStr">
        <ns0:is>
          <ns0:t>0x000000E4</ns0:t>
        </ns0:is>
      </ns0:c>
      <ns0:c r="G167" s="15" t="inlineStr">
        <ns0:is>
          <ns0:t>0x01C0006F</ns0:t>
        </ns0:is>
      </ns0:c>
      <ns0:c r="H167" s="15" t="inlineStr">
        <ns0:is>
          <ns0:t>jal zero, 0x00000100</ns0:t>
        </ns0:is>
      </ns0:c>
      <ns0:c r="I167" t="inlineStr">
        <ns0:is>
          <ns0:t>jal</ns0:t>
        </ns0:is>
      </ns0:c>
      <ns0:c r="J167" t="inlineStr">
        <ns0:is>
          <ns0:t>CORE</ns0:t>
        </ns0:is>
      </ns0:c>
      <ns0:c r="K167" s="15" t="n">
        <ns0:v>7025</ns0:v>
      </ns0:c>
      <ns0:c r="L167" t="inlineStr">
        <ns0:is>
          <ns0:t>FETCH|0x000000E4|0x01C0006F</ns0:t>
        </ns0:is>
      </ns0:c>
      <ns0:c r="M167" t="inlineStr">
        <ns0:is>
          <ns0:t>jal@0x000000E4</ns0:t>
        </ns0:is>
      </ns0:c>
      <ns0:c r="N167">
        <ns0:f>IF(E167="FETCH",IF(COUNTIF($M$6:M167,M167)=1,1,0),0)</ns0:f>
        <ns0:v>0</ns0:v>
      </ns0:c>
      <ns0:c r="O167" t="inlineStr">
        <ns0:is>
          <ns0:t>ROM OK</ns0:t>
        </ns0:is>
      </ns0:c>
      <ns0:c r="P167">
        <ns0:f>IF(AND(E167="FETCH",F167="0x00000048"),C167-1,0)</ns0:f>
        <ns0:v>0</ns0:v>
      </ns0:c>
      <ns0:c r="Q167" s="15" t="inlineStr">
        <ns0:is>
          <ns0:t>E:00000018:00010065:000000e4:01c0006f</ns0:t>
        </ns0:is>
      </ns0:c>
    </ns0:row>
    <ns0:row r="168">
      <ns0:c r="A168" t="n">
        <ns0:v>7</ns0:v>
      </ns0:c>
      <ns0:c r="B168" t="inlineStr">
        <ns0:is>
          <ns0:t>4</ns0:t>
        </ns0:is>
      </ns0:c>
      <ns0:c r="C168" t="n">
        <ns0:v>26</ns0:v>
      </ns0:c>
      <ns0:c r="D168" t="n">
        <ns0:v>105</ns0:v>
      </ns0:c>
      <ns0:c r="E168" s="14" t="inlineStr">
        <ns0:is>
          <ns0:t>FETCH</ns0:t>
        </ns0:is>
      </ns0:c>
      <ns0:c r="F168" s="15" t="inlineStr">
        <ns0:is>
          <ns0:t>0x00000100</ns0:t>
        </ns0:is>
      </ns0:c>
      <ns0:c r="G168" s="15" t="inlineStr">
        <ns0:is>
          <ns0:t>0x01D2A023</ns0:t>
        </ns0:is>
      </ns0:c>
      <ns0:c r="H168" s="15" t="inlineStr">
        <ns0:is>
          <ns0:t>sw t4, 0(t0)</ns0:t>
        </ns0:is>
      </ns0:c>
      <ns0:c r="I168" t="inlineStr">
        <ns0:is>
          <ns0:t>sw</ns0:t>
        </ns0:is>
      </ns0:c>
      <ns0:c r="J168" t="inlineStr">
        <ns0:is>
          <ns0:t>CORE</ns0:t>
        </ns0:is>
      </ns0:c>
      <ns0:c r="K168" s="15" t="n">
        <ns0:v>7026</ns0:v>
      </ns0:c>
      <ns0:c r="L168" t="inlineStr">
        <ns0:is>
          <ns0:t>FETCH|0x00000100|0x01D2A023</ns0:t>
        </ns0:is>
      </ns0:c>
      <ns0:c r="M168" t="inlineStr">
        <ns0:is>
          <ns0:t>sw@0x00000100</ns0:t>
        </ns0:is>
      </ns0:c>
      <ns0:c r="N168">
        <ns0:f>IF(E168="FETCH",IF(COUNTIF($M$6:M168,M168)=1,1,0),0)</ns0:f>
        <ns0:v>0</ns0:v>
      </ns0:c>
      <ns0:c r="O168" t="inlineStr">
        <ns0:is>
          <ns0:t>ROM OK</ns0:t>
        </ns0:is>
      </ns0:c>
      <ns0:c r="P168">
        <ns0:f>IF(AND(E168="FETCH",F168="0x00000048"),C168-1,0)</ns0:f>
        <ns0:v>0</ns0:v>
      </ns0:c>
      <ns0:c r="Q168" s="15" t="inlineStr">
        <ns0:is>
          <ns0:t>E:00000019:00010069:00000100:01d2a023</ns0:t>
        </ns0:is>
      </ns0:c>
    </ns0:row>
    <ns0:row r="169">
      <ns0:c r="A169" t="n">
        <ns0:v>7</ns0:v>
      </ns0:c>
      <ns0:c r="B169" t="inlineStr">
        <ns0:is>
          <ns0:t>4</ns0:t>
        </ns0:is>
      </ns0:c>
      <ns0:c r="C169" t="n">
        <ns0:v>27</ns0:v>
      </ns0:c>
      <ns0:c r="D169" t="n">
        <ns0:v>109</ns0:v>
      </ns0:c>
      <ns0:c r="E169" s="14" t="inlineStr">
        <ns0:is>
          <ns0:t>FETCH</ns0:t>
        </ns0:is>
      </ns0:c>
      <ns0:c r="F169" s="15" t="inlineStr">
        <ns0:is>
          <ns0:t>0x00000104</ns0:t>
        </ns0:is>
      </ns0:c>
      <ns0:c r="G169" s="15" t="inlineStr">
        <ns0:is>
          <ns0:t>0x0002AF83</ns0:t>
        </ns0:is>
      </ns0:c>
      <ns0:c r="H169" s="15" t="inlineStr">
        <ns0:is>
          <ns0:t>lw t6, 0(t0)</ns0:t>
        </ns0:is>
      </ns0:c>
      <ns0:c r="I169" t="inlineStr">
        <ns0:is>
          <ns0:t>lw</ns0:t>
        </ns0:is>
      </ns0:c>
      <ns0:c r="J169" t="inlineStr">
        <ns0:is>
          <ns0:t>CORE</ns0:t>
        </ns0:is>
      </ns0:c>
      <ns0:c r="K169" s="15" t="n">
        <ns0:v>7027</ns0:v>
      </ns0:c>
      <ns0:c r="L169" t="inlineStr">
        <ns0:is>
          <ns0:t>FETCH|0x00000104|0x0002AF83</ns0:t>
        </ns0:is>
      </ns0:c>
      <ns0:c r="M169" t="inlineStr">
        <ns0:is>
          <ns0:t>lw@0x00000104</ns0:t>
        </ns0:is>
      </ns0:c>
      <ns0:c r="N169">
        <ns0:f>IF(E169="FETCH",IF(COUNTIF($M$6:M169,M169)=1,1,0),0)</ns0:f>
        <ns0:v>0</ns0:v>
      </ns0:c>
      <ns0:c r="O169" t="inlineStr">
        <ns0:is>
          <ns0:t>ROM OK</ns0:t>
        </ns0:is>
      </ns0:c>
      <ns0:c r="P169">
        <ns0:f>IF(AND(E169="FETCH",F169="0x00000048"),C169-1,0)</ns0:f>
        <ns0:v>0</ns0:v>
      </ns0:c>
      <ns0:c r="Q169" s="15" t="inlineStr">
        <ns0:is>
          <ns0:t>E:0000001a:0001006d:00000104:0002af83</ns0:t>
        </ns0:is>
      </ns0:c>
    </ns0:row>
    <ns0:row r="170">
      <ns0:c r="A170" s="17" t="n">
        <ns0:v>7</ns0:v>
      </ns0:c>
      <ns0:c r="B170" s="17" t="inlineStr">
        <ns0:is>
          <ns0:t>4</ns0:t>
        </ns0:is>
      </ns0:c>
      <ns0:c r="C170" s="17" t="n">
        <ns0:v>28</ns0:v>
      </ns0:c>
      <ns0:c r="D170" s="17" t="n">
        <ns0:v>112</ns0:v>
      </ns0:c>
      <ns0:c r="E170" s="18" t="inlineStr">
        <ns0:is>
          <ns0:t>LED_WRITE</ns0:t>
        </ns0:is>
      </ns0:c>
      <ns0:c r="F170" s="19" t="inlineStr">
        <ns0:is>
          <ns0:t>0x20000000</ns0:t>
        </ns0:is>
      </ns0:c>
      <ns0:c r="G170" s="19" t="inlineStr">
        <ns0:is>
          <ns0:t>0x00000008</ns0:t>
        </ns0:is>
      </ns0:c>
      <ns0:c r="H170" s="19" t="inlineStr">
        <ns0:is>
          <ns0:t>MMIO GPIO write</ns0:t>
        </ns0:is>
      </ns0:c>
      <ns0:c r="I170" s="17" t="inlineStr">
        <ns0:is>
          <ns0:t>LED_WRITE</ns0:t>
        </ns0:is>
      </ns0:c>
      <ns0:c r="J170" s="17" t="inlineStr">
        <ns0:is>
          <ns0:t>MMIO</ns0:t>
        </ns0:is>
      </ns0:c>
      <ns0:c r="K170" s="19" t="n">
        <ns0:v>7028</ns0:v>
      </ns0:c>
      <ns0:c r="L170" s="17" t="inlineStr">
        <ns0:is>
          <ns0:t>LED_WRITE|0x20000000|0x00000008</ns0:t>
        </ns0:is>
      </ns0:c>
      <ns0:c r="M170" s="17" t="inlineStr"/>
      <ns0:c r="N170" s="17">
        <ns0:f>IF(E170="FETCH",IF(COUNTIF($M$6:M170,M170)=1,1,0),0)</ns0:f>
        <ns0:v>0</ns0:v>
      </ns0:c>
      <ns0:c r="O170" s="17" t="inlineStr">
        <ns0:is>
          <ns0:t>MMIO OK</ns0:t>
        </ns0:is>
      </ns0:c>
      <ns0:c r="P170" s="17">
        <ns0:f>IF(AND(E170="FETCH",F170="0x00000048"),C170-1,0)</ns0:f>
        <ns0:v>0</ns0:v>
      </ns0:c>
      <ns0:c r="Q170" s="19" t="inlineStr">
        <ns0:is>
          <ns0:t>E:0000001b:00020070:20000000:00000008</ns0:t>
        </ns0:is>
      </ns0:c>
    </ns0:row>
    <ns0:row r="171">
      <ns0:c r="A171" t="n">
        <ns0:v>8</ns0:v>
      </ns0:c>
      <ns0:c r="B171" t="inlineStr">
        <ns0:is>
          <ns0:t>0</ns0:t>
        </ns0:is>
      </ns0:c>
      <ns0:c r="C171" t="n">
        <ns0:v>1</ns0:v>
      </ns0:c>
      <ns0:c r="D171" t="n">
        <ns0:v>1</ns0:v>
      </ns0:c>
      <ns0:c r="E171" s="14" t="inlineStr">
        <ns0:is>
          <ns0:t>FETCH</ns0:t>
        </ns0:is>
      </ns0:c>
      <ns0:c r="F171" s="15" t="inlineStr">
        <ns0:is>
          <ns0:t>0x00000044</ns0:t>
        </ns0:is>
      </ns0:c>
      <ns0:c r="G171" s="15" t="inlineStr">
        <ns0:is>
          <ns0:t>0x0182AE03</ns0:t>
        </ns0:is>
      </ns0:c>
      <ns0:c r="H171" s="15" t="inlineStr">
        <ns0:is>
          <ns0:t>lw t3, 24(t0)</ns0:t>
        </ns0:is>
      </ns0:c>
      <ns0:c r="I171" t="inlineStr">
        <ns0:is>
          <ns0:t>lw</ns0:t>
        </ns0:is>
      </ns0:c>
      <ns0:c r="J171" s="16" t="inlineStr">
        <ns0:is>
          <ns0:t>POLL</ns0:t>
        </ns0:is>
      </ns0:c>
      <ns0:c r="K171" s="15" t="n">
        <ns0:v>8001</ns0:v>
      </ns0:c>
      <ns0:c r="L171" t="inlineStr">
        <ns0:is>
          <ns0:t>FETCH|0x00000044|0x0182AE03</ns0:t>
        </ns0:is>
      </ns0:c>
      <ns0:c r="M171" t="inlineStr">
        <ns0:is>
          <ns0:t>lw@0x00000044</ns0:t>
        </ns0:is>
      </ns0:c>
      <ns0:c r="N171">
        <ns0:f>IF(E171="FETCH",IF(COUNTIF($M$6:M171,M171)=1,1,0),0)</ns0:f>
        <ns0:v>0</ns0:v>
      </ns0:c>
      <ns0:c r="O171" t="inlineStr">
        <ns0:is>
          <ns0:t>ROM OK</ns0:t>
        </ns0:is>
      </ns0:c>
      <ns0:c r="P171">
        <ns0:f>IF(AND(E171="FETCH",F171="0x00000048"),C171-1,0)</ns0:f>
        <ns0:v>0</ns0:v>
      </ns0:c>
      <ns0:c r="Q171" s="15" t="inlineStr">
        <ns0:is>
          <ns0:t>E:00000000:00010001:00000044:0182ae03</ns0:t>
        </ns0:is>
      </ns0:c>
    </ns0:row>
    <ns0:row r="172">
      <ns0:c r="A172" t="n">
        <ns0:v>8</ns0:v>
      </ns0:c>
      <ns0:c r="B172" t="inlineStr">
        <ns0:is>
          <ns0:t>0</ns0:t>
        </ns0:is>
      </ns0:c>
      <ns0:c r="C172" t="n">
        <ns0:v>2</ns0:v>
      </ns0:c>
      <ns0:c r="D172" t="n">
        <ns0:v>4</ns0:v>
      </ns0:c>
      <ns0:c r="E172" s="14" t="inlineStr">
        <ns0:is>
          <ns0:t>FETCH</ns0:t>
        </ns0:is>
      </ns0:c>
      <ns0:c r="F172" s="15" t="inlineStr">
        <ns0:is>
          <ns0:t>0x00000038</ns0:t>
        </ns0:is>
      </ns0:c>
      <ns0:c r="G172" s="15" t="inlineStr">
        <ns0:is>
          <ns0:t>0x01C2A383</ns0:t>
        </ns0:is>
      </ns0:c>
      <ns0:c r="H172" s="15" t="inlineStr">
        <ns0:is>
          <ns0:t>lw t2, 28(t0)</ns0:t>
        </ns0:is>
      </ns0:c>
      <ns0:c r="I172" t="inlineStr">
        <ns0:is>
          <ns0:t>lw</ns0:t>
        </ns0:is>
      </ns0:c>
      <ns0:c r="J172" s="16" t="inlineStr">
        <ns0:is>
          <ns0:t>POLL</ns0:t>
        </ns0:is>
      </ns0:c>
      <ns0:c r="K172" s="15" t="n">
        <ns0:v>8002</ns0:v>
      </ns0:c>
      <ns0:c r="L172" t="inlineStr">
        <ns0:is>
          <ns0:t>FETCH|0x00000038|0x01C2A383</ns0:t>
        </ns0:is>
      </ns0:c>
      <ns0:c r="M172" t="inlineStr">
        <ns0:is>
          <ns0:t>lw@0x00000038</ns0:t>
        </ns0:is>
      </ns0:c>
      <ns0:c r="N172">
        <ns0:f>IF(E172="FETCH",IF(COUNTIF($M$6:M172,M172)=1,1,0),0)</ns0:f>
        <ns0:v>0</ns0:v>
      </ns0:c>
      <ns0:c r="O172" t="inlineStr">
        <ns0:is>
          <ns0:t>ROM OK</ns0:t>
        </ns0:is>
      </ns0:c>
      <ns0:c r="P172">
        <ns0:f>IF(AND(E172="FETCH",F172="0x00000048"),C172-1,0)</ns0:f>
        <ns0:v>0</ns0:v>
      </ns0:c>
      <ns0:c r="Q172" s="15" t="inlineStr">
        <ns0:is>
          <ns0:t>E:00000001:00010004:00000038:01c2a383</ns0:t>
        </ns0:is>
      </ns0:c>
    </ns0:row>
    <ns0:row r="173">
      <ns0:c r="A173" t="n">
        <ns0:v>8</ns0:v>
      </ns0:c>
      <ns0:c r="B173" t="inlineStr">
        <ns0:is>
          <ns0:t>0</ns0:t>
        </ns0:is>
      </ns0:c>
      <ns0:c r="C173" t="n">
        <ns0:v>3</ns0:v>
      </ns0:c>
      <ns0:c r="D173" t="n">
        <ns0:v>8</ns0:v>
      </ns0:c>
      <ns0:c r="E173" s="14" t="inlineStr">
        <ns0:is>
          <ns0:t>FETCH</ns0:t>
        </ns0:is>
      </ns0:c>
      <ns0:c r="F173" s="15" t="inlineStr">
        <ns0:is>
          <ns0:t>0x0000003C</ns0:t>
        </ns0:is>
      </ns0:c>
      <ns0:c r="G173" s="15" t="inlineStr">
        <ns0:is>
          <ns0:t>0x0013F393</ns0:t>
        </ns0:is>
      </ns0:c>
      <ns0:c r="H173" s="15" t="inlineStr">
        <ns0:is>
          <ns0:t>andi t2, t2, 1</ns0:t>
        </ns0:is>
      </ns0:c>
      <ns0:c r="I173" t="inlineStr">
        <ns0:is>
          <ns0:t>andi</ns0:t>
        </ns0:is>
      </ns0:c>
      <ns0:c r="J173" s="16" t="inlineStr">
        <ns0:is>
          <ns0:t>POLL</ns0:t>
        </ns0:is>
      </ns0:c>
      <ns0:c r="K173" s="15" t="n">
        <ns0:v>8003</ns0:v>
      </ns0:c>
      <ns0:c r="L173" t="inlineStr">
        <ns0:is>
          <ns0:t>FETCH|0x0000003C|0x0013F393</ns0:t>
        </ns0:is>
      </ns0:c>
      <ns0:c r="M173" t="inlineStr">
        <ns0:is>
          <ns0:t>andi@0x0000003C</ns0:t>
        </ns0:is>
      </ns0:c>
      <ns0:c r="N173">
        <ns0:f>IF(E173="FETCH",IF(COUNTIF($M$6:M173,M173)=1,1,0),0)</ns0:f>
        <ns0:v>0</ns0:v>
      </ns0:c>
      <ns0:c r="O173" t="inlineStr">
        <ns0:is>
          <ns0:t>ROM OK</ns0:t>
        </ns0:is>
      </ns0:c>
      <ns0:c r="P173">
        <ns0:f>IF(AND(E173="FETCH",F173="0x00000048"),C173-1,0)</ns0:f>
        <ns0:v>0</ns0:v>
      </ns0:c>
      <ns0:c r="Q173" s="15" t="inlineStr">
        <ns0:is>
          <ns0:t>E:00000002:00010008:0000003c:0013f393</ns0:t>
        </ns0:is>
      </ns0:c>
    </ns0:row>
    <ns0:row r="174">
      <ns0:c r="A174" t="n">
        <ns0:v>8</ns0:v>
      </ns0:c>
      <ns0:c r="B174" t="inlineStr">
        <ns0:is>
          <ns0:t>0</ns0:t>
        </ns0:is>
      </ns0:c>
      <ns0:c r="C174" t="n">
        <ns0:v>4</ns0:v>
      </ns0:c>
      <ns0:c r="D174" t="n">
        <ns0:v>15</ns0:v>
      </ns0:c>
      <ns0:c r="E174" s="14" t="inlineStr">
        <ns0:is>
          <ns0:t>FETCH</ns0:t>
        </ns0:is>
      </ns0:c>
      <ns0:c r="F174" s="15" t="inlineStr">
        <ns0:is>
          <ns0:t>0x00000040</ns0:t>
        </ns0:is>
      </ns0:c>
      <ns0:c r="G174" s="15" t="inlineStr">
        <ns0:is>
          <ns0:t>0xFE038CE3</ns0:t>
        </ns0:is>
      </ns0:c>
      <ns0:c r="H174" s="15" t="inlineStr">
        <ns0:is>
          <ns0:t>beq t2, zero, 0x00000038</ns0:t>
        </ns0:is>
      </ns0:c>
      <ns0:c r="I174" t="inlineStr">
        <ns0:is>
          <ns0:t>beq</ns0:t>
        </ns0:is>
      </ns0:c>
      <ns0:c r="J174" s="16" t="inlineStr">
        <ns0:is>
          <ns0:t>POLL</ns0:t>
        </ns0:is>
      </ns0:c>
      <ns0:c r="K174" s="15" t="n">
        <ns0:v>8004</ns0:v>
      </ns0:c>
      <ns0:c r="L174" t="inlineStr">
        <ns0:is>
          <ns0:t>FETCH|0x00000040|0xFE038CE3</ns0:t>
        </ns0:is>
      </ns0:c>
      <ns0:c r="M174" t="inlineStr">
        <ns0:is>
          <ns0:t>beq@0x00000040</ns0:t>
        </ns0:is>
      </ns0:c>
      <ns0:c r="N174">
        <ns0:f>IF(E174="FETCH",IF(COUNTIF($M$6:M174,M174)=1,1,0),0)</ns0:f>
        <ns0:v>0</ns0:v>
      </ns0:c>
      <ns0:c r="O174" t="inlineStr">
        <ns0:is>
          <ns0:t>ROM OK</ns0:t>
        </ns0:is>
      </ns0:c>
      <ns0:c r="P174">
        <ns0:f>IF(AND(E174="FETCH",F174="0x00000048"),C174-1,0)</ns0:f>
        <ns0:v>0</ns0:v>
      </ns0:c>
      <ns0:c r="Q174" s="15" t="inlineStr">
        <ns0:is>
          <ns0:t>E:00000003:0001000f:00000040:fe038ce3</ns0:t>
        </ns0:is>
      </ns0:c>
    </ns0:row>
    <ns0:row r="175">
      <ns0:c r="A175" t="n">
        <ns0:v>8</ns0:v>
      </ns0:c>
      <ns0:c r="B175" t="inlineStr">
        <ns0:is>
          <ns0:t>0</ns0:t>
        </ns0:is>
      </ns0:c>
      <ns0:c r="C175" t="n">
        <ns0:v>5</ns0:v>
      </ns0:c>
      <ns0:c r="D175" t="n">
        <ns0:v>19</ns0:v>
      </ns0:c>
      <ns0:c r="E175" s="14" t="inlineStr">
        <ns0:is>
          <ns0:t>FETCH</ns0:t>
        </ns0:is>
      </ns0:c>
      <ns0:c r="F175" s="15" t="inlineStr">
        <ns0:is>
          <ns0:t>0x00000044</ns0:t>
        </ns0:is>
      </ns0:c>
      <ns0:c r="G175" s="15" t="inlineStr">
        <ns0:is>
          <ns0:t>0x0182AE03</ns0:t>
        </ns0:is>
      </ns0:c>
      <ns0:c r="H175" s="15" t="inlineStr">
        <ns0:is>
          <ns0:t>lw t3, 24(t0)</ns0:t>
        </ns0:is>
      </ns0:c>
      <ns0:c r="I175" t="inlineStr">
        <ns0:is>
          <ns0:t>lw</ns0:t>
        </ns0:is>
      </ns0:c>
      <ns0:c r="J175" s="16" t="inlineStr">
        <ns0:is>
          <ns0:t>POLL</ns0:t>
        </ns0:is>
      </ns0:c>
      <ns0:c r="K175" s="15" t="n">
        <ns0:v>8005</ns0:v>
      </ns0:c>
      <ns0:c r="L175" t="inlineStr">
        <ns0:is>
          <ns0:t>FETCH|0x00000044|0x0182AE03</ns0:t>
        </ns0:is>
      </ns0:c>
      <ns0:c r="M175" t="inlineStr">
        <ns0:is>
          <ns0:t>lw@0x00000044</ns0:t>
        </ns0:is>
      </ns0:c>
      <ns0:c r="N175">
        <ns0:f>IF(E175="FETCH",IF(COUNTIF($M$6:M175,M175)=1,1,0),0)</ns0:f>
        <ns0:v>0</ns0:v>
      </ns0:c>
      <ns0:c r="O175" t="inlineStr">
        <ns0:is>
          <ns0:t>ROM OK</ns0:t>
        </ns0:is>
      </ns0:c>
      <ns0:c r="P175">
        <ns0:f>IF(AND(E175="FETCH",F175="0x00000048"),C175-1,0)</ns0:f>
        <ns0:v>0</ns0:v>
      </ns0:c>
      <ns0:c r="Q175" s="15" t="inlineStr">
        <ns0:is>
          <ns0:t>E:00000004:00010013:00000044:0182ae03</ns0:t>
        </ns0:is>
      </ns0:c>
    </ns0:row>
    <ns0:row r="176">
      <ns0:c r="A176" t="n">
        <ns0:v>8</ns0:v>
      </ns0:c>
      <ns0:c r="B176" t="inlineStr">
        <ns0:is>
          <ns0:t>0</ns0:t>
        </ns0:is>
      </ns0:c>
      <ns0:c r="C176" t="n">
        <ns0:v>6</ns0:v>
      </ns0:c>
      <ns0:c r="D176" t="n">
        <ns0:v>23</ns0:v>
      </ns0:c>
      <ns0:c r="E176" s="14" t="inlineStr">
        <ns0:is>
          <ns0:t>FETCH</ns0:t>
        </ns0:is>
      </ns0:c>
      <ns0:c r="F176" s="15" t="inlineStr">
        <ns0:is>
          <ns0:t>0x00000048</ns0:t>
        </ns0:is>
      </ns0:c>
      <ns0:c r="G176" s="15" t="inlineStr">
        <ns0:is>
          <ns0:t>0x05400413</ns0:t>
        </ns0:is>
      </ns0:c>
      <ns0:c r="H176" s="15" t="inlineStr">
        <ns0:is>
          <ns0:t>addi s0, zero, 84</ns0:t>
        </ns0:is>
      </ns0:c>
      <ns0:c r="I176" t="inlineStr">
        <ns0:is>
          <ns0:t>addi</ns0:t>
        </ns0:is>
      </ns0:c>
      <ns0:c r="J176" t="inlineStr">
        <ns0:is>
          <ns0:t>CORE</ns0:t>
        </ns0:is>
      </ns0:c>
      <ns0:c r="K176" s="15" t="n">
        <ns0:v>8006</ns0:v>
      </ns0:c>
      <ns0:c r="L176" t="inlineStr">
        <ns0:is>
          <ns0:t>FETCH|0x00000048|0x05400413</ns0:t>
        </ns0:is>
      </ns0:c>
      <ns0:c r="M176" t="inlineStr">
        <ns0:is>
          <ns0:t>addi@0x00000048</ns0:t>
        </ns0:is>
      </ns0:c>
      <ns0:c r="N176">
        <ns0:f>IF(E176="FETCH",IF(COUNTIF($M$6:M176,M176)=1,1,0),0)</ns0:f>
        <ns0:v>0</ns0:v>
      </ns0:c>
      <ns0:c r="O176" t="inlineStr">
        <ns0:is>
          <ns0:t>ROM OK</ns0:t>
        </ns0:is>
      </ns0:c>
      <ns0:c r="P176">
        <ns0:f>IF(AND(E176="FETCH",F176="0x00000048"),C176-1,0)</ns0:f>
        <ns0:v>5</ns0:v>
      </ns0:c>
      <ns0:c r="Q176" s="15" t="inlineStr">
        <ns0:is>
          <ns0:t>E:00000005:00010017:00000048:05400413</ns0:t>
        </ns0:is>
      </ns0:c>
    </ns0:row>
    <ns0:row r="177">
      <ns0:c r="A177" t="n">
        <ns0:v>8</ns0:v>
      </ns0:c>
      <ns0:c r="B177" t="inlineStr">
        <ns0:is>
          <ns0:t>0</ns0:t>
        </ns0:is>
      </ns0:c>
      <ns0:c r="C177" t="n">
        <ns0:v>7</ns0:v>
      </ns0:c>
      <ns0:c r="D177" t="n">
        <ns0:v>30</ns0:v>
      </ns0:c>
      <ns0:c r="E177" s="14" t="inlineStr">
        <ns0:is>
          <ns0:t>FETCH</ns0:t>
        </ns0:is>
      </ns0:c>
      <ns0:c r="F177" s="15" t="inlineStr">
        <ns0:is>
          <ns0:t>0x0000004C</ns0:t>
        </ns0:is>
      </ns0:c>
      <ns0:c r="G177" s="15" t="inlineStr">
        <ns0:is>
          <ns0:t>0x1A8E0063</ns0:t>
        </ns0:is>
      </ns0:c>
      <ns0:c r="H177" s="15" t="inlineStr">
        <ns0:is>
          <ns0:t>beq t3, s0, 0x000001EC</ns0:t>
        </ns0:is>
      </ns0:c>
      <ns0:c r="I177" t="inlineStr">
        <ns0:is>
          <ns0:t>beq</ns0:t>
        </ns0:is>
      </ns0:c>
      <ns0:c r="J177" t="inlineStr">
        <ns0:is>
          <ns0:t>CORE</ns0:t>
        </ns0:is>
      </ns0:c>
      <ns0:c r="K177" s="15" t="n">
        <ns0:v>8007</ns0:v>
      </ns0:c>
      <ns0:c r="L177" t="inlineStr">
        <ns0:is>
          <ns0:t>FETCH|0x0000004C|0x1A8E0063</ns0:t>
        </ns0:is>
      </ns0:c>
      <ns0:c r="M177" t="inlineStr">
        <ns0:is>
          <ns0:t>beq@0x0000004C</ns0:t>
        </ns0:is>
      </ns0:c>
      <ns0:c r="N177">
        <ns0:f>IF(E177="FETCH",IF(COUNTIF($M$6:M177,M177)=1,1,0),0)</ns0:f>
        <ns0:v>0</ns0:v>
      </ns0:c>
      <ns0:c r="O177" t="inlineStr">
        <ns0:is>
          <ns0:t>ROM OK</ns0:t>
        </ns0:is>
      </ns0:c>
      <ns0:c r="P177">
        <ns0:f>IF(AND(E177="FETCH",F177="0x00000048"),C177-1,0)</ns0:f>
        <ns0:v>0</ns0:v>
      </ns0:c>
      <ns0:c r="Q177" s="15" t="inlineStr">
        <ns0:is>
          <ns0:t>E:00000006:0001001e:0000004c:1a8e0063</ns0:t>
        </ns0:is>
      </ns0:c>
    </ns0:row>
    <ns0:row r="178">
      <ns0:c r="A178" t="n">
        <ns0:v>8</ns0:v>
      </ns0:c>
      <ns0:c r="B178" t="inlineStr">
        <ns0:is>
          <ns0:t>0</ns0:t>
        </ns0:is>
      </ns0:c>
      <ns0:c r="C178" t="n">
        <ns0:v>8</ns0:v>
      </ns0:c>
      <ns0:c r="D178" t="n">
        <ns0:v>34</ns0:v>
      </ns0:c>
      <ns0:c r="E178" s="14" t="inlineStr">
        <ns0:is>
          <ns0:t>FETCH</ns0:t>
        </ns0:is>
      </ns0:c>
      <ns0:c r="F178" s="15" t="inlineStr">
        <ns0:is>
          <ns0:t>0x00000050</ns0:t>
        </ns0:is>
      </ns0:c>
      <ns0:c r="G178" s="15" t="inlineStr">
        <ns0:is>
          <ns0:t>0x04300413</ns0:t>
        </ns0:is>
      </ns0:c>
      <ns0:c r="H178" s="15" t="inlineStr">
        <ns0:is>
          <ns0:t>addi s0, zero, 67</ns0:t>
        </ns0:is>
      </ns0:c>
      <ns0:c r="I178" t="inlineStr">
        <ns0:is>
          <ns0:t>addi</ns0:t>
        </ns0:is>
      </ns0:c>
      <ns0:c r="J178" t="inlineStr">
        <ns0:is>
          <ns0:t>CORE</ns0:t>
        </ns0:is>
      </ns0:c>
      <ns0:c r="K178" s="15" t="n">
        <ns0:v>8008</ns0:v>
      </ns0:c>
      <ns0:c r="L178" t="inlineStr">
        <ns0:is>
          <ns0:t>FETCH|0x00000050|0x04300413</ns0:t>
        </ns0:is>
      </ns0:c>
      <ns0:c r="M178" t="inlineStr">
        <ns0:is>
          <ns0:t>addi@0x00000050</ns0:t>
        </ns0:is>
      </ns0:c>
      <ns0:c r="N178">
        <ns0:f>IF(E178="FETCH",IF(COUNTIF($M$6:M178,M178)=1,1,0),0)</ns0:f>
        <ns0:v>0</ns0:v>
      </ns0:c>
      <ns0:c r="O178" t="inlineStr">
        <ns0:is>
          <ns0:t>ROM OK</ns0:t>
        </ns0:is>
      </ns0:c>
      <ns0:c r="P178">
        <ns0:f>IF(AND(E178="FETCH",F178="0x00000048"),C178-1,0)</ns0:f>
        <ns0:v>0</ns0:v>
      </ns0:c>
      <ns0:c r="Q178" s="15" t="inlineStr">
        <ns0:is>
          <ns0:t>E:00000007:00010022:00000050:04300413</ns0:t>
        </ns0:is>
      </ns0:c>
    </ns0:row>
    <ns0:row r="179">
      <ns0:c r="A179" t="n">
        <ns0:v>8</ns0:v>
      </ns0:c>
      <ns0:c r="B179" t="inlineStr">
        <ns0:is>
          <ns0:t>0</ns0:t>
        </ns0:is>
      </ns0:c>
      <ns0:c r="C179" t="n">
        <ns0:v>9</ns0:v>
      </ns0:c>
      <ns0:c r="D179" t="n">
        <ns0:v>38</ns0:v>
      </ns0:c>
      <ns0:c r="E179" s="14" t="inlineStr">
        <ns0:is>
          <ns0:t>FETCH</ns0:t>
        </ns0:is>
      </ns0:c>
      <ns0:c r="F179" s="15" t="inlineStr">
        <ns0:is>
          <ns0:t>0x00000054</ns0:t>
        </ns0:is>
      </ns0:c>
      <ns0:c r="G179" s="15" t="inlineStr">
        <ns0:is>
          <ns0:t>0x188E0063</ns0:t>
        </ns0:is>
      </ns0:c>
      <ns0:c r="H179" s="15" t="inlineStr">
        <ns0:is>
          <ns0:t>beq t3, s0, 0x000001D4</ns0:t>
        </ns0:is>
      </ns0:c>
      <ns0:c r="I179" t="inlineStr">
        <ns0:is>
          <ns0:t>beq</ns0:t>
        </ns0:is>
      </ns0:c>
      <ns0:c r="J179" t="inlineStr">
        <ns0:is>
          <ns0:t>CORE</ns0:t>
        </ns0:is>
      </ns0:c>
      <ns0:c r="K179" s="15" t="n">
        <ns0:v>8009</ns0:v>
      </ns0:c>
      <ns0:c r="L179" t="inlineStr">
        <ns0:is>
          <ns0:t>FETCH|0x00000054|0x188E0063</ns0:t>
        </ns0:is>
      </ns0:c>
      <ns0:c r="M179" t="inlineStr">
        <ns0:is>
          <ns0:t>beq@0x00000054</ns0:t>
        </ns0:is>
      </ns0:c>
      <ns0:c r="N179">
        <ns0:f>IF(E179="FETCH",IF(COUNTIF($M$6:M179,M179)=1,1,0),0)</ns0:f>
        <ns0:v>0</ns0:v>
      </ns0:c>
      <ns0:c r="O179" t="inlineStr">
        <ns0:is>
          <ns0:t>ROM OK</ns0:t>
        </ns0:is>
      </ns0:c>
      <ns0:c r="P179">
        <ns0:f>IF(AND(E179="FETCH",F179="0x00000048"),C179-1,0)</ns0:f>
        <ns0:v>0</ns0:v>
      </ns0:c>
      <ns0:c r="Q179" s="15" t="inlineStr">
        <ns0:is>
          <ns0:t>E:00000008:00010026:00000054:188e0063</ns0:t>
        </ns0:is>
      </ns0:c>
    </ns0:row>
    <ns0:row r="180">
      <ns0:c r="A180" t="n">
        <ns0:v>8</ns0:v>
      </ns0:c>
      <ns0:c r="B180" t="inlineStr">
        <ns0:is>
          <ns0:t>0</ns0:t>
        </ns0:is>
      </ns0:c>
      <ns0:c r="C180" t="n">
        <ns0:v>10</ns0:v>
      </ns0:c>
      <ns0:c r="D180" t="n">
        <ns0:v>42</ns0:v>
      </ns0:c>
      <ns0:c r="E180" s="14" t="inlineStr">
        <ns0:is>
          <ns0:t>FETCH</ns0:t>
        </ns0:is>
      </ns0:c>
      <ns0:c r="F180" s="15" t="inlineStr">
        <ns0:is>
          <ns0:t>0x00000058</ns0:t>
        </ns0:is>
      </ns0:c>
      <ns0:c r="G180" s="15" t="inlineStr">
        <ns0:is>
          <ns0:t>0x03F00413</ns0:t>
        </ns0:is>
      </ns0:c>
      <ns0:c r="H180" s="15" t="inlineStr">
        <ns0:is>
          <ns0:t>addi s0, zero, 63</ns0:t>
        </ns0:is>
      </ns0:c>
      <ns0:c r="I180" t="inlineStr">
        <ns0:is>
          <ns0:t>addi</ns0:t>
        </ns0:is>
      </ns0:c>
      <ns0:c r="J180" t="inlineStr">
        <ns0:is>
          <ns0:t>CORE</ns0:t>
        </ns0:is>
      </ns0:c>
      <ns0:c r="K180" s="15" t="n">
        <ns0:v>8010</ns0:v>
      </ns0:c>
      <ns0:c r="L180" t="inlineStr">
        <ns0:is>
          <ns0:t>FETCH|0x00000058|0x03F00413</ns0:t>
        </ns0:is>
      </ns0:c>
      <ns0:c r="M180" t="inlineStr">
        <ns0:is>
          <ns0:t>addi@0x00000058</ns0:t>
        </ns0:is>
      </ns0:c>
      <ns0:c r="N180">
        <ns0:f>IF(E180="FETCH",IF(COUNTIF($M$6:M180,M180)=1,1,0),0)</ns0:f>
        <ns0:v>0</ns0:v>
      </ns0:c>
      <ns0:c r="O180" t="inlineStr">
        <ns0:is>
          <ns0:t>ROM OK</ns0:t>
        </ns0:is>
      </ns0:c>
      <ns0:c r="P180">
        <ns0:f>IF(AND(E180="FETCH",F180="0x00000048"),C180-1,0)</ns0:f>
        <ns0:v>0</ns0:v>
      </ns0:c>
      <ns0:c r="Q180" s="15" t="inlineStr">
        <ns0:is>
          <ns0:t>E:00000009:0001002a:00000058:03f00413</ns0:t>
        </ns0:is>
      </ns0:c>
    </ns0:row>
    <ns0:row r="181">
      <ns0:c r="A181" t="n">
        <ns0:v>8</ns0:v>
      </ns0:c>
      <ns0:c r="B181" t="inlineStr">
        <ns0:is>
          <ns0:t>0</ns0:t>
        </ns0:is>
      </ns0:c>
      <ns0:c r="C181" t="n">
        <ns0:v>11</ns0:v>
      </ns0:c>
      <ns0:c r="D181" t="n">
        <ns0:v>46</ns0:v>
      </ns0:c>
      <ns0:c r="E181" s="14" t="inlineStr">
        <ns0:is>
          <ns0:t>FETCH</ns0:t>
        </ns0:is>
      </ns0:c>
      <ns0:c r="F181" s="15" t="inlineStr">
        <ns0:is>
          <ns0:t>0x0000005C</ns0:t>
        </ns0:is>
      </ns0:c>
      <ns0:c r="G181" s="15" t="inlineStr">
        <ns0:is>
          <ns0:t>0x0A8E0A63</ns0:t>
        </ns0:is>
      </ns0:c>
      <ns0:c r="H181" s="15" t="inlineStr">
        <ns0:is>
          <ns0:t>beq t3, s0, 0x00000110</ns0:t>
        </ns0:is>
      </ns0:c>
      <ns0:c r="I181" t="inlineStr">
        <ns0:is>
          <ns0:t>beq</ns0:t>
        </ns0:is>
      </ns0:c>
      <ns0:c r="J181" t="inlineStr">
        <ns0:is>
          <ns0:t>CORE</ns0:t>
        </ns0:is>
      </ns0:c>
      <ns0:c r="K181" s="15" t="n">
        <ns0:v>8011</ns0:v>
      </ns0:c>
      <ns0:c r="L181" t="inlineStr">
        <ns0:is>
          <ns0:t>FETCH|0x0000005C|0x0A8E0A63</ns0:t>
        </ns0:is>
      </ns0:c>
      <ns0:c r="M181" t="inlineStr">
        <ns0:is>
          <ns0:t>beq@0x0000005C</ns0:t>
        </ns0:is>
      </ns0:c>
      <ns0:c r="N181">
        <ns0:f>IF(E181="FETCH",IF(COUNTIF($M$6:M181,M181)=1,1,0),0)</ns0:f>
        <ns0:v>0</ns0:v>
      </ns0:c>
      <ns0:c r="O181" t="inlineStr">
        <ns0:is>
          <ns0:t>ROM OK</ns0:t>
        </ns0:is>
      </ns0:c>
      <ns0:c r="P181">
        <ns0:f>IF(AND(E181="FETCH",F181="0x00000048"),C181-1,0)</ns0:f>
        <ns0:v>0</ns0:v>
      </ns0:c>
      <ns0:c r="Q181" s="15" t="inlineStr">
        <ns0:is>
          <ns0:t>E:0000000a:0001002e:0000005c:0a8e0a63</ns0:t>
        </ns0:is>
      </ns0:c>
    </ns0:row>
    <ns0:row r="182">
      <ns0:c r="A182" t="n">
        <ns0:v>8</ns0:v>
      </ns0:c>
      <ns0:c r="B182" t="inlineStr">
        <ns0:is>
          <ns0:t>0</ns0:t>
        </ns0:is>
      </ns0:c>
      <ns0:c r="C182" t="n">
        <ns0:v>12</ns0:v>
      </ns0:c>
      <ns0:c r="D182" t="n">
        <ns0:v>50</ns0:v>
      </ns0:c>
      <ns0:c r="E182" s="14" t="inlineStr">
        <ns0:is>
          <ns0:t>FETCH</ns0:t>
        </ns0:is>
      </ns0:c>
      <ns0:c r="F182" s="15" t="inlineStr">
        <ns0:is>
          <ns0:t>0x00000060</ns0:t>
        </ns0:is>
      </ns0:c>
      <ns0:c r="G182" s="15" t="inlineStr">
        <ns0:is>
          <ns0:t>0x03000413</ns0:t>
        </ns0:is>
      </ns0:c>
      <ns0:c r="H182" s="15" t="inlineStr">
        <ns0:is>
          <ns0:t>addi s0, zero, 48</ns0:t>
        </ns0:is>
      </ns0:c>
      <ns0:c r="I182" t="inlineStr">
        <ns0:is>
          <ns0:t>addi</ns0:t>
        </ns0:is>
      </ns0:c>
      <ns0:c r="J182" t="inlineStr">
        <ns0:is>
          <ns0:t>CORE</ns0:t>
        </ns0:is>
      </ns0:c>
      <ns0:c r="K182" s="15" t="n">
        <ns0:v>8012</ns0:v>
      </ns0:c>
      <ns0:c r="L182" t="inlineStr">
        <ns0:is>
          <ns0:t>FETCH|0x00000060|0x03000413</ns0:t>
        </ns0:is>
      </ns0:c>
      <ns0:c r="M182" t="inlineStr">
        <ns0:is>
          <ns0:t>addi@0x00000060</ns0:t>
        </ns0:is>
      </ns0:c>
      <ns0:c r="N182">
        <ns0:f>IF(E182="FETCH",IF(COUNTIF($M$6:M182,M182)=1,1,0),0)</ns0:f>
        <ns0:v>0</ns0:v>
      </ns0:c>
      <ns0:c r="O182" t="inlineStr">
        <ns0:is>
          <ns0:t>ROM OK</ns0:t>
        </ns0:is>
      </ns0:c>
      <ns0:c r="P182">
        <ns0:f>IF(AND(E182="FETCH",F182="0x00000048"),C182-1,0)</ns0:f>
        <ns0:v>0</ns0:v>
      </ns0:c>
      <ns0:c r="Q182" s="15" t="inlineStr">
        <ns0:is>
          <ns0:t>E:0000000b:00010032:00000060:03000413</ns0:t>
        </ns0:is>
      </ns0:c>
    </ns0:row>
    <ns0:row r="183">
      <ns0:c r="A183" t="n">
        <ns0:v>8</ns0:v>
      </ns0:c>
      <ns0:c r="B183" t="inlineStr">
        <ns0:is>
          <ns0:t>0</ns0:t>
        </ns0:is>
      </ns0:c>
      <ns0:c r="C183" t="n">
        <ns0:v>13</ns0:v>
      </ns0:c>
      <ns0:c r="D183" t="n">
        <ns0:v>54</ns0:v>
      </ns0:c>
      <ns0:c r="E183" s="14" t="inlineStr">
        <ns0:is>
          <ns0:t>FETCH</ns0:t>
        </ns0:is>
      </ns0:c>
      <ns0:c r="F183" s="15" t="inlineStr">
        <ns0:is>
          <ns0:t>0x00000064</ns0:t>
        </ns0:is>
      </ns0:c>
      <ns0:c r="G183" s="15" t="inlineStr">
        <ns0:is>
          <ns0:t>0x048E0463</ns0:t>
        </ns0:is>
      </ns0:c>
      <ns0:c r="H183" s="15" t="inlineStr">
        <ns0:is>
          <ns0:t>beq t3, s0, 0x000000AC</ns0:t>
        </ns0:is>
      </ns0:c>
      <ns0:c r="I183" t="inlineStr">
        <ns0:is>
          <ns0:t>beq</ns0:t>
        </ns0:is>
      </ns0:c>
      <ns0:c r="J183" t="inlineStr">
        <ns0:is>
          <ns0:t>CORE</ns0:t>
        </ns0:is>
      </ns0:c>
      <ns0:c r="K183" s="15" t="n">
        <ns0:v>8013</ns0:v>
      </ns0:c>
      <ns0:c r="L183" t="inlineStr">
        <ns0:is>
          <ns0:t>FETCH|0x00000064|0x048E0463</ns0:t>
        </ns0:is>
      </ns0:c>
      <ns0:c r="M183" t="inlineStr">
        <ns0:is>
          <ns0:t>beq@0x00000064</ns0:t>
        </ns0:is>
      </ns0:c>
      <ns0:c r="N183">
        <ns0:f>IF(E183="FETCH",IF(COUNTIF($M$6:M183,M183)=1,1,0),0)</ns0:f>
        <ns0:v>0</ns0:v>
      </ns0:c>
      <ns0:c r="O183" t="inlineStr">
        <ns0:is>
          <ns0:t>ROM OK</ns0:t>
        </ns0:is>
      </ns0:c>
      <ns0:c r="P183">
        <ns0:f>IF(AND(E183="FETCH",F183="0x00000048"),C183-1,0)</ns0:f>
        <ns0:v>0</ns0:v>
      </ns0:c>
      <ns0:c r="Q183" s="15" t="inlineStr">
        <ns0:is>
          <ns0:t>E:0000000c:00010036:00000064:048e0463</ns0:t>
        </ns0:is>
      </ns0:c>
    </ns0:row>
    <ns0:row r="184">
      <ns0:c r="A184" t="n">
        <ns0:v>8</ns0:v>
      </ns0:c>
      <ns0:c r="B184" t="inlineStr">
        <ns0:is>
          <ns0:t>0</ns0:t>
        </ns0:is>
      </ns0:c>
      <ns0:c r="C184" t="n">
        <ns0:v>14</ns0:v>
      </ns0:c>
      <ns0:c r="D184" t="n">
        <ns0:v>58</ns0:v>
      </ns0:c>
      <ns0:c r="E184" s="14" t="inlineStr">
        <ns0:is>
          <ns0:t>FETCH</ns0:t>
        </ns0:is>
      </ns0:c>
      <ns0:c r="F184" s="15" t="inlineStr">
        <ns0:is>
          <ns0:t>0x00000068</ns0:t>
        </ns0:is>
      </ns0:c>
      <ns0:c r="G184" s="15" t="inlineStr">
        <ns0:is>
          <ns0:t>0x03100413</ns0:t>
        </ns0:is>
      </ns0:c>
      <ns0:c r="H184" s="15" t="inlineStr">
        <ns0:is>
          <ns0:t>addi s0, zero, 49</ns0:t>
        </ns0:is>
      </ns0:c>
      <ns0:c r="I184" t="inlineStr">
        <ns0:is>
          <ns0:t>addi</ns0:t>
        </ns0:is>
      </ns0:c>
      <ns0:c r="J184" t="inlineStr">
        <ns0:is>
          <ns0:t>CORE</ns0:t>
        </ns0:is>
      </ns0:c>
      <ns0:c r="K184" s="15" t="n">
        <ns0:v>8014</ns0:v>
      </ns0:c>
      <ns0:c r="L184" t="inlineStr">
        <ns0:is>
          <ns0:t>FETCH|0x00000068|0x03100413</ns0:t>
        </ns0:is>
      </ns0:c>
      <ns0:c r="M184" t="inlineStr">
        <ns0:is>
          <ns0:t>addi@0x00000068</ns0:t>
        </ns0:is>
      </ns0:c>
      <ns0:c r="N184">
        <ns0:f>IF(E184="FETCH",IF(COUNTIF($M$6:M184,M184)=1,1,0),0)</ns0:f>
        <ns0:v>0</ns0:v>
      </ns0:c>
      <ns0:c r="O184" t="inlineStr">
        <ns0:is>
          <ns0:t>ROM OK</ns0:t>
        </ns0:is>
      </ns0:c>
      <ns0:c r="P184">
        <ns0:f>IF(AND(E184="FETCH",F184="0x00000048"),C184-1,0)</ns0:f>
        <ns0:v>0</ns0:v>
      </ns0:c>
      <ns0:c r="Q184" s="15" t="inlineStr">
        <ns0:is>
          <ns0:t>E:0000000d:0001003a:00000068:03100413</ns0:t>
        </ns0:is>
      </ns0:c>
    </ns0:row>
    <ns0:row r="185">
      <ns0:c r="A185" t="n">
        <ns0:v>8</ns0:v>
      </ns0:c>
      <ns0:c r="B185" t="inlineStr">
        <ns0:is>
          <ns0:t>0</ns0:t>
        </ns0:is>
      </ns0:c>
      <ns0:c r="C185" t="n">
        <ns0:v>15</ns0:v>
      </ns0:c>
      <ns0:c r="D185" t="n">
        <ns0:v>61</ns0:v>
      </ns0:c>
      <ns0:c r="E185" s="14" t="inlineStr">
        <ns0:is>
          <ns0:t>FETCH</ns0:t>
        </ns0:is>
      </ns0:c>
      <ns0:c r="F185" s="15" t="inlineStr">
        <ns0:is>
          <ns0:t>0x000000AC</ns0:t>
        </ns0:is>
      </ns0:c>
      <ns0:c r="G185" s="15" t="inlineStr">
        <ns0:is>
          <ns0:t>0x00000E93</ns0:t>
        </ns0:is>
      </ns0:c>
      <ns0:c r="H185" s="15" t="inlineStr">
        <ns0:is>
          <ns0:t>addi t4, zero, 0</ns0:t>
        </ns0:is>
      </ns0:c>
      <ns0:c r="I185" t="inlineStr">
        <ns0:is>
          <ns0:t>addi</ns0:t>
        </ns0:is>
      </ns0:c>
      <ns0:c r="J185" t="inlineStr">
        <ns0:is>
          <ns0:t>CORE</ns0:t>
        </ns0:is>
      </ns0:c>
      <ns0:c r="K185" s="15" t="n">
        <ns0:v>8015</ns0:v>
      </ns0:c>
      <ns0:c r="L185" t="inlineStr">
        <ns0:is>
          <ns0:t>FETCH|0x000000AC|0x00000E93</ns0:t>
        </ns0:is>
      </ns0:c>
      <ns0:c r="M185" t="inlineStr">
        <ns0:is>
          <ns0:t>addi@0x000000AC</ns0:t>
        </ns0:is>
      </ns0:c>
      <ns0:c r="N185">
        <ns0:f>IF(E185="FETCH",IF(COUNTIF($M$6:M185,M185)=1,1,0),0)</ns0:f>
        <ns0:v>0</ns0:v>
      </ns0:c>
      <ns0:c r="O185" t="inlineStr">
        <ns0:is>
          <ns0:t>ROM OK</ns0:t>
        </ns0:is>
      </ns0:c>
      <ns0:c r="P185">
        <ns0:f>IF(AND(E185="FETCH",F185="0x00000048"),C185-1,0)</ns0:f>
        <ns0:v>0</ns0:v>
      </ns0:c>
      <ns0:c r="Q185" s="15" t="inlineStr">
        <ns0:is>
          <ns0:t>E:0000000e:0001003d:000000ac:00000e93</ns0:t>
        </ns0:is>
      </ns0:c>
    </ns0:row>
    <ns0:row r="186">
      <ns0:c r="A186" t="n">
        <ns0:v>8</ns0:v>
      </ns0:c>
      <ns0:c r="B186" t="inlineStr">
        <ns0:is>
          <ns0:t>0</ns0:t>
        </ns0:is>
      </ns0:c>
      <ns0:c r="C186" t="n">
        <ns0:v>16</ns0:v>
      </ns0:c>
      <ns0:c r="D186" t="n">
        <ns0:v>65</ns0:v>
      </ns0:c>
      <ns0:c r="E186" s="14" t="inlineStr">
        <ns0:is>
          <ns0:t>FETCH</ns0:t>
        </ns0:is>
      </ns0:c>
      <ns0:c r="F186" s="15" t="inlineStr">
        <ns0:is>
          <ns0:t>0x000000B0</ns0:t>
        </ns0:is>
      </ns0:c>
      <ns0:c r="G186" s="15" t="inlineStr">
        <ns0:is>
          <ns0:t>0x03000F13</ns0:t>
        </ns0:is>
      </ns0:c>
      <ns0:c r="H186" s="15" t="inlineStr">
        <ns0:is>
          <ns0:t>addi t5, zero, 48</ns0:t>
        </ns0:is>
      </ns0:c>
      <ns0:c r="I186" t="inlineStr">
        <ns0:is>
          <ns0:t>addi</ns0:t>
        </ns0:is>
      </ns0:c>
      <ns0:c r="J186" t="inlineStr">
        <ns0:is>
          <ns0:t>CORE</ns0:t>
        </ns0:is>
      </ns0:c>
      <ns0:c r="K186" s="15" t="n">
        <ns0:v>8016</ns0:v>
      </ns0:c>
      <ns0:c r="L186" t="inlineStr">
        <ns0:is>
          <ns0:t>FETCH|0x000000B0|0x03000F13</ns0:t>
        </ns0:is>
      </ns0:c>
      <ns0:c r="M186" t="inlineStr">
        <ns0:is>
          <ns0:t>addi@0x000000B0</ns0:t>
        </ns0:is>
      </ns0:c>
      <ns0:c r="N186">
        <ns0:f>IF(E186="FETCH",IF(COUNTIF($M$6:M186,M186)=1,1,0),0)</ns0:f>
        <ns0:v>0</ns0:v>
      </ns0:c>
      <ns0:c r="O186" t="inlineStr">
        <ns0:is>
          <ns0:t>ROM OK</ns0:t>
        </ns0:is>
      </ns0:c>
      <ns0:c r="P186">
        <ns0:f>IF(AND(E186="FETCH",F186="0x00000048"),C186-1,0)</ns0:f>
        <ns0:v>0</ns0:v>
      </ns0:c>
      <ns0:c r="Q186" s="15" t="inlineStr">
        <ns0:is>
          <ns0:t>E:0000000f:00010041:000000b0:03000f13</ns0:t>
        </ns0:is>
      </ns0:c>
    </ns0:row>
    <ns0:row r="187">
      <ns0:c r="A187" t="n">
        <ns0:v>8</ns0:v>
      </ns0:c>
      <ns0:c r="B187" t="inlineStr">
        <ns0:is>
          <ns0:t>0</ns0:t>
        </ns0:is>
      </ns0:c>
      <ns0:c r="C187" t="n">
        <ns0:v>17</ns0:v>
      </ns0:c>
      <ns0:c r="D187" t="n">
        <ns0:v>69</ns0:v>
      </ns0:c>
      <ns0:c r="E187" s="14" t="inlineStr">
        <ns0:is>
          <ns0:t>FETCH</ns0:t>
        </ns0:is>
      </ns0:c>
      <ns0:c r="F187" s="15" t="inlineStr">
        <ns0:is>
          <ns0:t>0x000000B4</ns0:t>
        </ns0:is>
      </ns0:c>
      <ns0:c r="G187" s="15" t="inlineStr">
        <ns0:is>
          <ns0:t>0x04C0006F</ns0:t>
        </ns0:is>
      </ns0:c>
      <ns0:c r="H187" s="15" t="inlineStr">
        <ns0:is>
          <ns0:t>jal zero, 0x00000100</ns0:t>
        </ns0:is>
      </ns0:c>
      <ns0:c r="I187" t="inlineStr">
        <ns0:is>
          <ns0:t>jal</ns0:t>
        </ns0:is>
      </ns0:c>
      <ns0:c r="J187" t="inlineStr">
        <ns0:is>
          <ns0:t>CORE</ns0:t>
        </ns0:is>
      </ns0:c>
      <ns0:c r="K187" s="15" t="n">
        <ns0:v>8017</ns0:v>
      </ns0:c>
      <ns0:c r="L187" t="inlineStr">
        <ns0:is>
          <ns0:t>FETCH|0x000000B4|0x04C0006F</ns0:t>
        </ns0:is>
      </ns0:c>
      <ns0:c r="M187" t="inlineStr">
        <ns0:is>
          <ns0:t>jal@0x000000B4</ns0:t>
        </ns0:is>
      </ns0:c>
      <ns0:c r="N187">
        <ns0:f>IF(E187="FETCH",IF(COUNTIF($M$6:M187,M187)=1,1,0),0)</ns0:f>
        <ns0:v>0</ns0:v>
      </ns0:c>
      <ns0:c r="O187" t="inlineStr">
        <ns0:is>
          <ns0:t>ROM OK</ns0:t>
        </ns0:is>
      </ns0:c>
      <ns0:c r="P187">
        <ns0:f>IF(AND(E187="FETCH",F187="0x00000048"),C187-1,0)</ns0:f>
        <ns0:v>0</ns0:v>
      </ns0:c>
      <ns0:c r="Q187" s="15" t="inlineStr">
        <ns0:is>
          <ns0:t>E:00000010:00010045:000000b4:04c0006f</ns0:t>
        </ns0:is>
      </ns0:c>
    </ns0:row>
    <ns0:row r="188">
      <ns0:c r="A188" t="n">
        <ns0:v>8</ns0:v>
      </ns0:c>
      <ns0:c r="B188" t="inlineStr">
        <ns0:is>
          <ns0:t>0</ns0:t>
        </ns0:is>
      </ns0:c>
      <ns0:c r="C188" t="n">
        <ns0:v>18</ns0:v>
      </ns0:c>
      <ns0:c r="D188" t="n">
        <ns0:v>73</ns0:v>
      </ns0:c>
      <ns0:c r="E188" s="14" t="inlineStr">
        <ns0:is>
          <ns0:t>FETCH</ns0:t>
        </ns0:is>
      </ns0:c>
      <ns0:c r="F188" s="15" t="inlineStr">
        <ns0:is>
          <ns0:t>0x00000100</ns0:t>
        </ns0:is>
      </ns0:c>
      <ns0:c r="G188" s="15" t="inlineStr">
        <ns0:is>
          <ns0:t>0x01D2A023</ns0:t>
        </ns0:is>
      </ns0:c>
      <ns0:c r="H188" s="15" t="inlineStr">
        <ns0:is>
          <ns0:t>sw t4, 0(t0)</ns0:t>
        </ns0:is>
      </ns0:c>
      <ns0:c r="I188" t="inlineStr">
        <ns0:is>
          <ns0:t>sw</ns0:t>
        </ns0:is>
      </ns0:c>
      <ns0:c r="J188" t="inlineStr">
        <ns0:is>
          <ns0:t>CORE</ns0:t>
        </ns0:is>
      </ns0:c>
      <ns0:c r="K188" s="15" t="n">
        <ns0:v>8018</ns0:v>
      </ns0:c>
      <ns0:c r="L188" t="inlineStr">
        <ns0:is>
          <ns0:t>FETCH|0x00000100|0x01D2A023</ns0:t>
        </ns0:is>
      </ns0:c>
      <ns0:c r="M188" t="inlineStr">
        <ns0:is>
          <ns0:t>sw@0x00000100</ns0:t>
        </ns0:is>
      </ns0:c>
      <ns0:c r="N188">
        <ns0:f>IF(E188="FETCH",IF(COUNTIF($M$6:M188,M188)=1,1,0),0)</ns0:f>
        <ns0:v>0</ns0:v>
      </ns0:c>
      <ns0:c r="O188" t="inlineStr">
        <ns0:is>
          <ns0:t>ROM OK</ns0:t>
        </ns0:is>
      </ns0:c>
      <ns0:c r="P188">
        <ns0:f>IF(AND(E188="FETCH",F188="0x00000048"),C188-1,0)</ns0:f>
        <ns0:v>0</ns0:v>
      </ns0:c>
      <ns0:c r="Q188" s="15" t="inlineStr">
        <ns0:is>
          <ns0:t>E:00000011:00010049:00000100:01d2a023</ns0:t>
        </ns0:is>
      </ns0:c>
    </ns0:row>
    <ns0:row r="189">
      <ns0:c r="A189" t="n">
        <ns0:v>8</ns0:v>
      </ns0:c>
      <ns0:c r="B189" t="inlineStr">
        <ns0:is>
          <ns0:t>0</ns0:t>
        </ns0:is>
      </ns0:c>
      <ns0:c r="C189" t="n">
        <ns0:v>19</ns0:v>
      </ns0:c>
      <ns0:c r="D189" t="n">
        <ns0:v>77</ns0:v>
      </ns0:c>
      <ns0:c r="E189" s="14" t="inlineStr">
        <ns0:is>
          <ns0:t>FETCH</ns0:t>
        </ns0:is>
      </ns0:c>
      <ns0:c r="F189" s="15" t="inlineStr">
        <ns0:is>
          <ns0:t>0x00000104</ns0:t>
        </ns0:is>
      </ns0:c>
      <ns0:c r="G189" s="15" t="inlineStr">
        <ns0:is>
          <ns0:t>0x0002AF83</ns0:t>
        </ns0:is>
      </ns0:c>
      <ns0:c r="H189" s="15" t="inlineStr">
        <ns0:is>
          <ns0:t>lw t6, 0(t0)</ns0:t>
        </ns0:is>
      </ns0:c>
      <ns0:c r="I189" t="inlineStr">
        <ns0:is>
          <ns0:t>lw</ns0:t>
        </ns0:is>
      </ns0:c>
      <ns0:c r="J189" t="inlineStr">
        <ns0:is>
          <ns0:t>CORE</ns0:t>
        </ns0:is>
      </ns0:c>
      <ns0:c r="K189" s="15" t="n">
        <ns0:v>8019</ns0:v>
      </ns0:c>
      <ns0:c r="L189" t="inlineStr">
        <ns0:is>
          <ns0:t>FETCH|0x00000104|0x0002AF83</ns0:t>
        </ns0:is>
      </ns0:c>
      <ns0:c r="M189" t="inlineStr">
        <ns0:is>
          <ns0:t>lw@0x00000104</ns0:t>
        </ns0:is>
      </ns0:c>
      <ns0:c r="N189">
        <ns0:f>IF(E189="FETCH",IF(COUNTIF($M$6:M189,M189)=1,1,0),0)</ns0:f>
        <ns0:v>0</ns0:v>
      </ns0:c>
      <ns0:c r="O189" t="inlineStr">
        <ns0:is>
          <ns0:t>ROM OK</ns0:t>
        </ns0:is>
      </ns0:c>
      <ns0:c r="P189">
        <ns0:f>IF(AND(E189="FETCH",F189="0x00000048"),C189-1,0)</ns0:f>
        <ns0:v>0</ns0:v>
      </ns0:c>
      <ns0:c r="Q189" s="15" t="inlineStr">
        <ns0:is>
          <ns0:t>E:00000012:0001004d:00000104:0002af83</ns0:t>
        </ns0:is>
      </ns0:c>
    </ns0:row>
    <ns0:row r="190">
      <ns0:c r="A190" s="17" t="n">
        <ns0:v>8</ns0:v>
      </ns0:c>
      <ns0:c r="B190" s="17" t="inlineStr">
        <ns0:is>
          <ns0:t>0</ns0:t>
        </ns0:is>
      </ns0:c>
      <ns0:c r="C190" s="17" t="n">
        <ns0:v>20</ns0:v>
      </ns0:c>
      <ns0:c r="D190" s="17" t="n">
        <ns0:v>80</ns0:v>
      </ns0:c>
      <ns0:c r="E190" s="18" t="inlineStr">
        <ns0:is>
          <ns0:t>LED_WRITE</ns0:t>
        </ns0:is>
      </ns0:c>
      <ns0:c r="F190" s="19" t="inlineStr">
        <ns0:is>
          <ns0:t>0x20000000</ns0:t>
        </ns0:is>
      </ns0:c>
      <ns0:c r="G190" s="19" t="inlineStr">
        <ns0:is>
          <ns0:t>0x00000000</ns0:t>
        </ns0:is>
      </ns0:c>
      <ns0:c r="H190" s="19" t="inlineStr">
        <ns0:is>
          <ns0:t>MMIO GPIO write</ns0:t>
        </ns0:is>
      </ns0:c>
      <ns0:c r="I190" s="17" t="inlineStr">
        <ns0:is>
          <ns0:t>LED_WRITE</ns0:t>
        </ns0:is>
      </ns0:c>
      <ns0:c r="J190" s="17" t="inlineStr">
        <ns0:is>
          <ns0:t>MMIO</ns0:t>
        </ns0:is>
      </ns0:c>
      <ns0:c r="K190" s="19" t="n">
        <ns0:v>8020</ns0:v>
      </ns0:c>
      <ns0:c r="L190" s="17" t="inlineStr">
        <ns0:is>
          <ns0:t>LED_WRITE|0x20000000|0x00000000</ns0:t>
        </ns0:is>
      </ns0:c>
      <ns0:c r="M190" s="17" t="inlineStr"/>
      <ns0:c r="N190" s="17">
        <ns0:f>IF(E190="FETCH",IF(COUNTIF($M$6:M190,M190)=1,1,0),0)</ns0:f>
        <ns0:v>0</ns0:v>
      </ns0:c>
      <ns0:c r="O190" s="17" t="inlineStr">
        <ns0:is>
          <ns0:t>MMIO OK</ns0:t>
        </ns0:is>
      </ns0:c>
      <ns0:c r="P190" s="17">
        <ns0:f>IF(AND(E190="FETCH",F190="0x00000048"),C190-1,0)</ns0:f>
        <ns0:v>0</ns0:v>
      </ns0:c>
      <ns0:c r="Q190" s="19" t="inlineStr">
        <ns0:is>
          <ns0:t>E:00000013:00020050:20000000:00000000</ns0:t>
        </ns0:is>
      </ns0:c>
    </ns0:row>
    <ns0:row r="191">
      <ns0:c r="A191" t="n">
        <ns0:v>9</ns0:v>
      </ns0:c>
      <ns0:c r="B191" t="inlineStr">
        <ns0:is>
          <ns0:t>4</ns0:t>
        </ns0:is>
      </ns0:c>
      <ns0:c r="C191" t="n">
        <ns0:v>1</ns0:v>
      </ns0:c>
      <ns0:c r="D191" t="n">
        <ns0:v>1</ns0:v>
      </ns0:c>
      <ns0:c r="E191" s="14" t="inlineStr">
        <ns0:is>
          <ns0:t>FETCH</ns0:t>
        </ns0:is>
      </ns0:c>
      <ns0:c r="F191" s="15" t="inlineStr">
        <ns0:is>
          <ns0:t>0x0000003C</ns0:t>
        </ns0:is>
      </ns0:c>
      <ns0:c r="G191" s="15" t="inlineStr">
        <ns0:is>
          <ns0:t>0x0013F393</ns0:t>
        </ns0:is>
      </ns0:c>
      <ns0:c r="H191" s="15" t="inlineStr">
        <ns0:is>
          <ns0:t>andi t2, t2, 1</ns0:t>
        </ns0:is>
      </ns0:c>
      <ns0:c r="I191" t="inlineStr">
        <ns0:is>
          <ns0:t>andi</ns0:t>
        </ns0:is>
      </ns0:c>
      <ns0:c r="J191" s="16" t="inlineStr">
        <ns0:is>
          <ns0:t>POLL</ns0:t>
        </ns0:is>
      </ns0:c>
      <ns0:c r="K191" s="15" t="n">
        <ns0:v>9001</ns0:v>
      </ns0:c>
      <ns0:c r="L191" t="inlineStr">
        <ns0:is>
          <ns0:t>FETCH|0x0000003C|0x0013F393</ns0:t>
        </ns0:is>
      </ns0:c>
      <ns0:c r="M191" t="inlineStr">
        <ns0:is>
          <ns0:t>andi@0x0000003C</ns0:t>
        </ns0:is>
      </ns0:c>
      <ns0:c r="N191">
        <ns0:f>IF(E191="FETCH",IF(COUNTIF($M$6:M191,M191)=1,1,0),0)</ns0:f>
        <ns0:v>0</ns0:v>
      </ns0:c>
      <ns0:c r="O191" t="inlineStr">
        <ns0:is>
          <ns0:t>ROM OK</ns0:t>
        </ns0:is>
      </ns0:c>
      <ns0:c r="P191">
        <ns0:f>IF(AND(E191="FETCH",F191="0x00000048"),C191-1,0)</ns0:f>
        <ns0:v>0</ns0:v>
      </ns0:c>
      <ns0:c r="Q191" s="15" t="inlineStr">
        <ns0:is>
          <ns0:t>E:00000000:00010001:0000003c:0013f393</ns0:t>
        </ns0:is>
      </ns0:c>
    </ns0:row>
    <ns0:row r="192">
      <ns0:c r="A192" t="n">
        <ns0:v>9</ns0:v>
      </ns0:c>
      <ns0:c r="B192" t="inlineStr">
        <ns0:is>
          <ns0:t>4</ns0:t>
        </ns0:is>
      </ns0:c>
      <ns0:c r="C192" t="n">
        <ns0:v>2</ns0:v>
      </ns0:c>
      <ns0:c r="D192" t="n">
        <ns0:v>8</ns0:v>
      </ns0:c>
      <ns0:c r="E192" s="14" t="inlineStr">
        <ns0:is>
          <ns0:t>FETCH</ns0:t>
        </ns0:is>
      </ns0:c>
      <ns0:c r="F192" s="15" t="inlineStr">
        <ns0:is>
          <ns0:t>0x00000040</ns0:t>
        </ns0:is>
      </ns0:c>
      <ns0:c r="G192" s="15" t="inlineStr">
        <ns0:is>
          <ns0:t>0xFE038CE3</ns0:t>
        </ns0:is>
      </ns0:c>
      <ns0:c r="H192" s="15" t="inlineStr">
        <ns0:is>
          <ns0:t>beq t2, zero, 0x00000038</ns0:t>
        </ns0:is>
      </ns0:c>
      <ns0:c r="I192" t="inlineStr">
        <ns0:is>
          <ns0:t>beq</ns0:t>
        </ns0:is>
      </ns0:c>
      <ns0:c r="J192" s="16" t="inlineStr">
        <ns0:is>
          <ns0:t>POLL</ns0:t>
        </ns0:is>
      </ns0:c>
      <ns0:c r="K192" s="15" t="n">
        <ns0:v>9002</ns0:v>
      </ns0:c>
      <ns0:c r="L192" t="inlineStr">
        <ns0:is>
          <ns0:t>FETCH|0x00000040|0xFE038CE3</ns0:t>
        </ns0:is>
      </ns0:c>
      <ns0:c r="M192" t="inlineStr">
        <ns0:is>
          <ns0:t>beq@0x00000040</ns0:t>
        </ns0:is>
      </ns0:c>
      <ns0:c r="N192">
        <ns0:f>IF(E192="FETCH",IF(COUNTIF($M$6:M192,M192)=1,1,0),0)</ns0:f>
        <ns0:v>0</ns0:v>
      </ns0:c>
      <ns0:c r="O192" t="inlineStr">
        <ns0:is>
          <ns0:t>ROM OK</ns0:t>
        </ns0:is>
      </ns0:c>
      <ns0:c r="P192">
        <ns0:f>IF(AND(E192="FETCH",F192="0x00000048"),C192-1,0)</ns0:f>
        <ns0:v>0</ns0:v>
      </ns0:c>
      <ns0:c r="Q192" s="15" t="inlineStr">
        <ns0:is>
          <ns0:t>E:00000001:00010008:00000040:fe038ce3</ns0:t>
        </ns0:is>
      </ns0:c>
    </ns0:row>
    <ns0:row r="193">
      <ns0:c r="A193" t="n">
        <ns0:v>9</ns0:v>
      </ns0:c>
      <ns0:c r="B193" t="inlineStr">
        <ns0:is>
          <ns0:t>4</ns0:t>
        </ns0:is>
      </ns0:c>
      <ns0:c r="C193" t="n">
        <ns0:v>3</ns0:v>
      </ns0:c>
      <ns0:c r="D193" t="n">
        <ns0:v>12</ns0:v>
      </ns0:c>
      <ns0:c r="E193" s="14" t="inlineStr">
        <ns0:is>
          <ns0:t>FETCH</ns0:t>
        </ns0:is>
      </ns0:c>
      <ns0:c r="F193" s="15" t="inlineStr">
        <ns0:is>
          <ns0:t>0x00000044</ns0:t>
        </ns0:is>
      </ns0:c>
      <ns0:c r="G193" s="15" t="inlineStr">
        <ns0:is>
          <ns0:t>0x0182AE03</ns0:t>
        </ns0:is>
      </ns0:c>
      <ns0:c r="H193" s="15" t="inlineStr">
        <ns0:is>
          <ns0:t>lw t3, 24(t0)</ns0:t>
        </ns0:is>
      </ns0:c>
      <ns0:c r="I193" t="inlineStr">
        <ns0:is>
          <ns0:t>lw</ns0:t>
        </ns0:is>
      </ns0:c>
      <ns0:c r="J193" s="16" t="inlineStr">
        <ns0:is>
          <ns0:t>POLL</ns0:t>
        </ns0:is>
      </ns0:c>
      <ns0:c r="K193" s="15" t="n">
        <ns0:v>9003</ns0:v>
      </ns0:c>
      <ns0:c r="L193" t="inlineStr">
        <ns0:is>
          <ns0:t>FETCH|0x00000044|0x0182AE03</ns0:t>
        </ns0:is>
      </ns0:c>
      <ns0:c r="M193" t="inlineStr">
        <ns0:is>
          <ns0:t>lw@0x00000044</ns0:t>
        </ns0:is>
      </ns0:c>
      <ns0:c r="N193">
        <ns0:f>IF(E193="FETCH",IF(COUNTIF($M$6:M193,M193)=1,1,0),0)</ns0:f>
        <ns0:v>0</ns0:v>
      </ns0:c>
      <ns0:c r="O193" t="inlineStr">
        <ns0:is>
          <ns0:t>ROM OK</ns0:t>
        </ns0:is>
      </ns0:c>
      <ns0:c r="P193">
        <ns0:f>IF(AND(E193="FETCH",F193="0x00000048"),C193-1,0)</ns0:f>
        <ns0:v>0</ns0:v>
      </ns0:c>
      <ns0:c r="Q193" s="15" t="inlineStr">
        <ns0:is>
          <ns0:t>E:00000002:0001000c:00000044:0182ae03</ns0:t>
        </ns0:is>
      </ns0:c>
    </ns0:row>
    <ns0:row r="194">
      <ns0:c r="A194" t="n">
        <ns0:v>9</ns0:v>
      </ns0:c>
      <ns0:c r="B194" t="inlineStr">
        <ns0:is>
          <ns0:t>4</ns0:t>
        </ns0:is>
      </ns0:c>
      <ns0:c r="C194" t="n">
        <ns0:v>4</ns0:v>
      </ns0:c>
      <ns0:c r="D194" t="n">
        <ns0:v>16</ns0:v>
      </ns0:c>
      <ns0:c r="E194" s="14" t="inlineStr">
        <ns0:is>
          <ns0:t>FETCH</ns0:t>
        </ns0:is>
      </ns0:c>
      <ns0:c r="F194" s="15" t="inlineStr">
        <ns0:is>
          <ns0:t>0x00000048</ns0:t>
        </ns0:is>
      </ns0:c>
      <ns0:c r="G194" s="15" t="inlineStr">
        <ns0:is>
          <ns0:t>0x05400413</ns0:t>
        </ns0:is>
      </ns0:c>
      <ns0:c r="H194" s="15" t="inlineStr">
        <ns0:is>
          <ns0:t>addi s0, zero, 84</ns0:t>
        </ns0:is>
      </ns0:c>
      <ns0:c r="I194" t="inlineStr">
        <ns0:is>
          <ns0:t>addi</ns0:t>
        </ns0:is>
      </ns0:c>
      <ns0:c r="J194" t="inlineStr">
        <ns0:is>
          <ns0:t>CORE</ns0:t>
        </ns0:is>
      </ns0:c>
      <ns0:c r="K194" s="15" t="n">
        <ns0:v>9004</ns0:v>
      </ns0:c>
      <ns0:c r="L194" t="inlineStr">
        <ns0:is>
          <ns0:t>FETCH|0x00000048|0x05400413</ns0:t>
        </ns0:is>
      </ns0:c>
      <ns0:c r="M194" t="inlineStr">
        <ns0:is>
          <ns0:t>addi@0x00000048</ns0:t>
        </ns0:is>
      </ns0:c>
      <ns0:c r="N194">
        <ns0:f>IF(E194="FETCH",IF(COUNTIF($M$6:M194,M194)=1,1,0),0)</ns0:f>
        <ns0:v>0</ns0:v>
      </ns0:c>
      <ns0:c r="O194" t="inlineStr">
        <ns0:is>
          <ns0:t>ROM OK</ns0:t>
        </ns0:is>
      </ns0:c>
      <ns0:c r="P194">
        <ns0:f>IF(AND(E194="FETCH",F194="0x00000048"),C194-1,0)</ns0:f>
        <ns0:v>3</ns0:v>
      </ns0:c>
      <ns0:c r="Q194" s="15" t="inlineStr">
        <ns0:is>
          <ns0:t>E:00000003:00010010:00000048:05400413</ns0:t>
        </ns0:is>
      </ns0:c>
    </ns0:row>
    <ns0:row r="195">
      <ns0:c r="A195" t="n">
        <ns0:v>9</ns0:v>
      </ns0:c>
      <ns0:c r="B195" t="inlineStr">
        <ns0:is>
          <ns0:t>4</ns0:t>
        </ns0:is>
      </ns0:c>
      <ns0:c r="C195" t="n">
        <ns0:v>5</ns0:v>
      </ns0:c>
      <ns0:c r="D195" t="n">
        <ns0:v>23</ns0:v>
      </ns0:c>
      <ns0:c r="E195" s="14" t="inlineStr">
        <ns0:is>
          <ns0:t>FETCH</ns0:t>
        </ns0:is>
      </ns0:c>
      <ns0:c r="F195" s="15" t="inlineStr">
        <ns0:is>
          <ns0:t>0x0000004C</ns0:t>
        </ns0:is>
      </ns0:c>
      <ns0:c r="G195" s="15" t="inlineStr">
        <ns0:is>
          <ns0:t>0x1A8E0063</ns0:t>
        </ns0:is>
      </ns0:c>
      <ns0:c r="H195" s="15" t="inlineStr">
        <ns0:is>
          <ns0:t>beq t3, s0, 0x000001EC</ns0:t>
        </ns0:is>
      </ns0:c>
      <ns0:c r="I195" t="inlineStr">
        <ns0:is>
          <ns0:t>beq</ns0:t>
        </ns0:is>
      </ns0:c>
      <ns0:c r="J195" t="inlineStr">
        <ns0:is>
          <ns0:t>CORE</ns0:t>
        </ns0:is>
      </ns0:c>
      <ns0:c r="K195" s="15" t="n">
        <ns0:v>9005</ns0:v>
      </ns0:c>
      <ns0:c r="L195" t="inlineStr">
        <ns0:is>
          <ns0:t>FETCH|0x0000004C|0x1A8E0063</ns0:t>
        </ns0:is>
      </ns0:c>
      <ns0:c r="M195" t="inlineStr">
        <ns0:is>
          <ns0:t>beq@0x0000004C</ns0:t>
        </ns0:is>
      </ns0:c>
      <ns0:c r="N195">
        <ns0:f>IF(E195="FETCH",IF(COUNTIF($M$6:M195,M195)=1,1,0),0)</ns0:f>
        <ns0:v>0</ns0:v>
      </ns0:c>
      <ns0:c r="O195" t="inlineStr">
        <ns0:is>
          <ns0:t>ROM OK</ns0:t>
        </ns0:is>
      </ns0:c>
      <ns0:c r="P195">
        <ns0:f>IF(AND(E195="FETCH",F195="0x00000048"),C195-1,0)</ns0:f>
        <ns0:v>0</ns0:v>
      </ns0:c>
      <ns0:c r="Q195" s="15" t="inlineStr">
        <ns0:is>
          <ns0:t>E:00000004:00010017:0000004c:1a8e0063</ns0:t>
        </ns0:is>
      </ns0:c>
    </ns0:row>
    <ns0:row r="196">
      <ns0:c r="A196" t="n">
        <ns0:v>9</ns0:v>
      </ns0:c>
      <ns0:c r="B196" t="inlineStr">
        <ns0:is>
          <ns0:t>4</ns0:t>
        </ns0:is>
      </ns0:c>
      <ns0:c r="C196" t="n">
        <ns0:v>6</ns0:v>
      </ns0:c>
      <ns0:c r="D196" t="n">
        <ns0:v>27</ns0:v>
      </ns0:c>
      <ns0:c r="E196" s="14" t="inlineStr">
        <ns0:is>
          <ns0:t>FETCH</ns0:t>
        </ns0:is>
      </ns0:c>
      <ns0:c r="F196" s="15" t="inlineStr">
        <ns0:is>
          <ns0:t>0x00000050</ns0:t>
        </ns0:is>
      </ns0:c>
      <ns0:c r="G196" s="15" t="inlineStr">
        <ns0:is>
          <ns0:t>0x04300413</ns0:t>
        </ns0:is>
      </ns0:c>
      <ns0:c r="H196" s="15" t="inlineStr">
        <ns0:is>
          <ns0:t>addi s0, zero, 67</ns0:t>
        </ns0:is>
      </ns0:c>
      <ns0:c r="I196" t="inlineStr">
        <ns0:is>
          <ns0:t>addi</ns0:t>
        </ns0:is>
      </ns0:c>
      <ns0:c r="J196" t="inlineStr">
        <ns0:is>
          <ns0:t>CORE</ns0:t>
        </ns0:is>
      </ns0:c>
      <ns0:c r="K196" s="15" t="n">
        <ns0:v>9006</ns0:v>
      </ns0:c>
      <ns0:c r="L196" t="inlineStr">
        <ns0:is>
          <ns0:t>FETCH|0x00000050|0x04300413</ns0:t>
        </ns0:is>
      </ns0:c>
      <ns0:c r="M196" t="inlineStr">
        <ns0:is>
          <ns0:t>addi@0x00000050</ns0:t>
        </ns0:is>
      </ns0:c>
      <ns0:c r="N196">
        <ns0:f>IF(E196="FETCH",IF(COUNTIF($M$6:M196,M196)=1,1,0),0)</ns0:f>
        <ns0:v>0</ns0:v>
      </ns0:c>
      <ns0:c r="O196" t="inlineStr">
        <ns0:is>
          <ns0:t>ROM OK</ns0:t>
        </ns0:is>
      </ns0:c>
      <ns0:c r="P196">
        <ns0:f>IF(AND(E196="FETCH",F196="0x00000048"),C196-1,0)</ns0:f>
        <ns0:v>0</ns0:v>
      </ns0:c>
      <ns0:c r="Q196" s="15" t="inlineStr">
        <ns0:is>
          <ns0:t>E:00000005:0001001b:00000050:04300413</ns0:t>
        </ns0:is>
      </ns0:c>
    </ns0:row>
    <ns0:row r="197">
      <ns0:c r="A197" t="n">
        <ns0:v>9</ns0:v>
      </ns0:c>
      <ns0:c r="B197" t="inlineStr">
        <ns0:is>
          <ns0:t>4</ns0:t>
        </ns0:is>
      </ns0:c>
      <ns0:c r="C197" t="n">
        <ns0:v>7</ns0:v>
      </ns0:c>
      <ns0:c r="D197" t="n">
        <ns0:v>31</ns0:v>
      </ns0:c>
      <ns0:c r="E197" s="14" t="inlineStr">
        <ns0:is>
          <ns0:t>FETCH</ns0:t>
        </ns0:is>
      </ns0:c>
      <ns0:c r="F197" s="15" t="inlineStr">
        <ns0:is>
          <ns0:t>0x00000054</ns0:t>
        </ns0:is>
      </ns0:c>
      <ns0:c r="G197" s="15" t="inlineStr">
        <ns0:is>
          <ns0:t>0x188E0063</ns0:t>
        </ns0:is>
      </ns0:c>
      <ns0:c r="H197" s="15" t="inlineStr">
        <ns0:is>
          <ns0:t>beq t3, s0, 0x000001D4</ns0:t>
        </ns0:is>
      </ns0:c>
      <ns0:c r="I197" t="inlineStr">
        <ns0:is>
          <ns0:t>beq</ns0:t>
        </ns0:is>
      </ns0:c>
      <ns0:c r="J197" t="inlineStr">
        <ns0:is>
          <ns0:t>CORE</ns0:t>
        </ns0:is>
      </ns0:c>
      <ns0:c r="K197" s="15" t="n">
        <ns0:v>9007</ns0:v>
      </ns0:c>
      <ns0:c r="L197" t="inlineStr">
        <ns0:is>
          <ns0:t>FETCH|0x00000054|0x188E0063</ns0:t>
        </ns0:is>
      </ns0:c>
      <ns0:c r="M197" t="inlineStr">
        <ns0:is>
          <ns0:t>beq@0x00000054</ns0:t>
        </ns0:is>
      </ns0:c>
      <ns0:c r="N197">
        <ns0:f>IF(E197="FETCH",IF(COUNTIF($M$6:M197,M197)=1,1,0),0)</ns0:f>
        <ns0:v>0</ns0:v>
      </ns0:c>
      <ns0:c r="O197" t="inlineStr">
        <ns0:is>
          <ns0:t>ROM OK</ns0:t>
        </ns0:is>
      </ns0:c>
      <ns0:c r="P197">
        <ns0:f>IF(AND(E197="FETCH",F197="0x00000048"),C197-1,0)</ns0:f>
        <ns0:v>0</ns0:v>
      </ns0:c>
      <ns0:c r="Q197" s="15" t="inlineStr">
        <ns0:is>
          <ns0:t>E:00000006:0001001f:00000054:188e0063</ns0:t>
        </ns0:is>
      </ns0:c>
    </ns0:row>
    <ns0:row r="198">
      <ns0:c r="A198" t="n">
        <ns0:v>9</ns0:v>
      </ns0:c>
      <ns0:c r="B198" t="inlineStr">
        <ns0:is>
          <ns0:t>4</ns0:t>
        </ns0:is>
      </ns0:c>
      <ns0:c r="C198" t="n">
        <ns0:v>8</ns0:v>
      </ns0:c>
      <ns0:c r="D198" t="n">
        <ns0:v>35</ns0:v>
      </ns0:c>
      <ns0:c r="E198" s="14" t="inlineStr">
        <ns0:is>
          <ns0:t>FETCH</ns0:t>
        </ns0:is>
      </ns0:c>
      <ns0:c r="F198" s="15" t="inlineStr">
        <ns0:is>
          <ns0:t>0x00000058</ns0:t>
        </ns0:is>
      </ns0:c>
      <ns0:c r="G198" s="15" t="inlineStr">
        <ns0:is>
          <ns0:t>0x03F00413</ns0:t>
        </ns0:is>
      </ns0:c>
      <ns0:c r="H198" s="15" t="inlineStr">
        <ns0:is>
          <ns0:t>addi s0, zero, 63</ns0:t>
        </ns0:is>
      </ns0:c>
      <ns0:c r="I198" t="inlineStr">
        <ns0:is>
          <ns0:t>addi</ns0:t>
        </ns0:is>
      </ns0:c>
      <ns0:c r="J198" t="inlineStr">
        <ns0:is>
          <ns0:t>CORE</ns0:t>
        </ns0:is>
      </ns0:c>
      <ns0:c r="K198" s="15" t="n">
        <ns0:v>9008</ns0:v>
      </ns0:c>
      <ns0:c r="L198" t="inlineStr">
        <ns0:is>
          <ns0:t>FETCH|0x00000058|0x03F00413</ns0:t>
        </ns0:is>
      </ns0:c>
      <ns0:c r="M198" t="inlineStr">
        <ns0:is>
          <ns0:t>addi@0x00000058</ns0:t>
        </ns0:is>
      </ns0:c>
      <ns0:c r="N198">
        <ns0:f>IF(E198="FETCH",IF(COUNTIF($M$6:M198,M198)=1,1,0),0)</ns0:f>
        <ns0:v>0</ns0:v>
      </ns0:c>
      <ns0:c r="O198" t="inlineStr">
        <ns0:is>
          <ns0:t>ROM OK</ns0:t>
        </ns0:is>
      </ns0:c>
      <ns0:c r="P198">
        <ns0:f>IF(AND(E198="FETCH",F198="0x00000048"),C198-1,0)</ns0:f>
        <ns0:v>0</ns0:v>
      </ns0:c>
      <ns0:c r="Q198" s="15" t="inlineStr">
        <ns0:is>
          <ns0:t>E:00000007:00010023:00000058:03f00413</ns0:t>
        </ns0:is>
      </ns0:c>
    </ns0:row>
    <ns0:row r="199">
      <ns0:c r="A199" t="n">
        <ns0:v>9</ns0:v>
      </ns0:c>
      <ns0:c r="B199" t="inlineStr">
        <ns0:is>
          <ns0:t>4</ns0:t>
        </ns0:is>
      </ns0:c>
      <ns0:c r="C199" t="n">
        <ns0:v>9</ns0:v>
      </ns0:c>
      <ns0:c r="D199" t="n">
        <ns0:v>39</ns0:v>
      </ns0:c>
      <ns0:c r="E199" s="14" t="inlineStr">
        <ns0:is>
          <ns0:t>FETCH</ns0:t>
        </ns0:is>
      </ns0:c>
      <ns0:c r="F199" s="15" t="inlineStr">
        <ns0:is>
          <ns0:t>0x0000005C</ns0:t>
        </ns0:is>
      </ns0:c>
      <ns0:c r="G199" s="15" t="inlineStr">
        <ns0:is>
          <ns0:t>0x0A8E0A63</ns0:t>
        </ns0:is>
      </ns0:c>
      <ns0:c r="H199" s="15" t="inlineStr">
        <ns0:is>
          <ns0:t>beq t3, s0, 0x00000110</ns0:t>
        </ns0:is>
      </ns0:c>
      <ns0:c r="I199" t="inlineStr">
        <ns0:is>
          <ns0:t>beq</ns0:t>
        </ns0:is>
      </ns0:c>
      <ns0:c r="J199" t="inlineStr">
        <ns0:is>
          <ns0:t>CORE</ns0:t>
        </ns0:is>
      </ns0:c>
      <ns0:c r="K199" s="15" t="n">
        <ns0:v>9009</ns0:v>
      </ns0:c>
      <ns0:c r="L199" t="inlineStr">
        <ns0:is>
          <ns0:t>FETCH|0x0000005C|0x0A8E0A63</ns0:t>
        </ns0:is>
      </ns0:c>
      <ns0:c r="M199" t="inlineStr">
        <ns0:is>
          <ns0:t>beq@0x0000005C</ns0:t>
        </ns0:is>
      </ns0:c>
      <ns0:c r="N199">
        <ns0:f>IF(E199="FETCH",IF(COUNTIF($M$6:M199,M199)=1,1,0),0)</ns0:f>
        <ns0:v>0</ns0:v>
      </ns0:c>
      <ns0:c r="O199" t="inlineStr">
        <ns0:is>
          <ns0:t>ROM OK</ns0:t>
        </ns0:is>
      </ns0:c>
      <ns0:c r="P199">
        <ns0:f>IF(AND(E199="FETCH",F199="0x00000048"),C199-1,0)</ns0:f>
        <ns0:v>0</ns0:v>
      </ns0:c>
      <ns0:c r="Q199" s="15" t="inlineStr">
        <ns0:is>
          <ns0:t>E:00000008:00010027:0000005c:0a8e0a63</ns0:t>
        </ns0:is>
      </ns0:c>
    </ns0:row>
    <ns0:row r="200">
      <ns0:c r="A200" t="n">
        <ns0:v>9</ns0:v>
      </ns0:c>
      <ns0:c r="B200" t="inlineStr">
        <ns0:is>
          <ns0:t>4</ns0:t>
        </ns0:is>
      </ns0:c>
      <ns0:c r="C200" t="n">
        <ns0:v>10</ns0:v>
      </ns0:c>
      <ns0:c r="D200" t="n">
        <ns0:v>43</ns0:v>
      </ns0:c>
      <ns0:c r="E200" s="14" t="inlineStr">
        <ns0:is>
          <ns0:t>FETCH</ns0:t>
        </ns0:is>
      </ns0:c>
      <ns0:c r="F200" s="15" t="inlineStr">
        <ns0:is>
          <ns0:t>0x00000060</ns0:t>
        </ns0:is>
      </ns0:c>
      <ns0:c r="G200" s="15" t="inlineStr">
        <ns0:is>
          <ns0:t>0x03000413</ns0:t>
        </ns0:is>
      </ns0:c>
      <ns0:c r="H200" s="15" t="inlineStr">
        <ns0:is>
          <ns0:t>addi s0, zero, 48</ns0:t>
        </ns0:is>
      </ns0:c>
      <ns0:c r="I200" t="inlineStr">
        <ns0:is>
          <ns0:t>addi</ns0:t>
        </ns0:is>
      </ns0:c>
      <ns0:c r="J200" t="inlineStr">
        <ns0:is>
          <ns0:t>CORE</ns0:t>
        </ns0:is>
      </ns0:c>
      <ns0:c r="K200" s="15" t="n">
        <ns0:v>9010</ns0:v>
      </ns0:c>
      <ns0:c r="L200" t="inlineStr">
        <ns0:is>
          <ns0:t>FETCH|0x00000060|0x03000413</ns0:t>
        </ns0:is>
      </ns0:c>
      <ns0:c r="M200" t="inlineStr">
        <ns0:is>
          <ns0:t>addi@0x00000060</ns0:t>
        </ns0:is>
      </ns0:c>
      <ns0:c r="N200">
        <ns0:f>IF(E200="FETCH",IF(COUNTIF($M$6:M200,M200)=1,1,0),0)</ns0:f>
        <ns0:v>0</ns0:v>
      </ns0:c>
      <ns0:c r="O200" t="inlineStr">
        <ns0:is>
          <ns0:t>ROM OK</ns0:t>
        </ns0:is>
      </ns0:c>
      <ns0:c r="P200">
        <ns0:f>IF(AND(E200="FETCH",F200="0x00000048"),C200-1,0)</ns0:f>
        <ns0:v>0</ns0:v>
      </ns0:c>
      <ns0:c r="Q200" s="15" t="inlineStr">
        <ns0:is>
          <ns0:t>E:00000009:0001002b:00000060:03000413</ns0:t>
        </ns0:is>
      </ns0:c>
    </ns0:row>
    <ns0:row r="201">
      <ns0:c r="A201" t="n">
        <ns0:v>9</ns0:v>
      </ns0:c>
      <ns0:c r="B201" t="inlineStr">
        <ns0:is>
          <ns0:t>4</ns0:t>
        </ns0:is>
      </ns0:c>
      <ns0:c r="C201" t="n">
        <ns0:v>11</ns0:v>
      </ns0:c>
      <ns0:c r="D201" t="n">
        <ns0:v>47</ns0:v>
      </ns0:c>
      <ns0:c r="E201" s="14" t="inlineStr">
        <ns0:is>
          <ns0:t>FETCH</ns0:t>
        </ns0:is>
      </ns0:c>
      <ns0:c r="F201" s="15" t="inlineStr">
        <ns0:is>
          <ns0:t>0x00000064</ns0:t>
        </ns0:is>
      </ns0:c>
      <ns0:c r="G201" s="15" t="inlineStr">
        <ns0:is>
          <ns0:t>0x048E0463</ns0:t>
        </ns0:is>
      </ns0:c>
      <ns0:c r="H201" s="15" t="inlineStr">
        <ns0:is>
          <ns0:t>beq t3, s0, 0x000000AC</ns0:t>
        </ns0:is>
      </ns0:c>
      <ns0:c r="I201" t="inlineStr">
        <ns0:is>
          <ns0:t>beq</ns0:t>
        </ns0:is>
      </ns0:c>
      <ns0:c r="J201" t="inlineStr">
        <ns0:is>
          <ns0:t>CORE</ns0:t>
        </ns0:is>
      </ns0:c>
      <ns0:c r="K201" s="15" t="n">
        <ns0:v>9011</ns0:v>
      </ns0:c>
      <ns0:c r="L201" t="inlineStr">
        <ns0:is>
          <ns0:t>FETCH|0x00000064|0x048E0463</ns0:t>
        </ns0:is>
      </ns0:c>
      <ns0:c r="M201" t="inlineStr">
        <ns0:is>
          <ns0:t>beq@0x00000064</ns0:t>
        </ns0:is>
      </ns0:c>
      <ns0:c r="N201">
        <ns0:f>IF(E201="FETCH",IF(COUNTIF($M$6:M201,M201)=1,1,0),0)</ns0:f>
        <ns0:v>0</ns0:v>
      </ns0:c>
      <ns0:c r="O201" t="inlineStr">
        <ns0:is>
          <ns0:t>ROM OK</ns0:t>
        </ns0:is>
      </ns0:c>
      <ns0:c r="P201">
        <ns0:f>IF(AND(E201="FETCH",F201="0x00000048"),C201-1,0)</ns0:f>
        <ns0:v>0</ns0:v>
      </ns0:c>
      <ns0:c r="Q201" s="15" t="inlineStr">
        <ns0:is>
          <ns0:t>E:0000000a:0001002f:00000064:048e0463</ns0:t>
        </ns0:is>
      </ns0:c>
    </ns0:row>
    <ns0:row r="202">
      <ns0:c r="A202" t="n">
        <ns0:v>9</ns0:v>
      </ns0:c>
      <ns0:c r="B202" t="inlineStr">
        <ns0:is>
          <ns0:t>4</ns0:t>
        </ns0:is>
      </ns0:c>
      <ns0:c r="C202" t="n">
        <ns0:v>12</ns0:v>
      </ns0:c>
      <ns0:c r="D202" t="n">
        <ns0:v>51</ns0:v>
      </ns0:c>
      <ns0:c r="E202" s="14" t="inlineStr">
        <ns0:is>
          <ns0:t>FETCH</ns0:t>
        </ns0:is>
      </ns0:c>
      <ns0:c r="F202" s="15" t="inlineStr">
        <ns0:is>
          <ns0:t>0x00000068</ns0:t>
        </ns0:is>
      </ns0:c>
      <ns0:c r="G202" s="15" t="inlineStr">
        <ns0:is>
          <ns0:t>0x03100413</ns0:t>
        </ns0:is>
      </ns0:c>
      <ns0:c r="H202" s="15" t="inlineStr">
        <ns0:is>
          <ns0:t>addi s0, zero, 49</ns0:t>
        </ns0:is>
      </ns0:c>
      <ns0:c r="I202" t="inlineStr">
        <ns0:is>
          <ns0:t>addi</ns0:t>
        </ns0:is>
      </ns0:c>
      <ns0:c r="J202" t="inlineStr">
        <ns0:is>
          <ns0:t>CORE</ns0:t>
        </ns0:is>
      </ns0:c>
      <ns0:c r="K202" s="15" t="n">
        <ns0:v>9012</ns0:v>
      </ns0:c>
      <ns0:c r="L202" t="inlineStr">
        <ns0:is>
          <ns0:t>FETCH|0x00000068|0x03100413</ns0:t>
        </ns0:is>
      </ns0:c>
      <ns0:c r="M202" t="inlineStr">
        <ns0:is>
          <ns0:t>addi@0x00000068</ns0:t>
        </ns0:is>
      </ns0:c>
      <ns0:c r="N202">
        <ns0:f>IF(E202="FETCH",IF(COUNTIF($M$6:M202,M202)=1,1,0),0)</ns0:f>
        <ns0:v>0</ns0:v>
      </ns0:c>
      <ns0:c r="O202" t="inlineStr">
        <ns0:is>
          <ns0:t>ROM OK</ns0:t>
        </ns0:is>
      </ns0:c>
      <ns0:c r="P202">
        <ns0:f>IF(AND(E202="FETCH",F202="0x00000048"),C202-1,0)</ns0:f>
        <ns0:v>0</ns0:v>
      </ns0:c>
      <ns0:c r="Q202" s="15" t="inlineStr">
        <ns0:is>
          <ns0:t>E:0000000b:00010033:00000068:03100413</ns0:t>
        </ns0:is>
      </ns0:c>
    </ns0:row>
    <ns0:row r="203">
      <ns0:c r="A203" t="n">
        <ns0:v>9</ns0:v>
      </ns0:c>
      <ns0:c r="B203" t="inlineStr">
        <ns0:is>
          <ns0:t>4</ns0:t>
        </ns0:is>
      </ns0:c>
      <ns0:c r="C203" t="n">
        <ns0:v>13</ns0:v>
      </ns0:c>
      <ns0:c r="D203" t="n">
        <ns0:v>55</ns0:v>
      </ns0:c>
      <ns0:c r="E203" s="14" t="inlineStr">
        <ns0:is>
          <ns0:t>FETCH</ns0:t>
        </ns0:is>
      </ns0:c>
      <ns0:c r="F203" s="15" t="inlineStr">
        <ns0:is>
          <ns0:t>0x0000006C</ns0:t>
        </ns0:is>
      </ns0:c>
      <ns0:c r="G203" s="15" t="inlineStr">
        <ns0:is>
          <ns0:t>0x048E0663</ns0:t>
        </ns0:is>
      </ns0:c>
      <ns0:c r="H203" s="15" t="inlineStr">
        <ns0:is>
          <ns0:t>beq t3, s0, 0x000000B8</ns0:t>
        </ns0:is>
      </ns0:c>
      <ns0:c r="I203" t="inlineStr">
        <ns0:is>
          <ns0:t>beq</ns0:t>
        </ns0:is>
      </ns0:c>
      <ns0:c r="J203" t="inlineStr">
        <ns0:is>
          <ns0:t>CORE</ns0:t>
        </ns0:is>
      </ns0:c>
      <ns0:c r="K203" s="15" t="n">
        <ns0:v>9013</ns0:v>
      </ns0:c>
      <ns0:c r="L203" t="inlineStr">
        <ns0:is>
          <ns0:t>FETCH|0x0000006C|0x048E0663</ns0:t>
        </ns0:is>
      </ns0:c>
      <ns0:c r="M203" t="inlineStr">
        <ns0:is>
          <ns0:t>beq@0x0000006C</ns0:t>
        </ns0:is>
      </ns0:c>
      <ns0:c r="N203">
        <ns0:f>IF(E203="FETCH",IF(COUNTIF($M$6:M203,M203)=1,1,0),0)</ns0:f>
        <ns0:v>0</ns0:v>
      </ns0:c>
      <ns0:c r="O203" t="inlineStr">
        <ns0:is>
          <ns0:t>ROM OK</ns0:t>
        </ns0:is>
      </ns0:c>
      <ns0:c r="P203">
        <ns0:f>IF(AND(E203="FETCH",F203="0x00000048"),C203-1,0)</ns0:f>
        <ns0:v>0</ns0:v>
      </ns0:c>
      <ns0:c r="Q203" s="15" t="inlineStr">
        <ns0:is>
          <ns0:t>E:0000000c:00010037:0000006c:048e0663</ns0:t>
        </ns0:is>
      </ns0:c>
    </ns0:row>
    <ns0:row r="204">
      <ns0:c r="A204" t="n">
        <ns0:v>9</ns0:v>
      </ns0:c>
      <ns0:c r="B204" t="inlineStr">
        <ns0:is>
          <ns0:t>4</ns0:t>
        </ns0:is>
      </ns0:c>
      <ns0:c r="C204" t="n">
        <ns0:v>14</ns0:v>
      </ns0:c>
      <ns0:c r="D204" t="n">
        <ns0:v>59</ns0:v>
      </ns0:c>
      <ns0:c r="E204" s="14" t="inlineStr">
        <ns0:is>
          <ns0:t>FETCH</ns0:t>
        </ns0:is>
      </ns0:c>
      <ns0:c r="F204" s="15" t="inlineStr">
        <ns0:is>
          <ns0:t>0x00000070</ns0:t>
        </ns0:is>
      </ns0:c>
      <ns0:c r="G204" s="15" t="inlineStr">
        <ns0:is>
          <ns0:t>0x03200413</ns0:t>
        </ns0:is>
      </ns0:c>
      <ns0:c r="H204" s="15" t="inlineStr">
        <ns0:is>
          <ns0:t>addi s0, zero, 50</ns0:t>
        </ns0:is>
      </ns0:c>
      <ns0:c r="I204" t="inlineStr">
        <ns0:is>
          <ns0:t>addi</ns0:t>
        </ns0:is>
      </ns0:c>
      <ns0:c r="J204" t="inlineStr">
        <ns0:is>
          <ns0:t>CORE</ns0:t>
        </ns0:is>
      </ns0:c>
      <ns0:c r="K204" s="15" t="n">
        <ns0:v>9014</ns0:v>
      </ns0:c>
      <ns0:c r="L204" t="inlineStr">
        <ns0:is>
          <ns0:t>FETCH|0x00000070|0x03200413</ns0:t>
        </ns0:is>
      </ns0:c>
      <ns0:c r="M204" t="inlineStr">
        <ns0:is>
          <ns0:t>addi@0x00000070</ns0:t>
        </ns0:is>
      </ns0:c>
      <ns0:c r="N204">
        <ns0:f>IF(E204="FETCH",IF(COUNTIF($M$6:M204,M204)=1,1,0),0)</ns0:f>
        <ns0:v>0</ns0:v>
      </ns0:c>
      <ns0:c r="O204" t="inlineStr">
        <ns0:is>
          <ns0:t>ROM OK</ns0:t>
        </ns0:is>
      </ns0:c>
      <ns0:c r="P204">
        <ns0:f>IF(AND(E204="FETCH",F204="0x00000048"),C204-1,0)</ns0:f>
        <ns0:v>0</ns0:v>
      </ns0:c>
      <ns0:c r="Q204" s="15" t="inlineStr">
        <ns0:is>
          <ns0:t>E:0000000d:0001003b:00000070:03200413</ns0:t>
        </ns0:is>
      </ns0:c>
    </ns0:row>
    <ns0:row r="205">
      <ns0:c r="A205" t="n">
        <ns0:v>9</ns0:v>
      </ns0:c>
      <ns0:c r="B205" t="inlineStr">
        <ns0:is>
          <ns0:t>4</ns0:t>
        </ns0:is>
      </ns0:c>
      <ns0:c r="C205" t="n">
        <ns0:v>15</ns0:v>
      </ns0:c>
      <ns0:c r="D205" t="n">
        <ns0:v>63</ns0:v>
      </ns0:c>
      <ns0:c r="E205" s="14" t="inlineStr">
        <ns0:is>
          <ns0:t>FETCH</ns0:t>
        </ns0:is>
      </ns0:c>
      <ns0:c r="F205" s="15" t="inlineStr">
        <ns0:is>
          <ns0:t>0x00000074</ns0:t>
        </ns0:is>
      </ns0:c>
      <ns0:c r="G205" s="15" t="inlineStr">
        <ns0:is>
          <ns0:t>0x048E0863</ns0:t>
        </ns0:is>
      </ns0:c>
      <ns0:c r="H205" s="15" t="inlineStr">
        <ns0:is>
          <ns0:t>beq t3, s0, 0x000000C4</ns0:t>
        </ns0:is>
      </ns0:c>
      <ns0:c r="I205" t="inlineStr">
        <ns0:is>
          <ns0:t>beq</ns0:t>
        </ns0:is>
      </ns0:c>
      <ns0:c r="J205" t="inlineStr">
        <ns0:is>
          <ns0:t>CORE</ns0:t>
        </ns0:is>
      </ns0:c>
      <ns0:c r="K205" s="15" t="n">
        <ns0:v>9015</ns0:v>
      </ns0:c>
      <ns0:c r="L205" t="inlineStr">
        <ns0:is>
          <ns0:t>FETCH|0x00000074|0x048E0863</ns0:t>
        </ns0:is>
      </ns0:c>
      <ns0:c r="M205" t="inlineStr">
        <ns0:is>
          <ns0:t>beq@0x00000074</ns0:t>
        </ns0:is>
      </ns0:c>
      <ns0:c r="N205">
        <ns0:f>IF(E205="FETCH",IF(COUNTIF($M$6:M205,M205)=1,1,0),0)</ns0:f>
        <ns0:v>0</ns0:v>
      </ns0:c>
      <ns0:c r="O205" t="inlineStr">
        <ns0:is>
          <ns0:t>ROM OK</ns0:t>
        </ns0:is>
      </ns0:c>
      <ns0:c r="P205">
        <ns0:f>IF(AND(E205="FETCH",F205="0x00000048"),C205-1,0)</ns0:f>
        <ns0:v>0</ns0:v>
      </ns0:c>
      <ns0:c r="Q205" s="15" t="inlineStr">
        <ns0:is>
          <ns0:t>E:0000000e:0001003f:00000074:048e0863</ns0:t>
        </ns0:is>
      </ns0:c>
    </ns0:row>
    <ns0:row r="206">
      <ns0:c r="A206" t="n">
        <ns0:v>9</ns0:v>
      </ns0:c>
      <ns0:c r="B206" t="inlineStr">
        <ns0:is>
          <ns0:t>4</ns0:t>
        </ns0:is>
      </ns0:c>
      <ns0:c r="C206" t="n">
        <ns0:v>16</ns0:v>
      </ns0:c>
      <ns0:c r="D206" t="n">
        <ns0:v>67</ns0:v>
      </ns0:c>
      <ns0:c r="E206" s="14" t="inlineStr">
        <ns0:is>
          <ns0:t>FETCH</ns0:t>
        </ns0:is>
      </ns0:c>
      <ns0:c r="F206" s="15" t="inlineStr">
        <ns0:is>
          <ns0:t>0x00000078</ns0:t>
        </ns0:is>
      </ns0:c>
      <ns0:c r="G206" s="15" t="inlineStr">
        <ns0:is>
          <ns0:t>0x03300413</ns0:t>
        </ns0:is>
      </ns0:c>
      <ns0:c r="H206" s="15" t="inlineStr">
        <ns0:is>
          <ns0:t>addi s0, zero, 51</ns0:t>
        </ns0:is>
      </ns0:c>
      <ns0:c r="I206" t="inlineStr">
        <ns0:is>
          <ns0:t>addi</ns0:t>
        </ns0:is>
      </ns0:c>
      <ns0:c r="J206" t="inlineStr">
        <ns0:is>
          <ns0:t>CORE</ns0:t>
        </ns0:is>
      </ns0:c>
      <ns0:c r="K206" s="15" t="n">
        <ns0:v>9016</ns0:v>
      </ns0:c>
      <ns0:c r="L206" t="inlineStr">
        <ns0:is>
          <ns0:t>FETCH|0x00000078|0x03300413</ns0:t>
        </ns0:is>
      </ns0:c>
      <ns0:c r="M206" t="inlineStr">
        <ns0:is>
          <ns0:t>addi@0x00000078</ns0:t>
        </ns0:is>
      </ns0:c>
      <ns0:c r="N206">
        <ns0:f>IF(E206="FETCH",IF(COUNTIF($M$6:M206,M206)=1,1,0),0)</ns0:f>
        <ns0:v>0</ns0:v>
      </ns0:c>
      <ns0:c r="O206" t="inlineStr">
        <ns0:is>
          <ns0:t>ROM OK</ns0:t>
        </ns0:is>
      </ns0:c>
      <ns0:c r="P206">
        <ns0:f>IF(AND(E206="FETCH",F206="0x00000048"),C206-1,0)</ns0:f>
        <ns0:v>0</ns0:v>
      </ns0:c>
      <ns0:c r="Q206" s="15" t="inlineStr">
        <ns0:is>
          <ns0:t>E:0000000f:00010043:00000078:03300413</ns0:t>
        </ns0:is>
      </ns0:c>
    </ns0:row>
    <ns0:row r="207">
      <ns0:c r="A207" t="n">
        <ns0:v>9</ns0:v>
      </ns0:c>
      <ns0:c r="B207" t="inlineStr">
        <ns0:is>
          <ns0:t>4</ns0:t>
        </ns0:is>
      </ns0:c>
      <ns0:c r="C207" t="n">
        <ns0:v>17</ns0:v>
      </ns0:c>
      <ns0:c r="D207" t="n">
        <ns0:v>71</ns0:v>
      </ns0:c>
      <ns0:c r="E207" s="14" t="inlineStr">
        <ns0:is>
          <ns0:t>FETCH</ns0:t>
        </ns0:is>
      </ns0:c>
      <ns0:c r="F207" s="15" t="inlineStr">
        <ns0:is>
          <ns0:t>0x0000007C</ns0:t>
        </ns0:is>
      </ns0:c>
      <ns0:c r="G207" s="15" t="inlineStr">
        <ns0:is>
          <ns0:t>0x048E0A63</ns0:t>
        </ns0:is>
      </ns0:c>
      <ns0:c r="H207" s="15" t="inlineStr">
        <ns0:is>
          <ns0:t>beq t3, s0, 0x000000D0</ns0:t>
        </ns0:is>
      </ns0:c>
      <ns0:c r="I207" t="inlineStr">
        <ns0:is>
          <ns0:t>beq</ns0:t>
        </ns0:is>
      </ns0:c>
      <ns0:c r="J207" t="inlineStr">
        <ns0:is>
          <ns0:t>CORE</ns0:t>
        </ns0:is>
      </ns0:c>
      <ns0:c r="K207" s="15" t="n">
        <ns0:v>9017</ns0:v>
      </ns0:c>
      <ns0:c r="L207" t="inlineStr">
        <ns0:is>
          <ns0:t>FETCH|0x0000007C|0x048E0A63</ns0:t>
        </ns0:is>
      </ns0:c>
      <ns0:c r="M207" t="inlineStr">
        <ns0:is>
          <ns0:t>beq@0x0000007C</ns0:t>
        </ns0:is>
      </ns0:c>
      <ns0:c r="N207">
        <ns0:f>IF(E207="FETCH",IF(COUNTIF($M$6:M207,M207)=1,1,0),0)</ns0:f>
        <ns0:v>0</ns0:v>
      </ns0:c>
      <ns0:c r="O207" t="inlineStr">
        <ns0:is>
          <ns0:t>ROM OK</ns0:t>
        </ns0:is>
      </ns0:c>
      <ns0:c r="P207">
        <ns0:f>IF(AND(E207="FETCH",F207="0x00000048"),C207-1,0)</ns0:f>
        <ns0:v>0</ns0:v>
      </ns0:c>
      <ns0:c r="Q207" s="15" t="inlineStr">
        <ns0:is>
          <ns0:t>E:00000010:00010047:0000007c:048e0a63</ns0:t>
        </ns0:is>
      </ns0:c>
    </ns0:row>
    <ns0:row r="208">
      <ns0:c r="A208" t="n">
        <ns0:v>9</ns0:v>
      </ns0:c>
      <ns0:c r="B208" t="inlineStr">
        <ns0:is>
          <ns0:t>4</ns0:t>
        </ns0:is>
      </ns0:c>
      <ns0:c r="C208" t="n">
        <ns0:v>18</ns0:v>
      </ns0:c>
      <ns0:c r="D208" t="n">
        <ns0:v>75</ns0:v>
      </ns0:c>
      <ns0:c r="E208" s="14" t="inlineStr">
        <ns0:is>
          <ns0:t>FETCH</ns0:t>
        </ns0:is>
      </ns0:c>
      <ns0:c r="F208" s="15" t="inlineStr">
        <ns0:is>
          <ns0:t>0x00000080</ns0:t>
        </ns0:is>
      </ns0:c>
      <ns0:c r="G208" s="15" t="inlineStr">
        <ns0:is>
          <ns0:t>0x03400413</ns0:t>
        </ns0:is>
      </ns0:c>
      <ns0:c r="H208" s="15" t="inlineStr">
        <ns0:is>
          <ns0:t>addi s0, zero, 52</ns0:t>
        </ns0:is>
      </ns0:c>
      <ns0:c r="I208" t="inlineStr">
        <ns0:is>
          <ns0:t>addi</ns0:t>
        </ns0:is>
      </ns0:c>
      <ns0:c r="J208" t="inlineStr">
        <ns0:is>
          <ns0:t>CORE</ns0:t>
        </ns0:is>
      </ns0:c>
      <ns0:c r="K208" s="15" t="n">
        <ns0:v>9018</ns0:v>
      </ns0:c>
      <ns0:c r="L208" t="inlineStr">
        <ns0:is>
          <ns0:t>FETCH|0x00000080|0x03400413</ns0:t>
        </ns0:is>
      </ns0:c>
      <ns0:c r="M208" t="inlineStr">
        <ns0:is>
          <ns0:t>addi@0x00000080</ns0:t>
        </ns0:is>
      </ns0:c>
      <ns0:c r="N208">
        <ns0:f>IF(E208="FETCH",IF(COUNTIF($M$6:M208,M208)=1,1,0),0)</ns0:f>
        <ns0:v>0</ns0:v>
      </ns0:c>
      <ns0:c r="O208" t="inlineStr">
        <ns0:is>
          <ns0:t>ROM OK</ns0:t>
        </ns0:is>
      </ns0:c>
      <ns0:c r="P208">
        <ns0:f>IF(AND(E208="FETCH",F208="0x00000048"),C208-1,0)</ns0:f>
        <ns0:v>0</ns0:v>
      </ns0:c>
      <ns0:c r="Q208" s="15" t="inlineStr">
        <ns0:is>
          <ns0:t>E:00000011:0001004b:00000080:03400413</ns0:t>
        </ns0:is>
      </ns0:c>
    </ns0:row>
    <ns0:row r="209">
      <ns0:c r="A209" t="n">
        <ns0:v>9</ns0:v>
      </ns0:c>
      <ns0:c r="B209" t="inlineStr">
        <ns0:is>
          <ns0:t>4</ns0:t>
        </ns0:is>
      </ns0:c>
      <ns0:c r="C209" t="n">
        <ns0:v>19</ns0:v>
      </ns0:c>
      <ns0:c r="D209" t="n">
        <ns0:v>79</ns0:v>
      </ns0:c>
      <ns0:c r="E209" s="14" t="inlineStr">
        <ns0:is>
          <ns0:t>FETCH</ns0:t>
        </ns0:is>
      </ns0:c>
      <ns0:c r="F209" s="15" t="inlineStr">
        <ns0:is>
          <ns0:t>0x00000084</ns0:t>
        </ns0:is>
      </ns0:c>
      <ns0:c r="G209" s="15" t="inlineStr">
        <ns0:is>
          <ns0:t>0x048E0C63</ns0:t>
        </ns0:is>
      </ns0:c>
      <ns0:c r="H209" s="15" t="inlineStr">
        <ns0:is>
          <ns0:t>beq t3, s0, 0x000000DC</ns0:t>
        </ns0:is>
      </ns0:c>
      <ns0:c r="I209" t="inlineStr">
        <ns0:is>
          <ns0:t>beq</ns0:t>
        </ns0:is>
      </ns0:c>
      <ns0:c r="J209" t="inlineStr">
        <ns0:is>
          <ns0:t>CORE</ns0:t>
        </ns0:is>
      </ns0:c>
      <ns0:c r="K209" s="15" t="n">
        <ns0:v>9019</ns0:v>
      </ns0:c>
      <ns0:c r="L209" t="inlineStr">
        <ns0:is>
          <ns0:t>FETCH|0x00000084|0x048E0C63</ns0:t>
        </ns0:is>
      </ns0:c>
      <ns0:c r="M209" t="inlineStr">
        <ns0:is>
          <ns0:t>beq@0x00000084</ns0:t>
        </ns0:is>
      </ns0:c>
      <ns0:c r="N209">
        <ns0:f>IF(E209="FETCH",IF(COUNTIF($M$6:M209,M209)=1,1,0),0)</ns0:f>
        <ns0:v>0</ns0:v>
      </ns0:c>
      <ns0:c r="O209" t="inlineStr">
        <ns0:is>
          <ns0:t>ROM OK</ns0:t>
        </ns0:is>
      </ns0:c>
      <ns0:c r="P209">
        <ns0:f>IF(AND(E209="FETCH",F209="0x00000048"),C209-1,0)</ns0:f>
        <ns0:v>0</ns0:v>
      </ns0:c>
      <ns0:c r="Q209" s="15" t="inlineStr">
        <ns0:is>
          <ns0:t>E:00000012:0001004f:00000084:048e0c63</ns0:t>
        </ns0:is>
      </ns0:c>
    </ns0:row>
    <ns0:row r="210">
      <ns0:c r="A210" t="n">
        <ns0:v>9</ns0:v>
      </ns0:c>
      <ns0:c r="B210" t="inlineStr">
        <ns0:is>
          <ns0:t>4</ns0:t>
        </ns0:is>
      </ns0:c>
      <ns0:c r="C210" t="n">
        <ns0:v>20</ns0:v>
      </ns0:c>
      <ns0:c r="D210" t="n">
        <ns0:v>83</ns0:v>
      </ns0:c>
      <ns0:c r="E210" s="14" t="inlineStr">
        <ns0:is>
          <ns0:t>FETCH</ns0:t>
        </ns0:is>
      </ns0:c>
      <ns0:c r="F210" s="15" t="inlineStr">
        <ns0:is>
          <ns0:t>0x00000088</ns0:t>
        </ns0:is>
      </ns0:c>
      <ns0:c r="G210" s="15" t="inlineStr">
        <ns0:is>
          <ns0:t>0x03500413</ns0:t>
        </ns0:is>
      </ns0:c>
      <ns0:c r="H210" s="15" t="inlineStr">
        <ns0:is>
          <ns0:t>addi s0, zero, 53</ns0:t>
        </ns0:is>
      </ns0:c>
      <ns0:c r="I210" t="inlineStr">
        <ns0:is>
          <ns0:t>addi</ns0:t>
        </ns0:is>
      </ns0:c>
      <ns0:c r="J210" t="inlineStr">
        <ns0:is>
          <ns0:t>CORE</ns0:t>
        </ns0:is>
      </ns0:c>
      <ns0:c r="K210" s="15" t="n">
        <ns0:v>9020</ns0:v>
      </ns0:c>
      <ns0:c r="L210" t="inlineStr">
        <ns0:is>
          <ns0:t>FETCH|0x00000088|0x03500413</ns0:t>
        </ns0:is>
      </ns0:c>
      <ns0:c r="M210" t="inlineStr">
        <ns0:is>
          <ns0:t>addi@0x00000088</ns0:t>
        </ns0:is>
      </ns0:c>
      <ns0:c r="N210">
        <ns0:f>IF(E210="FETCH",IF(COUNTIF($M$6:M210,M210)=1,1,0),0)</ns0:f>
        <ns0:v>0</ns0:v>
      </ns0:c>
      <ns0:c r="O210" t="inlineStr">
        <ns0:is>
          <ns0:t>ROM OK</ns0:t>
        </ns0:is>
      </ns0:c>
      <ns0:c r="P210">
        <ns0:f>IF(AND(E210="FETCH",F210="0x00000048"),C210-1,0)</ns0:f>
        <ns0:v>0</ns0:v>
      </ns0:c>
      <ns0:c r="Q210" s="15" t="inlineStr">
        <ns0:is>
          <ns0:t>E:00000013:00010053:00000088:03500413</ns0:t>
        </ns0:is>
      </ns0:c>
    </ns0:row>
    <ns0:row r="211">
      <ns0:c r="A211" t="n">
        <ns0:v>9</ns0:v>
      </ns0:c>
      <ns0:c r="B211" t="inlineStr">
        <ns0:is>
          <ns0:t>4</ns0:t>
        </ns0:is>
      </ns0:c>
      <ns0:c r="C211" t="n">
        <ns0:v>21</ns0:v>
      </ns0:c>
      <ns0:c r="D211" t="n">
        <ns0:v>86</ns0:v>
      </ns0:c>
      <ns0:c r="E211" s="14" t="inlineStr">
        <ns0:is>
          <ns0:t>FETCH</ns0:t>
        </ns0:is>
      </ns0:c>
      <ns0:c r="F211" s="15" t="inlineStr">
        <ns0:is>
          <ns0:t>0x000000DC</ns0:t>
        </ns0:is>
      </ns0:c>
      <ns0:c r="G211" s="15" t="inlineStr">
        <ns0:is>
          <ns0:t>0x00800E93</ns0:t>
        </ns0:is>
      </ns0:c>
      <ns0:c r="H211" s="15" t="inlineStr">
        <ns0:is>
          <ns0:t>addi t4, zero, 8</ns0:t>
        </ns0:is>
      </ns0:c>
      <ns0:c r="I211" t="inlineStr">
        <ns0:is>
          <ns0:t>addi</ns0:t>
        </ns0:is>
      </ns0:c>
      <ns0:c r="J211" t="inlineStr">
        <ns0:is>
          <ns0:t>CORE</ns0:t>
        </ns0:is>
      </ns0:c>
      <ns0:c r="K211" s="15" t="n">
        <ns0:v>9021</ns0:v>
      </ns0:c>
      <ns0:c r="L211" t="inlineStr">
        <ns0:is>
          <ns0:t>FETCH|0x000000DC|0x00800E93</ns0:t>
        </ns0:is>
      </ns0:c>
      <ns0:c r="M211" t="inlineStr">
        <ns0:is>
          <ns0:t>addi@0x000000DC</ns0:t>
        </ns0:is>
      </ns0:c>
      <ns0:c r="N211">
        <ns0:f>IF(E211="FETCH",IF(COUNTIF($M$6:M211,M211)=1,1,0),0)</ns0:f>
        <ns0:v>0</ns0:v>
      </ns0:c>
      <ns0:c r="O211" t="inlineStr">
        <ns0:is>
          <ns0:t>ROM OK</ns0:t>
        </ns0:is>
      </ns0:c>
      <ns0:c r="P211">
        <ns0:f>IF(AND(E211="FETCH",F211="0x00000048"),C211-1,0)</ns0:f>
        <ns0:v>0</ns0:v>
      </ns0:c>
      <ns0:c r="Q211" s="15" t="inlineStr">
        <ns0:is>
          <ns0:t>E:00000014:00010056:000000dc:00800e93</ns0:t>
        </ns0:is>
      </ns0:c>
    </ns0:row>
    <ns0:row r="212">
      <ns0:c r="A212" t="n">
        <ns0:v>9</ns0:v>
      </ns0:c>
      <ns0:c r="B212" t="inlineStr">
        <ns0:is>
          <ns0:t>4</ns0:t>
        </ns0:is>
      </ns0:c>
      <ns0:c r="C212" t="n">
        <ns0:v>22</ns0:v>
      </ns0:c>
      <ns0:c r="D212" t="n">
        <ns0:v>90</ns0:v>
      </ns0:c>
      <ns0:c r="E212" s="14" t="inlineStr">
        <ns0:is>
          <ns0:t>FETCH</ns0:t>
        </ns0:is>
      </ns0:c>
      <ns0:c r="F212" s="15" t="inlineStr">
        <ns0:is>
          <ns0:t>0x000000E0</ns0:t>
        </ns0:is>
      </ns0:c>
      <ns0:c r="G212" s="15" t="inlineStr">
        <ns0:is>
          <ns0:t>0x03400F13</ns0:t>
        </ns0:is>
      </ns0:c>
      <ns0:c r="H212" s="15" t="inlineStr">
        <ns0:is>
          <ns0:t>addi t5, zero, 52</ns0:t>
        </ns0:is>
      </ns0:c>
      <ns0:c r="I212" t="inlineStr">
        <ns0:is>
          <ns0:t>addi</ns0:t>
        </ns0:is>
      </ns0:c>
      <ns0:c r="J212" t="inlineStr">
        <ns0:is>
          <ns0:t>CORE</ns0:t>
        </ns0:is>
      </ns0:c>
      <ns0:c r="K212" s="15" t="n">
        <ns0:v>9022</ns0:v>
      </ns0:c>
      <ns0:c r="L212" t="inlineStr">
        <ns0:is>
          <ns0:t>FETCH|0x000000E0|0x03400F13</ns0:t>
        </ns0:is>
      </ns0:c>
      <ns0:c r="M212" t="inlineStr">
        <ns0:is>
          <ns0:t>addi@0x000000E0</ns0:t>
        </ns0:is>
      </ns0:c>
      <ns0:c r="N212">
        <ns0:f>IF(E212="FETCH",IF(COUNTIF($M$6:M212,M212)=1,1,0),0)</ns0:f>
        <ns0:v>0</ns0:v>
      </ns0:c>
      <ns0:c r="O212" t="inlineStr">
        <ns0:is>
          <ns0:t>ROM OK</ns0:t>
        </ns0:is>
      </ns0:c>
      <ns0:c r="P212">
        <ns0:f>IF(AND(E212="FETCH",F212="0x00000048"),C212-1,0)</ns0:f>
        <ns0:v>0</ns0:v>
      </ns0:c>
      <ns0:c r="Q212" s="15" t="inlineStr">
        <ns0:is>
          <ns0:t>E:00000015:0001005a:000000e0:03400f13</ns0:t>
        </ns0:is>
      </ns0:c>
    </ns0:row>
    <ns0:row r="213">
      <ns0:c r="A213" t="n">
        <ns0:v>9</ns0:v>
      </ns0:c>
      <ns0:c r="B213" t="inlineStr">
        <ns0:is>
          <ns0:t>4</ns0:t>
        </ns0:is>
      </ns0:c>
      <ns0:c r="C213" t="n">
        <ns0:v>23</ns0:v>
      </ns0:c>
      <ns0:c r="D213" t="n">
        <ns0:v>94</ns0:v>
      </ns0:c>
      <ns0:c r="E213" s="14" t="inlineStr">
        <ns0:is>
          <ns0:t>FETCH</ns0:t>
        </ns0:is>
      </ns0:c>
      <ns0:c r="F213" s="15" t="inlineStr">
        <ns0:is>
          <ns0:t>0x000000E4</ns0:t>
        </ns0:is>
      </ns0:c>
      <ns0:c r="G213" s="15" t="inlineStr">
        <ns0:is>
          <ns0:t>0x01C0006F</ns0:t>
        </ns0:is>
      </ns0:c>
      <ns0:c r="H213" s="15" t="inlineStr">
        <ns0:is>
          <ns0:t>jal zero, 0x00000100</ns0:t>
        </ns0:is>
      </ns0:c>
      <ns0:c r="I213" t="inlineStr">
        <ns0:is>
          <ns0:t>jal</ns0:t>
        </ns0:is>
      </ns0:c>
      <ns0:c r="J213" t="inlineStr">
        <ns0:is>
          <ns0:t>CORE</ns0:t>
        </ns0:is>
      </ns0:c>
      <ns0:c r="K213" s="15" t="n">
        <ns0:v>9023</ns0:v>
      </ns0:c>
      <ns0:c r="L213" t="inlineStr">
        <ns0:is>
          <ns0:t>FETCH|0x000000E4|0x01C0006F</ns0:t>
        </ns0:is>
      </ns0:c>
      <ns0:c r="M213" t="inlineStr">
        <ns0:is>
          <ns0:t>jal@0x000000E4</ns0:t>
        </ns0:is>
      </ns0:c>
      <ns0:c r="N213">
        <ns0:f>IF(E213="FETCH",IF(COUNTIF($M$6:M213,M213)=1,1,0),0)</ns0:f>
        <ns0:v>0</ns0:v>
      </ns0:c>
      <ns0:c r="O213" t="inlineStr">
        <ns0:is>
          <ns0:t>ROM OK</ns0:t>
        </ns0:is>
      </ns0:c>
      <ns0:c r="P213">
        <ns0:f>IF(AND(E213="FETCH",F213="0x00000048"),C213-1,0)</ns0:f>
        <ns0:v>0</ns0:v>
      </ns0:c>
      <ns0:c r="Q213" s="15" t="inlineStr">
        <ns0:is>
          <ns0:t>E:00000016:0001005e:000000e4:01c0006f</ns0:t>
        </ns0:is>
      </ns0:c>
    </ns0:row>
    <ns0:row r="214">
      <ns0:c r="A214" t="n">
        <ns0:v>9</ns0:v>
      </ns0:c>
      <ns0:c r="B214" t="inlineStr">
        <ns0:is>
          <ns0:t>4</ns0:t>
        </ns0:is>
      </ns0:c>
      <ns0:c r="C214" t="n">
        <ns0:v>24</ns0:v>
      </ns0:c>
      <ns0:c r="D214" t="n">
        <ns0:v>98</ns0:v>
      </ns0:c>
      <ns0:c r="E214" s="14" t="inlineStr">
        <ns0:is>
          <ns0:t>FETCH</ns0:t>
        </ns0:is>
      </ns0:c>
      <ns0:c r="F214" s="15" t="inlineStr">
        <ns0:is>
          <ns0:t>0x00000100</ns0:t>
        </ns0:is>
      </ns0:c>
      <ns0:c r="G214" s="15" t="inlineStr">
        <ns0:is>
          <ns0:t>0x01D2A023</ns0:t>
        </ns0:is>
      </ns0:c>
      <ns0:c r="H214" s="15" t="inlineStr">
        <ns0:is>
          <ns0:t>sw t4, 0(t0)</ns0:t>
        </ns0:is>
      </ns0:c>
      <ns0:c r="I214" t="inlineStr">
        <ns0:is>
          <ns0:t>sw</ns0:t>
        </ns0:is>
      </ns0:c>
      <ns0:c r="J214" t="inlineStr">
        <ns0:is>
          <ns0:t>CORE</ns0:t>
        </ns0:is>
      </ns0:c>
      <ns0:c r="K214" s="15" t="n">
        <ns0:v>9024</ns0:v>
      </ns0:c>
      <ns0:c r="L214" t="inlineStr">
        <ns0:is>
          <ns0:t>FETCH|0x00000100|0x01D2A023</ns0:t>
        </ns0:is>
      </ns0:c>
      <ns0:c r="M214" t="inlineStr">
        <ns0:is>
          <ns0:t>sw@0x00000100</ns0:t>
        </ns0:is>
      </ns0:c>
      <ns0:c r="N214">
        <ns0:f>IF(E214="FETCH",IF(COUNTIF($M$6:M214,M214)=1,1,0),0)</ns0:f>
        <ns0:v>0</ns0:v>
      </ns0:c>
      <ns0:c r="O214" t="inlineStr">
        <ns0:is>
          <ns0:t>ROM OK</ns0:t>
        </ns0:is>
      </ns0:c>
      <ns0:c r="P214">
        <ns0:f>IF(AND(E214="FETCH",F214="0x00000048"),C214-1,0)</ns0:f>
        <ns0:v>0</ns0:v>
      </ns0:c>
      <ns0:c r="Q214" s="15" t="inlineStr">
        <ns0:is>
          <ns0:t>E:00000017:00010062:00000100:01d2a023</ns0:t>
        </ns0:is>
      </ns0:c>
    </ns0:row>
    <ns0:row r="215">
      <ns0:c r="A215" t="n">
        <ns0:v>9</ns0:v>
      </ns0:c>
      <ns0:c r="B215" t="inlineStr">
        <ns0:is>
          <ns0:t>4</ns0:t>
        </ns0:is>
      </ns0:c>
      <ns0:c r="C215" t="n">
        <ns0:v>25</ns0:v>
      </ns0:c>
      <ns0:c r="D215" t="n">
        <ns0:v>102</ns0:v>
      </ns0:c>
      <ns0:c r="E215" s="14" t="inlineStr">
        <ns0:is>
          <ns0:t>FETCH</ns0:t>
        </ns0:is>
      </ns0:c>
      <ns0:c r="F215" s="15" t="inlineStr">
        <ns0:is>
          <ns0:t>0x00000104</ns0:t>
        </ns0:is>
      </ns0:c>
      <ns0:c r="G215" s="15" t="inlineStr">
        <ns0:is>
          <ns0:t>0x0002AF83</ns0:t>
        </ns0:is>
      </ns0:c>
      <ns0:c r="H215" s="15" t="inlineStr">
        <ns0:is>
          <ns0:t>lw t6, 0(t0)</ns0:t>
        </ns0:is>
      </ns0:c>
      <ns0:c r="I215" t="inlineStr">
        <ns0:is>
          <ns0:t>lw</ns0:t>
        </ns0:is>
      </ns0:c>
      <ns0:c r="J215" t="inlineStr">
        <ns0:is>
          <ns0:t>CORE</ns0:t>
        </ns0:is>
      </ns0:c>
      <ns0:c r="K215" s="15" t="n">
        <ns0:v>9025</ns0:v>
      </ns0:c>
      <ns0:c r="L215" t="inlineStr">
        <ns0:is>
          <ns0:t>FETCH|0x00000104|0x0002AF83</ns0:t>
        </ns0:is>
      </ns0:c>
      <ns0:c r="M215" t="inlineStr">
        <ns0:is>
          <ns0:t>lw@0x00000104</ns0:t>
        </ns0:is>
      </ns0:c>
      <ns0:c r="N215">
        <ns0:f>IF(E215="FETCH",IF(COUNTIF($M$6:M215,M215)=1,1,0),0)</ns0:f>
        <ns0:v>0</ns0:v>
      </ns0:c>
      <ns0:c r="O215" t="inlineStr">
        <ns0:is>
          <ns0:t>ROM OK</ns0:t>
        </ns0:is>
      </ns0:c>
      <ns0:c r="P215">
        <ns0:f>IF(AND(E215="FETCH",F215="0x00000048"),C215-1,0)</ns0:f>
        <ns0:v>0</ns0:v>
      </ns0:c>
      <ns0:c r="Q215" s="15" t="inlineStr">
        <ns0:is>
          <ns0:t>E:00000018:00010066:00000104:0002af83</ns0:t>
        </ns0:is>
      </ns0:c>
    </ns0:row>
    <ns0:row r="216">
      <ns0:c r="A216" s="17" t="n">
        <ns0:v>9</ns0:v>
      </ns0:c>
      <ns0:c r="B216" s="17" t="inlineStr">
        <ns0:is>
          <ns0:t>4</ns0:t>
        </ns0:is>
      </ns0:c>
      <ns0:c r="C216" s="17" t="n">
        <ns0:v>26</ns0:v>
      </ns0:c>
      <ns0:c r="D216" s="17" t="n">
        <ns0:v>105</ns0:v>
      </ns0:c>
      <ns0:c r="E216" s="18" t="inlineStr">
        <ns0:is>
          <ns0:t>LED_WRITE</ns0:t>
        </ns0:is>
      </ns0:c>
      <ns0:c r="F216" s="19" t="inlineStr">
        <ns0:is>
          <ns0:t>0x20000000</ns0:t>
        </ns0:is>
      </ns0:c>
      <ns0:c r="G216" s="19" t="inlineStr">
        <ns0:is>
          <ns0:t>0x00000008</ns0:t>
        </ns0:is>
      </ns0:c>
      <ns0:c r="H216" s="19" t="inlineStr">
        <ns0:is>
          <ns0:t>MMIO GPIO write</ns0:t>
        </ns0:is>
      </ns0:c>
      <ns0:c r="I216" s="17" t="inlineStr">
        <ns0:is>
          <ns0:t>LED_WRITE</ns0:t>
        </ns0:is>
      </ns0:c>
      <ns0:c r="J216" s="17" t="inlineStr">
        <ns0:is>
          <ns0:t>MMIO</ns0:t>
        </ns0:is>
      </ns0:c>
      <ns0:c r="K216" s="19" t="n">
        <ns0:v>9026</ns0:v>
      </ns0:c>
      <ns0:c r="L216" s="17" t="inlineStr">
        <ns0:is>
          <ns0:t>LED_WRITE|0x20000000|0x00000008</ns0:t>
        </ns0:is>
      </ns0:c>
      <ns0:c r="M216" s="17" t="inlineStr"/>
      <ns0:c r="N216" s="17">
        <ns0:f>IF(E216="FETCH",IF(COUNTIF($M$6:M216,M216)=1,1,0),0)</ns0:f>
        <ns0:v>0</ns0:v>
      </ns0:c>
      <ns0:c r="O216" s="17" t="inlineStr">
        <ns0:is>
          <ns0:t>MMIO OK</ns0:t>
        </ns0:is>
      </ns0:c>
      <ns0:c r="P216" s="17">
        <ns0:f>IF(AND(E216="FETCH",F216="0x00000048"),C216-1,0)</ns0:f>
        <ns0:v>0</ns0:v>
      </ns0:c>
      <ns0:c r="Q216" s="19" t="inlineStr">
        <ns0:is>
          <ns0:t>E:00000019:00020069:20000000:00000008</ns0:t>
        </ns0:is>
      </ns0:c>
    </ns0:row>
    <ns0:row r="217">
      <ns0:c r="A217" t="n">
        <ns0:v>10</ns0:v>
      </ns0:c>
      <ns0:c r="B217" t="inlineStr">
        <ns0:is>
          <ns0:t>0</ns0:t>
        </ns0:is>
      </ns0:c>
      <ns0:c r="C217" t="n">
        <ns0:v>1</ns0:v>
      </ns0:c>
      <ns0:c r="D217" t="n">
        <ns0:v>3</ns0:v>
      </ns0:c>
      <ns0:c r="E217" s="14" t="inlineStr">
        <ns0:is>
          <ns0:t>FETCH</ns0:t>
        </ns0:is>
      </ns0:c>
      <ns0:c r="F217" s="15" t="inlineStr">
        <ns0:is>
          <ns0:t>0x00000040</ns0:t>
        </ns0:is>
      </ns0:c>
      <ns0:c r="G217" s="15" t="inlineStr">
        <ns0:is>
          <ns0:t>0xFE038CE3</ns0:t>
        </ns0:is>
      </ns0:c>
      <ns0:c r="H217" s="15" t="inlineStr">
        <ns0:is>
          <ns0:t>beq t2, zero, 0x00000038</ns0:t>
        </ns0:is>
      </ns0:c>
      <ns0:c r="I217" t="inlineStr">
        <ns0:is>
          <ns0:t>beq</ns0:t>
        </ns0:is>
      </ns0:c>
      <ns0:c r="J217" s="16" t="inlineStr">
        <ns0:is>
          <ns0:t>POLL</ns0:t>
        </ns0:is>
      </ns0:c>
      <ns0:c r="K217" s="15" t="n">
        <ns0:v>10001</ns0:v>
      </ns0:c>
      <ns0:c r="L217" t="inlineStr">
        <ns0:is>
          <ns0:t>FETCH|0x00000040|0xFE038CE3</ns0:t>
        </ns0:is>
      </ns0:c>
      <ns0:c r="M217" t="inlineStr">
        <ns0:is>
          <ns0:t>beq@0x00000040</ns0:t>
        </ns0:is>
      </ns0:c>
      <ns0:c r="N217">
        <ns0:f>IF(E217="FETCH",IF(COUNTIF($M$6:M217,M217)=1,1,0),0)</ns0:f>
        <ns0:v>0</ns0:v>
      </ns0:c>
      <ns0:c r="O217" t="inlineStr">
        <ns0:is>
          <ns0:t>ROM OK</ns0:t>
        </ns0:is>
      </ns0:c>
      <ns0:c r="P217">
        <ns0:f>IF(AND(E217="FETCH",F217="0x00000048"),C217-1,0)</ns0:f>
        <ns0:v>0</ns0:v>
      </ns0:c>
      <ns0:c r="Q217" s="15" t="inlineStr">
        <ns0:is>
          <ns0:t>E:00000000:00010003:00000040:fe038ce3</ns0:t>
        </ns0:is>
      </ns0:c>
    </ns0:row>
    <ns0:row r="218">
      <ns0:c r="A218" t="n">
        <ns0:v>10</ns0:v>
      </ns0:c>
      <ns0:c r="B218" t="inlineStr">
        <ns0:is>
          <ns0:t>0</ns0:t>
        </ns0:is>
      </ns0:c>
      <ns0:c r="C218" t="n">
        <ns0:v>2</ns0:v>
      </ns0:c>
      <ns0:c r="D218" t="n">
        <ns0:v>7</ns0:v>
      </ns0:c>
      <ns0:c r="E218" s="14" t="inlineStr">
        <ns0:is>
          <ns0:t>FETCH</ns0:t>
        </ns0:is>
      </ns0:c>
      <ns0:c r="F218" s="15" t="inlineStr">
        <ns0:is>
          <ns0:t>0x00000044</ns0:t>
        </ns0:is>
      </ns0:c>
      <ns0:c r="G218" s="15" t="inlineStr">
        <ns0:is>
          <ns0:t>0x0182AE03</ns0:t>
        </ns0:is>
      </ns0:c>
      <ns0:c r="H218" s="15" t="inlineStr">
        <ns0:is>
          <ns0:t>lw t3, 24(t0)</ns0:t>
        </ns0:is>
      </ns0:c>
      <ns0:c r="I218" t="inlineStr">
        <ns0:is>
          <ns0:t>lw</ns0:t>
        </ns0:is>
      </ns0:c>
      <ns0:c r="J218" s="16" t="inlineStr">
        <ns0:is>
          <ns0:t>POLL</ns0:t>
        </ns0:is>
      </ns0:c>
      <ns0:c r="K218" s="15" t="n">
        <ns0:v>10002</ns0:v>
      </ns0:c>
      <ns0:c r="L218" t="inlineStr">
        <ns0:is>
          <ns0:t>FETCH|0x00000044|0x0182AE03</ns0:t>
        </ns0:is>
      </ns0:c>
      <ns0:c r="M218" t="inlineStr">
        <ns0:is>
          <ns0:t>lw@0x00000044</ns0:t>
        </ns0:is>
      </ns0:c>
      <ns0:c r="N218">
        <ns0:f>IF(E218="FETCH",IF(COUNTIF($M$6:M218,M218)=1,1,0),0)</ns0:f>
        <ns0:v>0</ns0:v>
      </ns0:c>
      <ns0:c r="O218" t="inlineStr">
        <ns0:is>
          <ns0:t>ROM OK</ns0:t>
        </ns0:is>
      </ns0:c>
      <ns0:c r="P218">
        <ns0:f>IF(AND(E218="FETCH",F218="0x00000048"),C218-1,0)</ns0:f>
        <ns0:v>0</ns0:v>
      </ns0:c>
      <ns0:c r="Q218" s="15" t="inlineStr">
        <ns0:is>
          <ns0:t>E:00000001:00010007:00000044:0182ae03</ns0:t>
        </ns0:is>
      </ns0:c>
    </ns0:row>
    <ns0:row r="219">
      <ns0:c r="A219" t="n">
        <ns0:v>10</ns0:v>
      </ns0:c>
      <ns0:c r="B219" t="inlineStr">
        <ns0:is>
          <ns0:t>0</ns0:t>
        </ns0:is>
      </ns0:c>
      <ns0:c r="C219" t="n">
        <ns0:v>3</ns0:v>
      </ns0:c>
      <ns0:c r="D219" t="n">
        <ns0:v>10</ns0:v>
      </ns0:c>
      <ns0:c r="E219" s="14" t="inlineStr">
        <ns0:is>
          <ns0:t>FETCH</ns0:t>
        </ns0:is>
      </ns0:c>
      <ns0:c r="F219" s="15" t="inlineStr">
        <ns0:is>
          <ns0:t>0x00000038</ns0:t>
        </ns0:is>
      </ns0:c>
      <ns0:c r="G219" s="15" t="inlineStr">
        <ns0:is>
          <ns0:t>0x01C2A383</ns0:t>
        </ns0:is>
      </ns0:c>
      <ns0:c r="H219" s="15" t="inlineStr">
        <ns0:is>
          <ns0:t>lw t2, 28(t0)</ns0:t>
        </ns0:is>
      </ns0:c>
      <ns0:c r="I219" t="inlineStr">
        <ns0:is>
          <ns0:t>lw</ns0:t>
        </ns0:is>
      </ns0:c>
      <ns0:c r="J219" s="16" t="inlineStr">
        <ns0:is>
          <ns0:t>POLL</ns0:t>
        </ns0:is>
      </ns0:c>
      <ns0:c r="K219" s="15" t="n">
        <ns0:v>10003</ns0:v>
      </ns0:c>
      <ns0:c r="L219" t="inlineStr">
        <ns0:is>
          <ns0:t>FETCH|0x00000038|0x01C2A383</ns0:t>
        </ns0:is>
      </ns0:c>
      <ns0:c r="M219" t="inlineStr">
        <ns0:is>
          <ns0:t>lw@0x00000038</ns0:t>
        </ns0:is>
      </ns0:c>
      <ns0:c r="N219">
        <ns0:f>IF(E219="FETCH",IF(COUNTIF($M$6:M219,M219)=1,1,0),0)</ns0:f>
        <ns0:v>0</ns0:v>
      </ns0:c>
      <ns0:c r="O219" t="inlineStr">
        <ns0:is>
          <ns0:t>ROM OK</ns0:t>
        </ns0:is>
      </ns0:c>
      <ns0:c r="P219">
        <ns0:f>IF(AND(E219="FETCH",F219="0x00000048"),C219-1,0)</ns0:f>
        <ns0:v>0</ns0:v>
      </ns0:c>
      <ns0:c r="Q219" s="15" t="inlineStr">
        <ns0:is>
          <ns0:t>E:00000002:0001000a:00000038:01c2a383</ns0:t>
        </ns0:is>
      </ns0:c>
    </ns0:row>
    <ns0:row r="220">
      <ns0:c r="A220" t="n">
        <ns0:v>10</ns0:v>
      </ns0:c>
      <ns0:c r="B220" t="inlineStr">
        <ns0:is>
          <ns0:t>0</ns0:t>
        </ns0:is>
      </ns0:c>
      <ns0:c r="C220" t="n">
        <ns0:v>4</ns0:v>
      </ns0:c>
      <ns0:c r="D220" t="n">
        <ns0:v>14</ns0:v>
      </ns0:c>
      <ns0:c r="E220" s="14" t="inlineStr">
        <ns0:is>
          <ns0:t>FETCH</ns0:t>
        </ns0:is>
      </ns0:c>
      <ns0:c r="F220" s="15" t="inlineStr">
        <ns0:is>
          <ns0:t>0x0000003C</ns0:t>
        </ns0:is>
      </ns0:c>
      <ns0:c r="G220" s="15" t="inlineStr">
        <ns0:is>
          <ns0:t>0x0013F393</ns0:t>
        </ns0:is>
      </ns0:c>
      <ns0:c r="H220" s="15" t="inlineStr">
        <ns0:is>
          <ns0:t>andi t2, t2, 1</ns0:t>
        </ns0:is>
      </ns0:c>
      <ns0:c r="I220" t="inlineStr">
        <ns0:is>
          <ns0:t>andi</ns0:t>
        </ns0:is>
      </ns0:c>
      <ns0:c r="J220" s="16" t="inlineStr">
        <ns0:is>
          <ns0:t>POLL</ns0:t>
        </ns0:is>
      </ns0:c>
      <ns0:c r="K220" s="15" t="n">
        <ns0:v>10004</ns0:v>
      </ns0:c>
      <ns0:c r="L220" t="inlineStr">
        <ns0:is>
          <ns0:t>FETCH|0x0000003C|0x0013F393</ns0:t>
        </ns0:is>
      </ns0:c>
      <ns0:c r="M220" t="inlineStr">
        <ns0:is>
          <ns0:t>andi@0x0000003C</ns0:t>
        </ns0:is>
      </ns0:c>
      <ns0:c r="N220">
        <ns0:f>IF(E220="FETCH",IF(COUNTIF($M$6:M220,M220)=1,1,0),0)</ns0:f>
        <ns0:v>0</ns0:v>
      </ns0:c>
      <ns0:c r="O220" t="inlineStr">
        <ns0:is>
          <ns0:t>ROM OK</ns0:t>
        </ns0:is>
      </ns0:c>
      <ns0:c r="P220">
        <ns0:f>IF(AND(E220="FETCH",F220="0x00000048"),C220-1,0)</ns0:f>
        <ns0:v>0</ns0:v>
      </ns0:c>
      <ns0:c r="Q220" s="15" t="inlineStr">
        <ns0:is>
          <ns0:t>E:00000003:0001000e:0000003c:0013f393</ns0:t>
        </ns0:is>
      </ns0:c>
    </ns0:row>
    <ns0:row r="221">
      <ns0:c r="A221" t="n">
        <ns0:v>10</ns0:v>
      </ns0:c>
      <ns0:c r="B221" t="inlineStr">
        <ns0:is>
          <ns0:t>0</ns0:t>
        </ns0:is>
      </ns0:c>
      <ns0:c r="C221" t="n">
        <ns0:v>5</ns0:v>
      </ns0:c>
      <ns0:c r="D221" t="n">
        <ns0:v>21</ns0:v>
      </ns0:c>
      <ns0:c r="E221" s="14" t="inlineStr">
        <ns0:is>
          <ns0:t>FETCH</ns0:t>
        </ns0:is>
      </ns0:c>
      <ns0:c r="F221" s="15" t="inlineStr">
        <ns0:is>
          <ns0:t>0x00000040</ns0:t>
        </ns0:is>
      </ns0:c>
      <ns0:c r="G221" s="15" t="inlineStr">
        <ns0:is>
          <ns0:t>0xFE038CE3</ns0:t>
        </ns0:is>
      </ns0:c>
      <ns0:c r="H221" s="15" t="inlineStr">
        <ns0:is>
          <ns0:t>beq t2, zero, 0x00000038</ns0:t>
        </ns0:is>
      </ns0:c>
      <ns0:c r="I221" t="inlineStr">
        <ns0:is>
          <ns0:t>beq</ns0:t>
        </ns0:is>
      </ns0:c>
      <ns0:c r="J221" s="16" t="inlineStr">
        <ns0:is>
          <ns0:t>POLL</ns0:t>
        </ns0:is>
      </ns0:c>
      <ns0:c r="K221" s="15" t="n">
        <ns0:v>10005</ns0:v>
      </ns0:c>
      <ns0:c r="L221" t="inlineStr">
        <ns0:is>
          <ns0:t>FETCH|0x00000040|0xFE038CE3</ns0:t>
        </ns0:is>
      </ns0:c>
      <ns0:c r="M221" t="inlineStr">
        <ns0:is>
          <ns0:t>beq@0x00000040</ns0:t>
        </ns0:is>
      </ns0:c>
      <ns0:c r="N221">
        <ns0:f>IF(E221="FETCH",IF(COUNTIF($M$6:M221,M221)=1,1,0),0)</ns0:f>
        <ns0:v>0</ns0:v>
      </ns0:c>
      <ns0:c r="O221" t="inlineStr">
        <ns0:is>
          <ns0:t>ROM OK</ns0:t>
        </ns0:is>
      </ns0:c>
      <ns0:c r="P221">
        <ns0:f>IF(AND(E221="FETCH",F221="0x00000048"),C221-1,0)</ns0:f>
        <ns0:v>0</ns0:v>
      </ns0:c>
      <ns0:c r="Q221" s="15" t="inlineStr">
        <ns0:is>
          <ns0:t>E:00000004:00010015:00000040:fe038ce3</ns0:t>
        </ns0:is>
      </ns0:c>
    </ns0:row>
    <ns0:row r="222">
      <ns0:c r="A222" t="n">
        <ns0:v>10</ns0:v>
      </ns0:c>
      <ns0:c r="B222" t="inlineStr">
        <ns0:is>
          <ns0:t>0</ns0:t>
        </ns0:is>
      </ns0:c>
      <ns0:c r="C222" t="n">
        <ns0:v>6</ns0:v>
      </ns0:c>
      <ns0:c r="D222" t="n">
        <ns0:v>25</ns0:v>
      </ns0:c>
      <ns0:c r="E222" s="14" t="inlineStr">
        <ns0:is>
          <ns0:t>FETCH</ns0:t>
        </ns0:is>
      </ns0:c>
      <ns0:c r="F222" s="15" t="inlineStr">
        <ns0:is>
          <ns0:t>0x00000044</ns0:t>
        </ns0:is>
      </ns0:c>
      <ns0:c r="G222" s="15" t="inlineStr">
        <ns0:is>
          <ns0:t>0x0182AE03</ns0:t>
        </ns0:is>
      </ns0:c>
      <ns0:c r="H222" s="15" t="inlineStr">
        <ns0:is>
          <ns0:t>lw t3, 24(t0)</ns0:t>
        </ns0:is>
      </ns0:c>
      <ns0:c r="I222" t="inlineStr">
        <ns0:is>
          <ns0:t>lw</ns0:t>
        </ns0:is>
      </ns0:c>
      <ns0:c r="J222" s="16" t="inlineStr">
        <ns0:is>
          <ns0:t>POLL</ns0:t>
        </ns0:is>
      </ns0:c>
      <ns0:c r="K222" s="15" t="n">
        <ns0:v>10006</ns0:v>
      </ns0:c>
      <ns0:c r="L222" t="inlineStr">
        <ns0:is>
          <ns0:t>FETCH|0x00000044|0x0182AE03</ns0:t>
        </ns0:is>
      </ns0:c>
      <ns0:c r="M222" t="inlineStr">
        <ns0:is>
          <ns0:t>lw@0x00000044</ns0:t>
        </ns0:is>
      </ns0:c>
      <ns0:c r="N222">
        <ns0:f>IF(E222="FETCH",IF(COUNTIF($M$6:M222,M222)=1,1,0),0)</ns0:f>
        <ns0:v>0</ns0:v>
      </ns0:c>
      <ns0:c r="O222" t="inlineStr">
        <ns0:is>
          <ns0:t>ROM OK</ns0:t>
        </ns0:is>
      </ns0:c>
      <ns0:c r="P222">
        <ns0:f>IF(AND(E222="FETCH",F222="0x00000048"),C222-1,0)</ns0:f>
        <ns0:v>0</ns0:v>
      </ns0:c>
      <ns0:c r="Q222" s="15" t="inlineStr">
        <ns0:is>
          <ns0:t>E:00000005:00010019:00000044:0182ae03</ns0:t>
        </ns0:is>
      </ns0:c>
    </ns0:row>
    <ns0:row r="223">
      <ns0:c r="A223" t="n">
        <ns0:v>10</ns0:v>
      </ns0:c>
      <ns0:c r="B223" t="inlineStr">
        <ns0:is>
          <ns0:t>0</ns0:t>
        </ns0:is>
      </ns0:c>
      <ns0:c r="C223" t="n">
        <ns0:v>7</ns0:v>
      </ns0:c>
      <ns0:c r="D223" t="n">
        <ns0:v>29</ns0:v>
      </ns0:c>
      <ns0:c r="E223" s="14" t="inlineStr">
        <ns0:is>
          <ns0:t>FETCH</ns0:t>
        </ns0:is>
      </ns0:c>
      <ns0:c r="F223" s="15" t="inlineStr">
        <ns0:is>
          <ns0:t>0x00000048</ns0:t>
        </ns0:is>
      </ns0:c>
      <ns0:c r="G223" s="15" t="inlineStr">
        <ns0:is>
          <ns0:t>0x05400413</ns0:t>
        </ns0:is>
      </ns0:c>
      <ns0:c r="H223" s="15" t="inlineStr">
        <ns0:is>
          <ns0:t>addi s0, zero, 84</ns0:t>
        </ns0:is>
      </ns0:c>
      <ns0:c r="I223" t="inlineStr">
        <ns0:is>
          <ns0:t>addi</ns0:t>
        </ns0:is>
      </ns0:c>
      <ns0:c r="J223" t="inlineStr">
        <ns0:is>
          <ns0:t>CORE</ns0:t>
        </ns0:is>
      </ns0:c>
      <ns0:c r="K223" s="15" t="n">
        <ns0:v>10007</ns0:v>
      </ns0:c>
      <ns0:c r="L223" t="inlineStr">
        <ns0:is>
          <ns0:t>FETCH|0x00000048|0x05400413</ns0:t>
        </ns0:is>
      </ns0:c>
      <ns0:c r="M223" t="inlineStr">
        <ns0:is>
          <ns0:t>addi@0x00000048</ns0:t>
        </ns0:is>
      </ns0:c>
      <ns0:c r="N223">
        <ns0:f>IF(E223="FETCH",IF(COUNTIF($M$6:M223,M223)=1,1,0),0)</ns0:f>
        <ns0:v>0</ns0:v>
      </ns0:c>
      <ns0:c r="O223" t="inlineStr">
        <ns0:is>
          <ns0:t>ROM OK</ns0:t>
        </ns0:is>
      </ns0:c>
      <ns0:c r="P223">
        <ns0:f>IF(AND(E223="FETCH",F223="0x00000048"),C223-1,0)</ns0:f>
        <ns0:v>6</ns0:v>
      </ns0:c>
      <ns0:c r="Q223" s="15" t="inlineStr">
        <ns0:is>
          <ns0:t>E:00000006:0001001d:00000048:05400413</ns0:t>
        </ns0:is>
      </ns0:c>
    </ns0:row>
    <ns0:row r="224">
      <ns0:c r="A224" t="n">
        <ns0:v>10</ns0:v>
      </ns0:c>
      <ns0:c r="B224" t="inlineStr">
        <ns0:is>
          <ns0:t>0</ns0:t>
        </ns0:is>
      </ns0:c>
      <ns0:c r="C224" t="n">
        <ns0:v>8</ns0:v>
      </ns0:c>
      <ns0:c r="D224" t="n">
        <ns0:v>36</ns0:v>
      </ns0:c>
      <ns0:c r="E224" s="14" t="inlineStr">
        <ns0:is>
          <ns0:t>FETCH</ns0:t>
        </ns0:is>
      </ns0:c>
      <ns0:c r="F224" s="15" t="inlineStr">
        <ns0:is>
          <ns0:t>0x0000004C</ns0:t>
        </ns0:is>
      </ns0:c>
      <ns0:c r="G224" s="15" t="inlineStr">
        <ns0:is>
          <ns0:t>0x1A8E0063</ns0:t>
        </ns0:is>
      </ns0:c>
      <ns0:c r="H224" s="15" t="inlineStr">
        <ns0:is>
          <ns0:t>beq t3, s0, 0x000001EC</ns0:t>
        </ns0:is>
      </ns0:c>
      <ns0:c r="I224" t="inlineStr">
        <ns0:is>
          <ns0:t>beq</ns0:t>
        </ns0:is>
      </ns0:c>
      <ns0:c r="J224" t="inlineStr">
        <ns0:is>
          <ns0:t>CORE</ns0:t>
        </ns0:is>
      </ns0:c>
      <ns0:c r="K224" s="15" t="n">
        <ns0:v>10008</ns0:v>
      </ns0:c>
      <ns0:c r="L224" t="inlineStr">
        <ns0:is>
          <ns0:t>FETCH|0x0000004C|0x1A8E0063</ns0:t>
        </ns0:is>
      </ns0:c>
      <ns0:c r="M224" t="inlineStr">
        <ns0:is>
          <ns0:t>beq@0x0000004C</ns0:t>
        </ns0:is>
      </ns0:c>
      <ns0:c r="N224">
        <ns0:f>IF(E224="FETCH",IF(COUNTIF($M$6:M224,M224)=1,1,0),0)</ns0:f>
        <ns0:v>0</ns0:v>
      </ns0:c>
      <ns0:c r="O224" t="inlineStr">
        <ns0:is>
          <ns0:t>ROM OK</ns0:t>
        </ns0:is>
      </ns0:c>
      <ns0:c r="P224">
        <ns0:f>IF(AND(E224="FETCH",F224="0x00000048"),C224-1,0)</ns0:f>
        <ns0:v>0</ns0:v>
      </ns0:c>
      <ns0:c r="Q224" s="15" t="inlineStr">
        <ns0:is>
          <ns0:t>E:00000007:00010024:0000004c:1a8e0063</ns0:t>
        </ns0:is>
      </ns0:c>
    </ns0:row>
    <ns0:row r="225">
      <ns0:c r="A225" t="n">
        <ns0:v>10</ns0:v>
      </ns0:c>
      <ns0:c r="B225" t="inlineStr">
        <ns0:is>
          <ns0:t>0</ns0:t>
        </ns0:is>
      </ns0:c>
      <ns0:c r="C225" t="n">
        <ns0:v>9</ns0:v>
      </ns0:c>
      <ns0:c r="D225" t="n">
        <ns0:v>40</ns0:v>
      </ns0:c>
      <ns0:c r="E225" s="14" t="inlineStr">
        <ns0:is>
          <ns0:t>FETCH</ns0:t>
        </ns0:is>
      </ns0:c>
      <ns0:c r="F225" s="15" t="inlineStr">
        <ns0:is>
          <ns0:t>0x00000050</ns0:t>
        </ns0:is>
      </ns0:c>
      <ns0:c r="G225" s="15" t="inlineStr">
        <ns0:is>
          <ns0:t>0x04300413</ns0:t>
        </ns0:is>
      </ns0:c>
      <ns0:c r="H225" s="15" t="inlineStr">
        <ns0:is>
          <ns0:t>addi s0, zero, 67</ns0:t>
        </ns0:is>
      </ns0:c>
      <ns0:c r="I225" t="inlineStr">
        <ns0:is>
          <ns0:t>addi</ns0:t>
        </ns0:is>
      </ns0:c>
      <ns0:c r="J225" t="inlineStr">
        <ns0:is>
          <ns0:t>CORE</ns0:t>
        </ns0:is>
      </ns0:c>
      <ns0:c r="K225" s="15" t="n">
        <ns0:v>10009</ns0:v>
      </ns0:c>
      <ns0:c r="L225" t="inlineStr">
        <ns0:is>
          <ns0:t>FETCH|0x00000050|0x04300413</ns0:t>
        </ns0:is>
      </ns0:c>
      <ns0:c r="M225" t="inlineStr">
        <ns0:is>
          <ns0:t>addi@0x00000050</ns0:t>
        </ns0:is>
      </ns0:c>
      <ns0:c r="N225">
        <ns0:f>IF(E225="FETCH",IF(COUNTIF($M$6:M225,M225)=1,1,0),0)</ns0:f>
        <ns0:v>0</ns0:v>
      </ns0:c>
      <ns0:c r="O225" t="inlineStr">
        <ns0:is>
          <ns0:t>ROM OK</ns0:t>
        </ns0:is>
      </ns0:c>
      <ns0:c r="P225">
        <ns0:f>IF(AND(E225="FETCH",F225="0x00000048"),C225-1,0)</ns0:f>
        <ns0:v>0</ns0:v>
      </ns0:c>
      <ns0:c r="Q225" s="15" t="inlineStr">
        <ns0:is>
          <ns0:t>E:00000008:00010028:00000050:04300413</ns0:t>
        </ns0:is>
      </ns0:c>
    </ns0:row>
    <ns0:row r="226">
      <ns0:c r="A226" t="n">
        <ns0:v>10</ns0:v>
      </ns0:c>
      <ns0:c r="B226" t="inlineStr">
        <ns0:is>
          <ns0:t>0</ns0:t>
        </ns0:is>
      </ns0:c>
      <ns0:c r="C226" t="n">
        <ns0:v>10</ns0:v>
      </ns0:c>
      <ns0:c r="D226" t="n">
        <ns0:v>44</ns0:v>
      </ns0:c>
      <ns0:c r="E226" s="14" t="inlineStr">
        <ns0:is>
          <ns0:t>FETCH</ns0:t>
        </ns0:is>
      </ns0:c>
      <ns0:c r="F226" s="15" t="inlineStr">
        <ns0:is>
          <ns0:t>0x00000054</ns0:t>
        </ns0:is>
      </ns0:c>
      <ns0:c r="G226" s="15" t="inlineStr">
        <ns0:is>
          <ns0:t>0x188E0063</ns0:t>
        </ns0:is>
      </ns0:c>
      <ns0:c r="H226" s="15" t="inlineStr">
        <ns0:is>
          <ns0:t>beq t3, s0, 0x000001D4</ns0:t>
        </ns0:is>
      </ns0:c>
      <ns0:c r="I226" t="inlineStr">
        <ns0:is>
          <ns0:t>beq</ns0:t>
        </ns0:is>
      </ns0:c>
      <ns0:c r="J226" t="inlineStr">
        <ns0:is>
          <ns0:t>CORE</ns0:t>
        </ns0:is>
      </ns0:c>
      <ns0:c r="K226" s="15" t="n">
        <ns0:v>10010</ns0:v>
      </ns0:c>
      <ns0:c r="L226" t="inlineStr">
        <ns0:is>
          <ns0:t>FETCH|0x00000054|0x188E0063</ns0:t>
        </ns0:is>
      </ns0:c>
      <ns0:c r="M226" t="inlineStr">
        <ns0:is>
          <ns0:t>beq@0x00000054</ns0:t>
        </ns0:is>
      </ns0:c>
      <ns0:c r="N226">
        <ns0:f>IF(E226="FETCH",IF(COUNTIF($M$6:M226,M226)=1,1,0),0)</ns0:f>
        <ns0:v>0</ns0:v>
      </ns0:c>
      <ns0:c r="O226" t="inlineStr">
        <ns0:is>
          <ns0:t>ROM OK</ns0:t>
        </ns0:is>
      </ns0:c>
      <ns0:c r="P226">
        <ns0:f>IF(AND(E226="FETCH",F226="0x00000048"),C226-1,0)</ns0:f>
        <ns0:v>0</ns0:v>
      </ns0:c>
      <ns0:c r="Q226" s="15" t="inlineStr">
        <ns0:is>
          <ns0:t>E:00000009:0001002c:00000054:188e0063</ns0:t>
        </ns0:is>
      </ns0:c>
    </ns0:row>
    <ns0:row r="227">
      <ns0:c r="A227" t="n">
        <ns0:v>10</ns0:v>
      </ns0:c>
      <ns0:c r="B227" t="inlineStr">
        <ns0:is>
          <ns0:t>0</ns0:t>
        </ns0:is>
      </ns0:c>
      <ns0:c r="C227" t="n">
        <ns0:v>11</ns0:v>
      </ns0:c>
      <ns0:c r="D227" t="n">
        <ns0:v>48</ns0:v>
      </ns0:c>
      <ns0:c r="E227" s="14" t="inlineStr">
        <ns0:is>
          <ns0:t>FETCH</ns0:t>
        </ns0:is>
      </ns0:c>
      <ns0:c r="F227" s="15" t="inlineStr">
        <ns0:is>
          <ns0:t>0x00000058</ns0:t>
        </ns0:is>
      </ns0:c>
      <ns0:c r="G227" s="15" t="inlineStr">
        <ns0:is>
          <ns0:t>0x03F00413</ns0:t>
        </ns0:is>
      </ns0:c>
      <ns0:c r="H227" s="15" t="inlineStr">
        <ns0:is>
          <ns0:t>addi s0, zero, 63</ns0:t>
        </ns0:is>
      </ns0:c>
      <ns0:c r="I227" t="inlineStr">
        <ns0:is>
          <ns0:t>addi</ns0:t>
        </ns0:is>
      </ns0:c>
      <ns0:c r="J227" t="inlineStr">
        <ns0:is>
          <ns0:t>CORE</ns0:t>
        </ns0:is>
      </ns0:c>
      <ns0:c r="K227" s="15" t="n">
        <ns0:v>10011</ns0:v>
      </ns0:c>
      <ns0:c r="L227" t="inlineStr">
        <ns0:is>
          <ns0:t>FETCH|0x00000058|0x03F00413</ns0:t>
        </ns0:is>
      </ns0:c>
      <ns0:c r="M227" t="inlineStr">
        <ns0:is>
          <ns0:t>addi@0x00000058</ns0:t>
        </ns0:is>
      </ns0:c>
      <ns0:c r="N227">
        <ns0:f>IF(E227="FETCH",IF(COUNTIF($M$6:M227,M227)=1,1,0),0)</ns0:f>
        <ns0:v>0</ns0:v>
      </ns0:c>
      <ns0:c r="O227" t="inlineStr">
        <ns0:is>
          <ns0:t>ROM OK</ns0:t>
        </ns0:is>
      </ns0:c>
      <ns0:c r="P227">
        <ns0:f>IF(AND(E227="FETCH",F227="0x00000048"),C227-1,0)</ns0:f>
        <ns0:v>0</ns0:v>
      </ns0:c>
      <ns0:c r="Q227" s="15" t="inlineStr">
        <ns0:is>
          <ns0:t>E:0000000a:00010030:00000058:03f00413</ns0:t>
        </ns0:is>
      </ns0:c>
    </ns0:row>
    <ns0:row r="228">
      <ns0:c r="A228" t="n">
        <ns0:v>10</ns0:v>
      </ns0:c>
      <ns0:c r="B228" t="inlineStr">
        <ns0:is>
          <ns0:t>0</ns0:t>
        </ns0:is>
      </ns0:c>
      <ns0:c r="C228" t="n">
        <ns0:v>12</ns0:v>
      </ns0:c>
      <ns0:c r="D228" t="n">
        <ns0:v>52</ns0:v>
      </ns0:c>
      <ns0:c r="E228" s="14" t="inlineStr">
        <ns0:is>
          <ns0:t>FETCH</ns0:t>
        </ns0:is>
      </ns0:c>
      <ns0:c r="F228" s="15" t="inlineStr">
        <ns0:is>
          <ns0:t>0x0000005C</ns0:t>
        </ns0:is>
      </ns0:c>
      <ns0:c r="G228" s="15" t="inlineStr">
        <ns0:is>
          <ns0:t>0x0A8E0A63</ns0:t>
        </ns0:is>
      </ns0:c>
      <ns0:c r="H228" s="15" t="inlineStr">
        <ns0:is>
          <ns0:t>beq t3, s0, 0x00000110</ns0:t>
        </ns0:is>
      </ns0:c>
      <ns0:c r="I228" t="inlineStr">
        <ns0:is>
          <ns0:t>beq</ns0:t>
        </ns0:is>
      </ns0:c>
      <ns0:c r="J228" t="inlineStr">
        <ns0:is>
          <ns0:t>CORE</ns0:t>
        </ns0:is>
      </ns0:c>
      <ns0:c r="K228" s="15" t="n">
        <ns0:v>10012</ns0:v>
      </ns0:c>
      <ns0:c r="L228" t="inlineStr">
        <ns0:is>
          <ns0:t>FETCH|0x0000005C|0x0A8E0A63</ns0:t>
        </ns0:is>
      </ns0:c>
      <ns0:c r="M228" t="inlineStr">
        <ns0:is>
          <ns0:t>beq@0x0000005C</ns0:t>
        </ns0:is>
      </ns0:c>
      <ns0:c r="N228">
        <ns0:f>IF(E228="FETCH",IF(COUNTIF($M$6:M228,M228)=1,1,0),0)</ns0:f>
        <ns0:v>0</ns0:v>
      </ns0:c>
      <ns0:c r="O228" t="inlineStr">
        <ns0:is>
          <ns0:t>ROM OK</ns0:t>
        </ns0:is>
      </ns0:c>
      <ns0:c r="P228">
        <ns0:f>IF(AND(E228="FETCH",F228="0x00000048"),C228-1,0)</ns0:f>
        <ns0:v>0</ns0:v>
      </ns0:c>
      <ns0:c r="Q228" s="15" t="inlineStr">
        <ns0:is>
          <ns0:t>E:0000000b:00010034:0000005c:0a8e0a63</ns0:t>
        </ns0:is>
      </ns0:c>
    </ns0:row>
    <ns0:row r="229">
      <ns0:c r="A229" t="n">
        <ns0:v>10</ns0:v>
      </ns0:c>
      <ns0:c r="B229" t="inlineStr">
        <ns0:is>
          <ns0:t>0</ns0:t>
        </ns0:is>
      </ns0:c>
      <ns0:c r="C229" t="n">
        <ns0:v>13</ns0:v>
      </ns0:c>
      <ns0:c r="D229" t="n">
        <ns0:v>56</ns0:v>
      </ns0:c>
      <ns0:c r="E229" s="14" t="inlineStr">
        <ns0:is>
          <ns0:t>FETCH</ns0:t>
        </ns0:is>
      </ns0:c>
      <ns0:c r="F229" s="15" t="inlineStr">
        <ns0:is>
          <ns0:t>0x00000060</ns0:t>
        </ns0:is>
      </ns0:c>
      <ns0:c r="G229" s="15" t="inlineStr">
        <ns0:is>
          <ns0:t>0x03000413</ns0:t>
        </ns0:is>
      </ns0:c>
      <ns0:c r="H229" s="15" t="inlineStr">
        <ns0:is>
          <ns0:t>addi s0, zero, 48</ns0:t>
        </ns0:is>
      </ns0:c>
      <ns0:c r="I229" t="inlineStr">
        <ns0:is>
          <ns0:t>addi</ns0:t>
        </ns0:is>
      </ns0:c>
      <ns0:c r="J229" t="inlineStr">
        <ns0:is>
          <ns0:t>CORE</ns0:t>
        </ns0:is>
      </ns0:c>
      <ns0:c r="K229" s="15" t="n">
        <ns0:v>10013</ns0:v>
      </ns0:c>
      <ns0:c r="L229" t="inlineStr">
        <ns0:is>
          <ns0:t>FETCH|0x00000060|0x03000413</ns0:t>
        </ns0:is>
      </ns0:c>
      <ns0:c r="M229" t="inlineStr">
        <ns0:is>
          <ns0:t>addi@0x00000060</ns0:t>
        </ns0:is>
      </ns0:c>
      <ns0:c r="N229">
        <ns0:f>IF(E229="FETCH",IF(COUNTIF($M$6:M229,M229)=1,1,0),0)</ns0:f>
        <ns0:v>0</ns0:v>
      </ns0:c>
      <ns0:c r="O229" t="inlineStr">
        <ns0:is>
          <ns0:t>ROM OK</ns0:t>
        </ns0:is>
      </ns0:c>
      <ns0:c r="P229">
        <ns0:f>IF(AND(E229="FETCH",F229="0x00000048"),C229-1,0)</ns0:f>
        <ns0:v>0</ns0:v>
      </ns0:c>
      <ns0:c r="Q229" s="15" t="inlineStr">
        <ns0:is>
          <ns0:t>E:0000000c:00010038:00000060:03000413</ns0:t>
        </ns0:is>
      </ns0:c>
    </ns0:row>
    <ns0:row r="230">
      <ns0:c r="A230" t="n">
        <ns0:v>10</ns0:v>
      </ns0:c>
      <ns0:c r="B230" t="inlineStr">
        <ns0:is>
          <ns0:t>0</ns0:t>
        </ns0:is>
      </ns0:c>
      <ns0:c r="C230" t="n">
        <ns0:v>14</ns0:v>
      </ns0:c>
      <ns0:c r="D230" t="n">
        <ns0:v>60</ns0:v>
      </ns0:c>
      <ns0:c r="E230" s="14" t="inlineStr">
        <ns0:is>
          <ns0:t>FETCH</ns0:t>
        </ns0:is>
      </ns0:c>
      <ns0:c r="F230" s="15" t="inlineStr">
        <ns0:is>
          <ns0:t>0x00000064</ns0:t>
        </ns0:is>
      </ns0:c>
      <ns0:c r="G230" s="15" t="inlineStr">
        <ns0:is>
          <ns0:t>0x048E0463</ns0:t>
        </ns0:is>
      </ns0:c>
      <ns0:c r="H230" s="15" t="inlineStr">
        <ns0:is>
          <ns0:t>beq t3, s0, 0x000000AC</ns0:t>
        </ns0:is>
      </ns0:c>
      <ns0:c r="I230" t="inlineStr">
        <ns0:is>
          <ns0:t>beq</ns0:t>
        </ns0:is>
      </ns0:c>
      <ns0:c r="J230" t="inlineStr">
        <ns0:is>
          <ns0:t>CORE</ns0:t>
        </ns0:is>
      </ns0:c>
      <ns0:c r="K230" s="15" t="n">
        <ns0:v>10014</ns0:v>
      </ns0:c>
      <ns0:c r="L230" t="inlineStr">
        <ns0:is>
          <ns0:t>FETCH|0x00000064|0x048E0463</ns0:t>
        </ns0:is>
      </ns0:c>
      <ns0:c r="M230" t="inlineStr">
        <ns0:is>
          <ns0:t>beq@0x00000064</ns0:t>
        </ns0:is>
      </ns0:c>
      <ns0:c r="N230">
        <ns0:f>IF(E230="FETCH",IF(COUNTIF($M$6:M230,M230)=1,1,0),0)</ns0:f>
        <ns0:v>0</ns0:v>
      </ns0:c>
      <ns0:c r="O230" t="inlineStr">
        <ns0:is>
          <ns0:t>ROM OK</ns0:t>
        </ns0:is>
      </ns0:c>
      <ns0:c r="P230">
        <ns0:f>IF(AND(E230="FETCH",F230="0x00000048"),C230-1,0)</ns0:f>
        <ns0:v>0</ns0:v>
      </ns0:c>
      <ns0:c r="Q230" s="15" t="inlineStr">
        <ns0:is>
          <ns0:t>E:0000000d:0001003c:00000064:048e0463</ns0:t>
        </ns0:is>
      </ns0:c>
    </ns0:row>
    <ns0:row r="231">
      <ns0:c r="A231" t="n">
        <ns0:v>10</ns0:v>
      </ns0:c>
      <ns0:c r="B231" t="inlineStr">
        <ns0:is>
          <ns0:t>0</ns0:t>
        </ns0:is>
      </ns0:c>
      <ns0:c r="C231" t="n">
        <ns0:v>15</ns0:v>
      </ns0:c>
      <ns0:c r="D231" t="n">
        <ns0:v>64</ns0:v>
      </ns0:c>
      <ns0:c r="E231" s="14" t="inlineStr">
        <ns0:is>
          <ns0:t>FETCH</ns0:t>
        </ns0:is>
      </ns0:c>
      <ns0:c r="F231" s="15" t="inlineStr">
        <ns0:is>
          <ns0:t>0x00000068</ns0:t>
        </ns0:is>
      </ns0:c>
      <ns0:c r="G231" s="15" t="inlineStr">
        <ns0:is>
          <ns0:t>0x03100413</ns0:t>
        </ns0:is>
      </ns0:c>
      <ns0:c r="H231" s="15" t="inlineStr">
        <ns0:is>
          <ns0:t>addi s0, zero, 49</ns0:t>
        </ns0:is>
      </ns0:c>
      <ns0:c r="I231" t="inlineStr">
        <ns0:is>
          <ns0:t>addi</ns0:t>
        </ns0:is>
      </ns0:c>
      <ns0:c r="J231" t="inlineStr">
        <ns0:is>
          <ns0:t>CORE</ns0:t>
        </ns0:is>
      </ns0:c>
      <ns0:c r="K231" s="15" t="n">
        <ns0:v>10015</ns0:v>
      </ns0:c>
      <ns0:c r="L231" t="inlineStr">
        <ns0:is>
          <ns0:t>FETCH|0x00000068|0x03100413</ns0:t>
        </ns0:is>
      </ns0:c>
      <ns0:c r="M231" t="inlineStr">
        <ns0:is>
          <ns0:t>addi@0x00000068</ns0:t>
        </ns0:is>
      </ns0:c>
      <ns0:c r="N231">
        <ns0:f>IF(E231="FETCH",IF(COUNTIF($M$6:M231,M231)=1,1,0),0)</ns0:f>
        <ns0:v>0</ns0:v>
      </ns0:c>
      <ns0:c r="O231" t="inlineStr">
        <ns0:is>
          <ns0:t>ROM OK</ns0:t>
        </ns0:is>
      </ns0:c>
      <ns0:c r="P231">
        <ns0:f>IF(AND(E231="FETCH",F231="0x00000048"),C231-1,0)</ns0:f>
        <ns0:v>0</ns0:v>
      </ns0:c>
      <ns0:c r="Q231" s="15" t="inlineStr">
        <ns0:is>
          <ns0:t>E:0000000e:00010040:00000068:03100413</ns0:t>
        </ns0:is>
      </ns0:c>
    </ns0:row>
    <ns0:row r="232">
      <ns0:c r="A232" t="n">
        <ns0:v>10</ns0:v>
      </ns0:c>
      <ns0:c r="B232" t="inlineStr">
        <ns0:is>
          <ns0:t>0</ns0:t>
        </ns0:is>
      </ns0:c>
      <ns0:c r="C232" t="n">
        <ns0:v>16</ns0:v>
      </ns0:c>
      <ns0:c r="D232" t="n">
        <ns0:v>67</ns0:v>
      </ns0:c>
      <ns0:c r="E232" s="14" t="inlineStr">
        <ns0:is>
          <ns0:t>FETCH</ns0:t>
        </ns0:is>
      </ns0:c>
      <ns0:c r="F232" s="15" t="inlineStr">
        <ns0:is>
          <ns0:t>0x000000AC</ns0:t>
        </ns0:is>
      </ns0:c>
      <ns0:c r="G232" s="15" t="inlineStr">
        <ns0:is>
          <ns0:t>0x00000E93</ns0:t>
        </ns0:is>
      </ns0:c>
      <ns0:c r="H232" s="15" t="inlineStr">
        <ns0:is>
          <ns0:t>addi t4, zero, 0</ns0:t>
        </ns0:is>
      </ns0:c>
      <ns0:c r="I232" t="inlineStr">
        <ns0:is>
          <ns0:t>addi</ns0:t>
        </ns0:is>
      </ns0:c>
      <ns0:c r="J232" t="inlineStr">
        <ns0:is>
          <ns0:t>CORE</ns0:t>
        </ns0:is>
      </ns0:c>
      <ns0:c r="K232" s="15" t="n">
        <ns0:v>10016</ns0:v>
      </ns0:c>
      <ns0:c r="L232" t="inlineStr">
        <ns0:is>
          <ns0:t>FETCH|0x000000AC|0x00000E93</ns0:t>
        </ns0:is>
      </ns0:c>
      <ns0:c r="M232" t="inlineStr">
        <ns0:is>
          <ns0:t>addi@0x000000AC</ns0:t>
        </ns0:is>
      </ns0:c>
      <ns0:c r="N232">
        <ns0:f>IF(E232="FETCH",IF(COUNTIF($M$6:M232,M232)=1,1,0),0)</ns0:f>
        <ns0:v>0</ns0:v>
      </ns0:c>
      <ns0:c r="O232" t="inlineStr">
        <ns0:is>
          <ns0:t>ROM OK</ns0:t>
        </ns0:is>
      </ns0:c>
      <ns0:c r="P232">
        <ns0:f>IF(AND(E232="FETCH",F232="0x00000048"),C232-1,0)</ns0:f>
        <ns0:v>0</ns0:v>
      </ns0:c>
      <ns0:c r="Q232" s="15" t="inlineStr">
        <ns0:is>
          <ns0:t>E:0000000f:00010043:000000ac:00000e93</ns0:t>
        </ns0:is>
      </ns0:c>
    </ns0:row>
    <ns0:row r="233">
      <ns0:c r="A233" t="n">
        <ns0:v>10</ns0:v>
      </ns0:c>
      <ns0:c r="B233" t="inlineStr">
        <ns0:is>
          <ns0:t>0</ns0:t>
        </ns0:is>
      </ns0:c>
      <ns0:c r="C233" t="n">
        <ns0:v>17</ns0:v>
      </ns0:c>
      <ns0:c r="D233" t="n">
        <ns0:v>71</ns0:v>
      </ns0:c>
      <ns0:c r="E233" s="14" t="inlineStr">
        <ns0:is>
          <ns0:t>FETCH</ns0:t>
        </ns0:is>
      </ns0:c>
      <ns0:c r="F233" s="15" t="inlineStr">
        <ns0:is>
          <ns0:t>0x000000B0</ns0:t>
        </ns0:is>
      </ns0:c>
      <ns0:c r="G233" s="15" t="inlineStr">
        <ns0:is>
          <ns0:t>0x03000F13</ns0:t>
        </ns0:is>
      </ns0:c>
      <ns0:c r="H233" s="15" t="inlineStr">
        <ns0:is>
          <ns0:t>addi t5, zero, 48</ns0:t>
        </ns0:is>
      </ns0:c>
      <ns0:c r="I233" t="inlineStr">
        <ns0:is>
          <ns0:t>addi</ns0:t>
        </ns0:is>
      </ns0:c>
      <ns0:c r="J233" t="inlineStr">
        <ns0:is>
          <ns0:t>CORE</ns0:t>
        </ns0:is>
      </ns0:c>
      <ns0:c r="K233" s="15" t="n">
        <ns0:v>10017</ns0:v>
      </ns0:c>
      <ns0:c r="L233" t="inlineStr">
        <ns0:is>
          <ns0:t>FETCH|0x000000B0|0x03000F13</ns0:t>
        </ns0:is>
      </ns0:c>
      <ns0:c r="M233" t="inlineStr">
        <ns0:is>
          <ns0:t>addi@0x000000B0</ns0:t>
        </ns0:is>
      </ns0:c>
      <ns0:c r="N233">
        <ns0:f>IF(E233="FETCH",IF(COUNTIF($M$6:M233,M233)=1,1,0),0)</ns0:f>
        <ns0:v>0</ns0:v>
      </ns0:c>
      <ns0:c r="O233" t="inlineStr">
        <ns0:is>
          <ns0:t>ROM OK</ns0:t>
        </ns0:is>
      </ns0:c>
      <ns0:c r="P233">
        <ns0:f>IF(AND(E233="FETCH",F233="0x00000048"),C233-1,0)</ns0:f>
        <ns0:v>0</ns0:v>
      </ns0:c>
      <ns0:c r="Q233" s="15" t="inlineStr">
        <ns0:is>
          <ns0:t>E:00000010:00010047:000000b0:03000f13</ns0:t>
        </ns0:is>
      </ns0:c>
    </ns0:row>
    <ns0:row r="234">
      <ns0:c r="A234" t="n">
        <ns0:v>10</ns0:v>
      </ns0:c>
      <ns0:c r="B234" t="inlineStr">
        <ns0:is>
          <ns0:t>0</ns0:t>
        </ns0:is>
      </ns0:c>
      <ns0:c r="C234" t="n">
        <ns0:v>18</ns0:v>
      </ns0:c>
      <ns0:c r="D234" t="n">
        <ns0:v>75</ns0:v>
      </ns0:c>
      <ns0:c r="E234" s="14" t="inlineStr">
        <ns0:is>
          <ns0:t>FETCH</ns0:t>
        </ns0:is>
      </ns0:c>
      <ns0:c r="F234" s="15" t="inlineStr">
        <ns0:is>
          <ns0:t>0x000000B4</ns0:t>
        </ns0:is>
      </ns0:c>
      <ns0:c r="G234" s="15" t="inlineStr">
        <ns0:is>
          <ns0:t>0x04C0006F</ns0:t>
        </ns0:is>
      </ns0:c>
      <ns0:c r="H234" s="15" t="inlineStr">
        <ns0:is>
          <ns0:t>jal zero, 0x00000100</ns0:t>
        </ns0:is>
      </ns0:c>
      <ns0:c r="I234" t="inlineStr">
        <ns0:is>
          <ns0:t>jal</ns0:t>
        </ns0:is>
      </ns0:c>
      <ns0:c r="J234" t="inlineStr">
        <ns0:is>
          <ns0:t>CORE</ns0:t>
        </ns0:is>
      </ns0:c>
      <ns0:c r="K234" s="15" t="n">
        <ns0:v>10018</ns0:v>
      </ns0:c>
      <ns0:c r="L234" t="inlineStr">
        <ns0:is>
          <ns0:t>FETCH|0x000000B4|0x04C0006F</ns0:t>
        </ns0:is>
      </ns0:c>
      <ns0:c r="M234" t="inlineStr">
        <ns0:is>
          <ns0:t>jal@0x000000B4</ns0:t>
        </ns0:is>
      </ns0:c>
      <ns0:c r="N234">
        <ns0:f>IF(E234="FETCH",IF(COUNTIF($M$6:M234,M234)=1,1,0),0)</ns0:f>
        <ns0:v>0</ns0:v>
      </ns0:c>
      <ns0:c r="O234" t="inlineStr">
        <ns0:is>
          <ns0:t>ROM OK</ns0:t>
        </ns0:is>
      </ns0:c>
      <ns0:c r="P234">
        <ns0:f>IF(AND(E234="FETCH",F234="0x00000048"),C234-1,0)</ns0:f>
        <ns0:v>0</ns0:v>
      </ns0:c>
      <ns0:c r="Q234" s="15" t="inlineStr">
        <ns0:is>
          <ns0:t>E:00000011:0001004b:000000b4:04c0006f</ns0:t>
        </ns0:is>
      </ns0:c>
    </ns0:row>
    <ns0:row r="235">
      <ns0:c r="A235" t="n">
        <ns0:v>10</ns0:v>
      </ns0:c>
      <ns0:c r="B235" t="inlineStr">
        <ns0:is>
          <ns0:t>0</ns0:t>
        </ns0:is>
      </ns0:c>
      <ns0:c r="C235" t="n">
        <ns0:v>19</ns0:v>
      </ns0:c>
      <ns0:c r="D235" t="n">
        <ns0:v>79</ns0:v>
      </ns0:c>
      <ns0:c r="E235" s="14" t="inlineStr">
        <ns0:is>
          <ns0:t>FETCH</ns0:t>
        </ns0:is>
      </ns0:c>
      <ns0:c r="F235" s="15" t="inlineStr">
        <ns0:is>
          <ns0:t>0x00000100</ns0:t>
        </ns0:is>
      </ns0:c>
      <ns0:c r="G235" s="15" t="inlineStr">
        <ns0:is>
          <ns0:t>0x01D2A023</ns0:t>
        </ns0:is>
      </ns0:c>
      <ns0:c r="H235" s="15" t="inlineStr">
        <ns0:is>
          <ns0:t>sw t4, 0(t0)</ns0:t>
        </ns0:is>
      </ns0:c>
      <ns0:c r="I235" t="inlineStr">
        <ns0:is>
          <ns0:t>sw</ns0:t>
        </ns0:is>
      </ns0:c>
      <ns0:c r="J235" t="inlineStr">
        <ns0:is>
          <ns0:t>CORE</ns0:t>
        </ns0:is>
      </ns0:c>
      <ns0:c r="K235" s="15" t="n">
        <ns0:v>10019</ns0:v>
      </ns0:c>
      <ns0:c r="L235" t="inlineStr">
        <ns0:is>
          <ns0:t>FETCH|0x00000100|0x01D2A023</ns0:t>
        </ns0:is>
      </ns0:c>
      <ns0:c r="M235" t="inlineStr">
        <ns0:is>
          <ns0:t>sw@0x00000100</ns0:t>
        </ns0:is>
      </ns0:c>
      <ns0:c r="N235">
        <ns0:f>IF(E235="FETCH",IF(COUNTIF($M$6:M235,M235)=1,1,0),0)</ns0:f>
        <ns0:v>0</ns0:v>
      </ns0:c>
      <ns0:c r="O235" t="inlineStr">
        <ns0:is>
          <ns0:t>ROM OK</ns0:t>
        </ns0:is>
      </ns0:c>
      <ns0:c r="P235">
        <ns0:f>IF(AND(E235="FETCH",F235="0x00000048"),C235-1,0)</ns0:f>
        <ns0:v>0</ns0:v>
      </ns0:c>
      <ns0:c r="Q235" s="15" t="inlineStr">
        <ns0:is>
          <ns0:t>E:00000012:0001004f:00000100:01d2a023</ns0:t>
        </ns0:is>
      </ns0:c>
    </ns0:row>
    <ns0:row r="236">
      <ns0:c r="A236" t="n">
        <ns0:v>10</ns0:v>
      </ns0:c>
      <ns0:c r="B236" t="inlineStr">
        <ns0:is>
          <ns0:t>0</ns0:t>
        </ns0:is>
      </ns0:c>
      <ns0:c r="C236" t="n">
        <ns0:v>20</ns0:v>
      </ns0:c>
      <ns0:c r="D236" t="n">
        <ns0:v>83</ns0:v>
      </ns0:c>
      <ns0:c r="E236" s="14" t="inlineStr">
        <ns0:is>
          <ns0:t>FETCH</ns0:t>
        </ns0:is>
      </ns0:c>
      <ns0:c r="F236" s="15" t="inlineStr">
        <ns0:is>
          <ns0:t>0x00000104</ns0:t>
        </ns0:is>
      </ns0:c>
      <ns0:c r="G236" s="15" t="inlineStr">
        <ns0:is>
          <ns0:t>0x0002AF83</ns0:t>
        </ns0:is>
      </ns0:c>
      <ns0:c r="H236" s="15" t="inlineStr">
        <ns0:is>
          <ns0:t>lw t6, 0(t0)</ns0:t>
        </ns0:is>
      </ns0:c>
      <ns0:c r="I236" t="inlineStr">
        <ns0:is>
          <ns0:t>lw</ns0:t>
        </ns0:is>
      </ns0:c>
      <ns0:c r="J236" t="inlineStr">
        <ns0:is>
          <ns0:t>CORE</ns0:t>
        </ns0:is>
      </ns0:c>
      <ns0:c r="K236" s="15" t="n">
        <ns0:v>10020</ns0:v>
      </ns0:c>
      <ns0:c r="L236" t="inlineStr">
        <ns0:is>
          <ns0:t>FETCH|0x00000104|0x0002AF83</ns0:t>
        </ns0:is>
      </ns0:c>
      <ns0:c r="M236" t="inlineStr">
        <ns0:is>
          <ns0:t>lw@0x00000104</ns0:t>
        </ns0:is>
      </ns0:c>
      <ns0:c r="N236">
        <ns0:f>IF(E236="FETCH",IF(COUNTIF($M$6:M236,M236)=1,1,0),0)</ns0:f>
        <ns0:v>0</ns0:v>
      </ns0:c>
      <ns0:c r="O236" t="inlineStr">
        <ns0:is>
          <ns0:t>ROM OK</ns0:t>
        </ns0:is>
      </ns0:c>
      <ns0:c r="P236">
        <ns0:f>IF(AND(E236="FETCH",F236="0x00000048"),C236-1,0)</ns0:f>
        <ns0:v>0</ns0:v>
      </ns0:c>
      <ns0:c r="Q236" s="15" t="inlineStr">
        <ns0:is>
          <ns0:t>E:00000013:00010053:00000104:0002af83</ns0:t>
        </ns0:is>
      </ns0:c>
    </ns0:row>
    <ns0:row r="237">
      <ns0:c r="A237" s="17" t="n">
        <ns0:v>10</ns0:v>
      </ns0:c>
      <ns0:c r="B237" s="17" t="inlineStr">
        <ns0:is>
          <ns0:t>0</ns0:t>
        </ns0:is>
      </ns0:c>
      <ns0:c r="C237" s="17" t="n">
        <ns0:v>21</ns0:v>
      </ns0:c>
      <ns0:c r="D237" s="17" t="n">
        <ns0:v>86</ns0:v>
      </ns0:c>
      <ns0:c r="E237" s="18" t="inlineStr">
        <ns0:is>
          <ns0:t>LED_WRITE</ns0:t>
        </ns0:is>
      </ns0:c>
      <ns0:c r="F237" s="19" t="inlineStr">
        <ns0:is>
          <ns0:t>0x20000000</ns0:t>
        </ns0:is>
      </ns0:c>
      <ns0:c r="G237" s="19" t="inlineStr">
        <ns0:is>
          <ns0:t>0x00000000</ns0:t>
        </ns0:is>
      </ns0:c>
      <ns0:c r="H237" s="19" t="inlineStr">
        <ns0:is>
          <ns0:t>MMIO GPIO write</ns0:t>
        </ns0:is>
      </ns0:c>
      <ns0:c r="I237" s="17" t="inlineStr">
        <ns0:is>
          <ns0:t>LED_WRITE</ns0:t>
        </ns0:is>
      </ns0:c>
      <ns0:c r="J237" s="17" t="inlineStr">
        <ns0:is>
          <ns0:t>MMIO</ns0:t>
        </ns0:is>
      </ns0:c>
      <ns0:c r="K237" s="19" t="n">
        <ns0:v>10021</ns0:v>
      </ns0:c>
      <ns0:c r="L237" s="17" t="inlineStr">
        <ns0:is>
          <ns0:t>LED_WRITE|0x20000000|0x00000000</ns0:t>
        </ns0:is>
      </ns0:c>
      <ns0:c r="M237" s="17" t="inlineStr"/>
      <ns0:c r="N237" s="17">
        <ns0:f>IF(E237="FETCH",IF(COUNTIF($M$6:M237,M237)=1,1,0),0)</ns0:f>
        <ns0:v>0</ns0:v>
      </ns0:c>
      <ns0:c r="O237" s="17" t="inlineStr">
        <ns0:is>
          <ns0:t>MMIO OK</ns0:t>
        </ns0:is>
      </ns0:c>
      <ns0:c r="P237" s="17">
        <ns0:f>IF(AND(E237="FETCH",F237="0x00000048"),C237-1,0)</ns0:f>
        <ns0:v>0</ns0:v>
      </ns0:c>
      <ns0:c r="Q237" s="19" t="inlineStr">
        <ns0:is>
          <ns0:t>E:00000014:00020056:20000000:00000000</ns0:t>
        </ns0:is>
      </ns0:c>
    </ns0:row>
    <ns0:row r="238">
      <ns0:c r="A238" t="n">
        <ns0:v>11</ns0:v>
      </ns0:c>
      <ns0:c r="B238" t="inlineStr">
        <ns0:is>
          <ns0:t>4</ns0:t>
        </ns0:is>
      </ns0:c>
      <ns0:c r="C238" t="n">
        <ns0:v>1</ns0:v>
      </ns0:c>
      <ns0:c r="D238" t="n">
        <ns0:v>1</ns0:v>
      </ns0:c>
      <ns0:c r="E238" s="14" t="inlineStr">
        <ns0:is>
          <ns0:t>FETCH</ns0:t>
        </ns0:is>
      </ns0:c>
      <ns0:c r="F238" s="15" t="inlineStr">
        <ns0:is>
          <ns0:t>0x00000044</ns0:t>
        </ns0:is>
      </ns0:c>
      <ns0:c r="G238" s="15" t="inlineStr">
        <ns0:is>
          <ns0:t>0x0182AE03</ns0:t>
        </ns0:is>
      </ns0:c>
      <ns0:c r="H238" s="15" t="inlineStr">
        <ns0:is>
          <ns0:t>lw t3, 24(t0)</ns0:t>
        </ns0:is>
      </ns0:c>
      <ns0:c r="I238" t="inlineStr">
        <ns0:is>
          <ns0:t>lw</ns0:t>
        </ns0:is>
      </ns0:c>
      <ns0:c r="J238" s="16" t="inlineStr">
        <ns0:is>
          <ns0:t>POLL</ns0:t>
        </ns0:is>
      </ns0:c>
      <ns0:c r="K238" s="15" t="n">
        <ns0:v>11001</ns0:v>
      </ns0:c>
      <ns0:c r="L238" t="inlineStr">
        <ns0:is>
          <ns0:t>FETCH|0x00000044|0x0182AE03</ns0:t>
        </ns0:is>
      </ns0:c>
      <ns0:c r="M238" t="inlineStr">
        <ns0:is>
          <ns0:t>lw@0x00000044</ns0:t>
        </ns0:is>
      </ns0:c>
      <ns0:c r="N238">
        <ns0:f>IF(E238="FETCH",IF(COUNTIF($M$6:M238,M238)=1,1,0),0)</ns0:f>
        <ns0:v>0</ns0:v>
      </ns0:c>
      <ns0:c r="O238" t="inlineStr">
        <ns0:is>
          <ns0:t>ROM OK</ns0:t>
        </ns0:is>
      </ns0:c>
      <ns0:c r="P238">
        <ns0:f>IF(AND(E238="FETCH",F238="0x00000048"),C238-1,0)</ns0:f>
        <ns0:v>0</ns0:v>
      </ns0:c>
      <ns0:c r="Q238" s="15" t="inlineStr">
        <ns0:is>
          <ns0:t>E:00000000:00010001:00000044:0182ae03</ns0:t>
        </ns0:is>
      </ns0:c>
    </ns0:row>
    <ns0:row r="239">
      <ns0:c r="A239" t="n">
        <ns0:v>11</ns0:v>
      </ns0:c>
      <ns0:c r="B239" t="inlineStr">
        <ns0:is>
          <ns0:t>4</ns0:t>
        </ns0:is>
      </ns0:c>
      <ns0:c r="C239" t="n">
        <ns0:v>2</ns0:v>
      </ns0:c>
      <ns0:c r="D239" t="n">
        <ns0:v>4</ns0:v>
      </ns0:c>
      <ns0:c r="E239" s="14" t="inlineStr">
        <ns0:is>
          <ns0:t>FETCH</ns0:t>
        </ns0:is>
      </ns0:c>
      <ns0:c r="F239" s="15" t="inlineStr">
        <ns0:is>
          <ns0:t>0x00000038</ns0:t>
        </ns0:is>
      </ns0:c>
      <ns0:c r="G239" s="15" t="inlineStr">
        <ns0:is>
          <ns0:t>0x01C2A383</ns0:t>
        </ns0:is>
      </ns0:c>
      <ns0:c r="H239" s="15" t="inlineStr">
        <ns0:is>
          <ns0:t>lw t2, 28(t0)</ns0:t>
        </ns0:is>
      </ns0:c>
      <ns0:c r="I239" t="inlineStr">
        <ns0:is>
          <ns0:t>lw</ns0:t>
        </ns0:is>
      </ns0:c>
      <ns0:c r="J239" s="16" t="inlineStr">
        <ns0:is>
          <ns0:t>POLL</ns0:t>
        </ns0:is>
      </ns0:c>
      <ns0:c r="K239" s="15" t="n">
        <ns0:v>11002</ns0:v>
      </ns0:c>
      <ns0:c r="L239" t="inlineStr">
        <ns0:is>
          <ns0:t>FETCH|0x00000038|0x01C2A383</ns0:t>
        </ns0:is>
      </ns0:c>
      <ns0:c r="M239" t="inlineStr">
        <ns0:is>
          <ns0:t>lw@0x00000038</ns0:t>
        </ns0:is>
      </ns0:c>
      <ns0:c r="N239">
        <ns0:f>IF(E239="FETCH",IF(COUNTIF($M$6:M239,M239)=1,1,0),0)</ns0:f>
        <ns0:v>0</ns0:v>
      </ns0:c>
      <ns0:c r="O239" t="inlineStr">
        <ns0:is>
          <ns0:t>ROM OK</ns0:t>
        </ns0:is>
      </ns0:c>
      <ns0:c r="P239">
        <ns0:f>IF(AND(E239="FETCH",F239="0x00000048"),C239-1,0)</ns0:f>
        <ns0:v>0</ns0:v>
      </ns0:c>
      <ns0:c r="Q239" s="15" t="inlineStr">
        <ns0:is>
          <ns0:t>E:00000001:00010004:00000038:01c2a383</ns0:t>
        </ns0:is>
      </ns0:c>
    </ns0:row>
    <ns0:row r="240">
      <ns0:c r="A240" t="n">
        <ns0:v>11</ns0:v>
      </ns0:c>
      <ns0:c r="B240" t="inlineStr">
        <ns0:is>
          <ns0:t>4</ns0:t>
        </ns0:is>
      </ns0:c>
      <ns0:c r="C240" t="n">
        <ns0:v>3</ns0:v>
      </ns0:c>
      <ns0:c r="D240" t="n">
        <ns0:v>8</ns0:v>
      </ns0:c>
      <ns0:c r="E240" s="14" t="inlineStr">
        <ns0:is>
          <ns0:t>FETCH</ns0:t>
        </ns0:is>
      </ns0:c>
      <ns0:c r="F240" s="15" t="inlineStr">
        <ns0:is>
          <ns0:t>0x0000003C</ns0:t>
        </ns0:is>
      </ns0:c>
      <ns0:c r="G240" s="15" t="inlineStr">
        <ns0:is>
          <ns0:t>0x0013F393</ns0:t>
        </ns0:is>
      </ns0:c>
      <ns0:c r="H240" s="15" t="inlineStr">
        <ns0:is>
          <ns0:t>andi t2, t2, 1</ns0:t>
        </ns0:is>
      </ns0:c>
      <ns0:c r="I240" t="inlineStr">
        <ns0:is>
          <ns0:t>andi</ns0:t>
        </ns0:is>
      </ns0:c>
      <ns0:c r="J240" s="16" t="inlineStr">
        <ns0:is>
          <ns0:t>POLL</ns0:t>
        </ns0:is>
      </ns0:c>
      <ns0:c r="K240" s="15" t="n">
        <ns0:v>11003</ns0:v>
      </ns0:c>
      <ns0:c r="L240" t="inlineStr">
        <ns0:is>
          <ns0:t>FETCH|0x0000003C|0x0013F393</ns0:t>
        </ns0:is>
      </ns0:c>
      <ns0:c r="M240" t="inlineStr">
        <ns0:is>
          <ns0:t>andi@0x0000003C</ns0:t>
        </ns0:is>
      </ns0:c>
      <ns0:c r="N240">
        <ns0:f>IF(E240="FETCH",IF(COUNTIF($M$6:M240,M240)=1,1,0),0)</ns0:f>
        <ns0:v>0</ns0:v>
      </ns0:c>
      <ns0:c r="O240" t="inlineStr">
        <ns0:is>
          <ns0:t>ROM OK</ns0:t>
        </ns0:is>
      </ns0:c>
      <ns0:c r="P240">
        <ns0:f>IF(AND(E240="FETCH",F240="0x00000048"),C240-1,0)</ns0:f>
        <ns0:v>0</ns0:v>
      </ns0:c>
      <ns0:c r="Q240" s="15" t="inlineStr">
        <ns0:is>
          <ns0:t>E:00000002:00010008:0000003c:0013f393</ns0:t>
        </ns0:is>
      </ns0:c>
    </ns0:row>
    <ns0:row r="241">
      <ns0:c r="A241" t="n">
        <ns0:v>11</ns0:v>
      </ns0:c>
      <ns0:c r="B241" t="inlineStr">
        <ns0:is>
          <ns0:t>4</ns0:t>
        </ns0:is>
      </ns0:c>
      <ns0:c r="C241" t="n">
        <ns0:v>4</ns0:v>
      </ns0:c>
      <ns0:c r="D241" t="n">
        <ns0:v>15</ns0:v>
      </ns0:c>
      <ns0:c r="E241" s="14" t="inlineStr">
        <ns0:is>
          <ns0:t>FETCH</ns0:t>
        </ns0:is>
      </ns0:c>
      <ns0:c r="F241" s="15" t="inlineStr">
        <ns0:is>
          <ns0:t>0x00000040</ns0:t>
        </ns0:is>
      </ns0:c>
      <ns0:c r="G241" s="15" t="inlineStr">
        <ns0:is>
          <ns0:t>0xFE038CE3</ns0:t>
        </ns0:is>
      </ns0:c>
      <ns0:c r="H241" s="15" t="inlineStr">
        <ns0:is>
          <ns0:t>beq t2, zero, 0x00000038</ns0:t>
        </ns0:is>
      </ns0:c>
      <ns0:c r="I241" t="inlineStr">
        <ns0:is>
          <ns0:t>beq</ns0:t>
        </ns0:is>
      </ns0:c>
      <ns0:c r="J241" s="16" t="inlineStr">
        <ns0:is>
          <ns0:t>POLL</ns0:t>
        </ns0:is>
      </ns0:c>
      <ns0:c r="K241" s="15" t="n">
        <ns0:v>11004</ns0:v>
      </ns0:c>
      <ns0:c r="L241" t="inlineStr">
        <ns0:is>
          <ns0:t>FETCH|0x00000040|0xFE038CE3</ns0:t>
        </ns0:is>
      </ns0:c>
      <ns0:c r="M241" t="inlineStr">
        <ns0:is>
          <ns0:t>beq@0x00000040</ns0:t>
        </ns0:is>
      </ns0:c>
      <ns0:c r="N241">
        <ns0:f>IF(E241="FETCH",IF(COUNTIF($M$6:M241,M241)=1,1,0),0)</ns0:f>
        <ns0:v>0</ns0:v>
      </ns0:c>
      <ns0:c r="O241" t="inlineStr">
        <ns0:is>
          <ns0:t>ROM OK</ns0:t>
        </ns0:is>
      </ns0:c>
      <ns0:c r="P241">
        <ns0:f>IF(AND(E241="FETCH",F241="0x00000048"),C241-1,0)</ns0:f>
        <ns0:v>0</ns0:v>
      </ns0:c>
      <ns0:c r="Q241" s="15" t="inlineStr">
        <ns0:is>
          <ns0:t>E:00000003:0001000f:00000040:fe038ce3</ns0:t>
        </ns0:is>
      </ns0:c>
    </ns0:row>
    <ns0:row r="242">
      <ns0:c r="A242" t="n">
        <ns0:v>11</ns0:v>
      </ns0:c>
      <ns0:c r="B242" t="inlineStr">
        <ns0:is>
          <ns0:t>4</ns0:t>
        </ns0:is>
      </ns0:c>
      <ns0:c r="C242" t="n">
        <ns0:v>5</ns0:v>
      </ns0:c>
      <ns0:c r="D242" t="n">
        <ns0:v>19</ns0:v>
      </ns0:c>
      <ns0:c r="E242" s="14" t="inlineStr">
        <ns0:is>
          <ns0:t>FETCH</ns0:t>
        </ns0:is>
      </ns0:c>
      <ns0:c r="F242" s="15" t="inlineStr">
        <ns0:is>
          <ns0:t>0x00000044</ns0:t>
        </ns0:is>
      </ns0:c>
      <ns0:c r="G242" s="15" t="inlineStr">
        <ns0:is>
          <ns0:t>0x0182AE03</ns0:t>
        </ns0:is>
      </ns0:c>
      <ns0:c r="H242" s="15" t="inlineStr">
        <ns0:is>
          <ns0:t>lw t3, 24(t0)</ns0:t>
        </ns0:is>
      </ns0:c>
      <ns0:c r="I242" t="inlineStr">
        <ns0:is>
          <ns0:t>lw</ns0:t>
        </ns0:is>
      </ns0:c>
      <ns0:c r="J242" s="16" t="inlineStr">
        <ns0:is>
          <ns0:t>POLL</ns0:t>
        </ns0:is>
      </ns0:c>
      <ns0:c r="K242" s="15" t="n">
        <ns0:v>11005</ns0:v>
      </ns0:c>
      <ns0:c r="L242" t="inlineStr">
        <ns0:is>
          <ns0:t>FETCH|0x00000044|0x0182AE03</ns0:t>
        </ns0:is>
      </ns0:c>
      <ns0:c r="M242" t="inlineStr">
        <ns0:is>
          <ns0:t>lw@0x00000044</ns0:t>
        </ns0:is>
      </ns0:c>
      <ns0:c r="N242">
        <ns0:f>IF(E242="FETCH",IF(COUNTIF($M$6:M242,M242)=1,1,0),0)</ns0:f>
        <ns0:v>0</ns0:v>
      </ns0:c>
      <ns0:c r="O242" t="inlineStr">
        <ns0:is>
          <ns0:t>ROM OK</ns0:t>
        </ns0:is>
      </ns0:c>
      <ns0:c r="P242">
        <ns0:f>IF(AND(E242="FETCH",F242="0x00000048"),C242-1,0)</ns0:f>
        <ns0:v>0</ns0:v>
      </ns0:c>
      <ns0:c r="Q242" s="15" t="inlineStr">
        <ns0:is>
          <ns0:t>E:00000004:00010013:00000044:0182ae03</ns0:t>
        </ns0:is>
      </ns0:c>
    </ns0:row>
    <ns0:row r="243">
      <ns0:c r="A243" t="n">
        <ns0:v>11</ns0:v>
      </ns0:c>
      <ns0:c r="B243" t="inlineStr">
        <ns0:is>
          <ns0:t>4</ns0:t>
        </ns0:is>
      </ns0:c>
      <ns0:c r="C243" t="n">
        <ns0:v>6</ns0:v>
      </ns0:c>
      <ns0:c r="D243" t="n">
        <ns0:v>23</ns0:v>
      </ns0:c>
      <ns0:c r="E243" s="14" t="inlineStr">
        <ns0:is>
          <ns0:t>FETCH</ns0:t>
        </ns0:is>
      </ns0:c>
      <ns0:c r="F243" s="15" t="inlineStr">
        <ns0:is>
          <ns0:t>0x00000048</ns0:t>
        </ns0:is>
      </ns0:c>
      <ns0:c r="G243" s="15" t="inlineStr">
        <ns0:is>
          <ns0:t>0x05400413</ns0:t>
        </ns0:is>
      </ns0:c>
      <ns0:c r="H243" s="15" t="inlineStr">
        <ns0:is>
          <ns0:t>addi s0, zero, 84</ns0:t>
        </ns0:is>
      </ns0:c>
      <ns0:c r="I243" t="inlineStr">
        <ns0:is>
          <ns0:t>addi</ns0:t>
        </ns0:is>
      </ns0:c>
      <ns0:c r="J243" t="inlineStr">
        <ns0:is>
          <ns0:t>CORE</ns0:t>
        </ns0:is>
      </ns0:c>
      <ns0:c r="K243" s="15" t="n">
        <ns0:v>11006</ns0:v>
      </ns0:c>
      <ns0:c r="L243" t="inlineStr">
        <ns0:is>
          <ns0:t>FETCH|0x00000048|0x05400413</ns0:t>
        </ns0:is>
      </ns0:c>
      <ns0:c r="M243" t="inlineStr">
        <ns0:is>
          <ns0:t>addi@0x00000048</ns0:t>
        </ns0:is>
      </ns0:c>
      <ns0:c r="N243">
        <ns0:f>IF(E243="FETCH",IF(COUNTIF($M$6:M243,M243)=1,1,0),0)</ns0:f>
        <ns0:v>0</ns0:v>
      </ns0:c>
      <ns0:c r="O243" t="inlineStr">
        <ns0:is>
          <ns0:t>ROM OK</ns0:t>
        </ns0:is>
      </ns0:c>
      <ns0:c r="P243">
        <ns0:f>IF(AND(E243="FETCH",F243="0x00000048"),C243-1,0)</ns0:f>
        <ns0:v>5</ns0:v>
      </ns0:c>
      <ns0:c r="Q243" s="15" t="inlineStr">
        <ns0:is>
          <ns0:t>E:00000005:00010017:00000048:05400413</ns0:t>
        </ns0:is>
      </ns0:c>
    </ns0:row>
    <ns0:row r="244">
      <ns0:c r="A244" t="n">
        <ns0:v>11</ns0:v>
      </ns0:c>
      <ns0:c r="B244" t="inlineStr">
        <ns0:is>
          <ns0:t>4</ns0:t>
        </ns0:is>
      </ns0:c>
      <ns0:c r="C244" t="n">
        <ns0:v>7</ns0:v>
      </ns0:c>
      <ns0:c r="D244" t="n">
        <ns0:v>30</ns0:v>
      </ns0:c>
      <ns0:c r="E244" s="14" t="inlineStr">
        <ns0:is>
          <ns0:t>FETCH</ns0:t>
        </ns0:is>
      </ns0:c>
      <ns0:c r="F244" s="15" t="inlineStr">
        <ns0:is>
          <ns0:t>0x0000004C</ns0:t>
        </ns0:is>
      </ns0:c>
      <ns0:c r="G244" s="15" t="inlineStr">
        <ns0:is>
          <ns0:t>0x1A8E0063</ns0:t>
        </ns0:is>
      </ns0:c>
      <ns0:c r="H244" s="15" t="inlineStr">
        <ns0:is>
          <ns0:t>beq t3, s0, 0x000001EC</ns0:t>
        </ns0:is>
      </ns0:c>
      <ns0:c r="I244" t="inlineStr">
        <ns0:is>
          <ns0:t>beq</ns0:t>
        </ns0:is>
      </ns0:c>
      <ns0:c r="J244" t="inlineStr">
        <ns0:is>
          <ns0:t>CORE</ns0:t>
        </ns0:is>
      </ns0:c>
      <ns0:c r="K244" s="15" t="n">
        <ns0:v>11007</ns0:v>
      </ns0:c>
      <ns0:c r="L244" t="inlineStr">
        <ns0:is>
          <ns0:t>FETCH|0x0000004C|0x1A8E0063</ns0:t>
        </ns0:is>
      </ns0:c>
      <ns0:c r="M244" t="inlineStr">
        <ns0:is>
          <ns0:t>beq@0x0000004C</ns0:t>
        </ns0:is>
      </ns0:c>
      <ns0:c r="N244">
        <ns0:f>IF(E244="FETCH",IF(COUNTIF($M$6:M244,M244)=1,1,0),0)</ns0:f>
        <ns0:v>0</ns0:v>
      </ns0:c>
      <ns0:c r="O244" t="inlineStr">
        <ns0:is>
          <ns0:t>ROM OK</ns0:t>
        </ns0:is>
      </ns0:c>
      <ns0:c r="P244">
        <ns0:f>IF(AND(E244="FETCH",F244="0x00000048"),C244-1,0)</ns0:f>
        <ns0:v>0</ns0:v>
      </ns0:c>
      <ns0:c r="Q244" s="15" t="inlineStr">
        <ns0:is>
          <ns0:t>E:00000006:0001001e:0000004c:1a8e0063</ns0:t>
        </ns0:is>
      </ns0:c>
    </ns0:row>
    <ns0:row r="245">
      <ns0:c r="A245" t="n">
        <ns0:v>11</ns0:v>
      </ns0:c>
      <ns0:c r="B245" t="inlineStr">
        <ns0:is>
          <ns0:t>4</ns0:t>
        </ns0:is>
      </ns0:c>
      <ns0:c r="C245" t="n">
        <ns0:v>8</ns0:v>
      </ns0:c>
      <ns0:c r="D245" t="n">
        <ns0:v>34</ns0:v>
      </ns0:c>
      <ns0:c r="E245" s="14" t="inlineStr">
        <ns0:is>
          <ns0:t>FETCH</ns0:t>
        </ns0:is>
      </ns0:c>
      <ns0:c r="F245" s="15" t="inlineStr">
        <ns0:is>
          <ns0:t>0x00000050</ns0:t>
        </ns0:is>
      </ns0:c>
      <ns0:c r="G245" s="15" t="inlineStr">
        <ns0:is>
          <ns0:t>0x04300413</ns0:t>
        </ns0:is>
      </ns0:c>
      <ns0:c r="H245" s="15" t="inlineStr">
        <ns0:is>
          <ns0:t>addi s0, zero, 67</ns0:t>
        </ns0:is>
      </ns0:c>
      <ns0:c r="I245" t="inlineStr">
        <ns0:is>
          <ns0:t>addi</ns0:t>
        </ns0:is>
      </ns0:c>
      <ns0:c r="J245" t="inlineStr">
        <ns0:is>
          <ns0:t>CORE</ns0:t>
        </ns0:is>
      </ns0:c>
      <ns0:c r="K245" s="15" t="n">
        <ns0:v>11008</ns0:v>
      </ns0:c>
      <ns0:c r="L245" t="inlineStr">
        <ns0:is>
          <ns0:t>FETCH|0x00000050|0x04300413</ns0:t>
        </ns0:is>
      </ns0:c>
      <ns0:c r="M245" t="inlineStr">
        <ns0:is>
          <ns0:t>addi@0x00000050</ns0:t>
        </ns0:is>
      </ns0:c>
      <ns0:c r="N245">
        <ns0:f>IF(E245="FETCH",IF(COUNTIF($M$6:M245,M245)=1,1,0),0)</ns0:f>
        <ns0:v>0</ns0:v>
      </ns0:c>
      <ns0:c r="O245" t="inlineStr">
        <ns0:is>
          <ns0:t>ROM OK</ns0:t>
        </ns0:is>
      </ns0:c>
      <ns0:c r="P245">
        <ns0:f>IF(AND(E245="FETCH",F245="0x00000048"),C245-1,0)</ns0:f>
        <ns0:v>0</ns0:v>
      </ns0:c>
      <ns0:c r="Q245" s="15" t="inlineStr">
        <ns0:is>
          <ns0:t>E:00000007:00010022:00000050:04300413</ns0:t>
        </ns0:is>
      </ns0:c>
    </ns0:row>
    <ns0:row r="246">
      <ns0:c r="A246" t="n">
        <ns0:v>11</ns0:v>
      </ns0:c>
      <ns0:c r="B246" t="inlineStr">
        <ns0:is>
          <ns0:t>4</ns0:t>
        </ns0:is>
      </ns0:c>
      <ns0:c r="C246" t="n">
        <ns0:v>9</ns0:v>
      </ns0:c>
      <ns0:c r="D246" t="n">
        <ns0:v>38</ns0:v>
      </ns0:c>
      <ns0:c r="E246" s="14" t="inlineStr">
        <ns0:is>
          <ns0:t>FETCH</ns0:t>
        </ns0:is>
      </ns0:c>
      <ns0:c r="F246" s="15" t="inlineStr">
        <ns0:is>
          <ns0:t>0x00000054</ns0:t>
        </ns0:is>
      </ns0:c>
      <ns0:c r="G246" s="15" t="inlineStr">
        <ns0:is>
          <ns0:t>0x188E0063</ns0:t>
        </ns0:is>
      </ns0:c>
      <ns0:c r="H246" s="15" t="inlineStr">
        <ns0:is>
          <ns0:t>beq t3, s0, 0x000001D4</ns0:t>
        </ns0:is>
      </ns0:c>
      <ns0:c r="I246" t="inlineStr">
        <ns0:is>
          <ns0:t>beq</ns0:t>
        </ns0:is>
      </ns0:c>
      <ns0:c r="J246" t="inlineStr">
        <ns0:is>
          <ns0:t>CORE</ns0:t>
        </ns0:is>
      </ns0:c>
      <ns0:c r="K246" s="15" t="n">
        <ns0:v>11009</ns0:v>
      </ns0:c>
      <ns0:c r="L246" t="inlineStr">
        <ns0:is>
          <ns0:t>FETCH|0x00000054|0x188E0063</ns0:t>
        </ns0:is>
      </ns0:c>
      <ns0:c r="M246" t="inlineStr">
        <ns0:is>
          <ns0:t>beq@0x00000054</ns0:t>
        </ns0:is>
      </ns0:c>
      <ns0:c r="N246">
        <ns0:f>IF(E246="FETCH",IF(COUNTIF($M$6:M246,M246)=1,1,0),0)</ns0:f>
        <ns0:v>0</ns0:v>
      </ns0:c>
      <ns0:c r="O246" t="inlineStr">
        <ns0:is>
          <ns0:t>ROM OK</ns0:t>
        </ns0:is>
      </ns0:c>
      <ns0:c r="P246">
        <ns0:f>IF(AND(E246="FETCH",F246="0x00000048"),C246-1,0)</ns0:f>
        <ns0:v>0</ns0:v>
      </ns0:c>
      <ns0:c r="Q246" s="15" t="inlineStr">
        <ns0:is>
          <ns0:t>E:00000008:00010026:00000054:188e0063</ns0:t>
        </ns0:is>
      </ns0:c>
    </ns0:row>
    <ns0:row r="247">
      <ns0:c r="A247" t="n">
        <ns0:v>11</ns0:v>
      </ns0:c>
      <ns0:c r="B247" t="inlineStr">
        <ns0:is>
          <ns0:t>4</ns0:t>
        </ns0:is>
      </ns0:c>
      <ns0:c r="C247" t="n">
        <ns0:v>10</ns0:v>
      </ns0:c>
      <ns0:c r="D247" t="n">
        <ns0:v>42</ns0:v>
      </ns0:c>
      <ns0:c r="E247" s="14" t="inlineStr">
        <ns0:is>
          <ns0:t>FETCH</ns0:t>
        </ns0:is>
      </ns0:c>
      <ns0:c r="F247" s="15" t="inlineStr">
        <ns0:is>
          <ns0:t>0x00000058</ns0:t>
        </ns0:is>
      </ns0:c>
      <ns0:c r="G247" s="15" t="inlineStr">
        <ns0:is>
          <ns0:t>0x03F00413</ns0:t>
        </ns0:is>
      </ns0:c>
      <ns0:c r="H247" s="15" t="inlineStr">
        <ns0:is>
          <ns0:t>addi s0, zero, 63</ns0:t>
        </ns0:is>
      </ns0:c>
      <ns0:c r="I247" t="inlineStr">
        <ns0:is>
          <ns0:t>addi</ns0:t>
        </ns0:is>
      </ns0:c>
      <ns0:c r="J247" t="inlineStr">
        <ns0:is>
          <ns0:t>CORE</ns0:t>
        </ns0:is>
      </ns0:c>
      <ns0:c r="K247" s="15" t="n">
        <ns0:v>11010</ns0:v>
      </ns0:c>
      <ns0:c r="L247" t="inlineStr">
        <ns0:is>
          <ns0:t>FETCH|0x00000058|0x03F00413</ns0:t>
        </ns0:is>
      </ns0:c>
      <ns0:c r="M247" t="inlineStr">
        <ns0:is>
          <ns0:t>addi@0x00000058</ns0:t>
        </ns0:is>
      </ns0:c>
      <ns0:c r="N247">
        <ns0:f>IF(E247="FETCH",IF(COUNTIF($M$6:M247,M247)=1,1,0),0)</ns0:f>
        <ns0:v>0</ns0:v>
      </ns0:c>
      <ns0:c r="O247" t="inlineStr">
        <ns0:is>
          <ns0:t>ROM OK</ns0:t>
        </ns0:is>
      </ns0:c>
      <ns0:c r="P247">
        <ns0:f>IF(AND(E247="FETCH",F247="0x00000048"),C247-1,0)</ns0:f>
        <ns0:v>0</ns0:v>
      </ns0:c>
      <ns0:c r="Q247" s="15" t="inlineStr">
        <ns0:is>
          <ns0:t>E:00000009:0001002a:00000058:03f00413</ns0:t>
        </ns0:is>
      </ns0:c>
    </ns0:row>
    <ns0:row r="248">
      <ns0:c r="A248" t="n">
        <ns0:v>11</ns0:v>
      </ns0:c>
      <ns0:c r="B248" t="inlineStr">
        <ns0:is>
          <ns0:t>4</ns0:t>
        </ns0:is>
      </ns0:c>
      <ns0:c r="C248" t="n">
        <ns0:v>11</ns0:v>
      </ns0:c>
      <ns0:c r="D248" t="n">
        <ns0:v>46</ns0:v>
      </ns0:c>
      <ns0:c r="E248" s="14" t="inlineStr">
        <ns0:is>
          <ns0:t>FETCH</ns0:t>
        </ns0:is>
      </ns0:c>
      <ns0:c r="F248" s="15" t="inlineStr">
        <ns0:is>
          <ns0:t>0x0000005C</ns0:t>
        </ns0:is>
      </ns0:c>
      <ns0:c r="G248" s="15" t="inlineStr">
        <ns0:is>
          <ns0:t>0x0A8E0A63</ns0:t>
        </ns0:is>
      </ns0:c>
      <ns0:c r="H248" s="15" t="inlineStr">
        <ns0:is>
          <ns0:t>beq t3, s0, 0x00000110</ns0:t>
        </ns0:is>
      </ns0:c>
      <ns0:c r="I248" t="inlineStr">
        <ns0:is>
          <ns0:t>beq</ns0:t>
        </ns0:is>
      </ns0:c>
      <ns0:c r="J248" t="inlineStr">
        <ns0:is>
          <ns0:t>CORE</ns0:t>
        </ns0:is>
      </ns0:c>
      <ns0:c r="K248" s="15" t="n">
        <ns0:v>11011</ns0:v>
      </ns0:c>
      <ns0:c r="L248" t="inlineStr">
        <ns0:is>
          <ns0:t>FETCH|0x0000005C|0x0A8E0A63</ns0:t>
        </ns0:is>
      </ns0:c>
      <ns0:c r="M248" t="inlineStr">
        <ns0:is>
          <ns0:t>beq@0x0000005C</ns0:t>
        </ns0:is>
      </ns0:c>
      <ns0:c r="N248">
        <ns0:f>IF(E248="FETCH",IF(COUNTIF($M$6:M248,M248)=1,1,0),0)</ns0:f>
        <ns0:v>0</ns0:v>
      </ns0:c>
      <ns0:c r="O248" t="inlineStr">
        <ns0:is>
          <ns0:t>ROM OK</ns0:t>
        </ns0:is>
      </ns0:c>
      <ns0:c r="P248">
        <ns0:f>IF(AND(E248="FETCH",F248="0x00000048"),C248-1,0)</ns0:f>
        <ns0:v>0</ns0:v>
      </ns0:c>
      <ns0:c r="Q248" s="15" t="inlineStr">
        <ns0:is>
          <ns0:t>E:0000000a:0001002e:0000005c:0a8e0a63</ns0:t>
        </ns0:is>
      </ns0:c>
    </ns0:row>
    <ns0:row r="249">
      <ns0:c r="A249" t="n">
        <ns0:v>11</ns0:v>
      </ns0:c>
      <ns0:c r="B249" t="inlineStr">
        <ns0:is>
          <ns0:t>4</ns0:t>
        </ns0:is>
      </ns0:c>
      <ns0:c r="C249" t="n">
        <ns0:v>12</ns0:v>
      </ns0:c>
      <ns0:c r="D249" t="n">
        <ns0:v>50</ns0:v>
      </ns0:c>
      <ns0:c r="E249" s="14" t="inlineStr">
        <ns0:is>
          <ns0:t>FETCH</ns0:t>
        </ns0:is>
      </ns0:c>
      <ns0:c r="F249" s="15" t="inlineStr">
        <ns0:is>
          <ns0:t>0x00000060</ns0:t>
        </ns0:is>
      </ns0:c>
      <ns0:c r="G249" s="15" t="inlineStr">
        <ns0:is>
          <ns0:t>0x03000413</ns0:t>
        </ns0:is>
      </ns0:c>
      <ns0:c r="H249" s="15" t="inlineStr">
        <ns0:is>
          <ns0:t>addi s0, zero, 48</ns0:t>
        </ns0:is>
      </ns0:c>
      <ns0:c r="I249" t="inlineStr">
        <ns0:is>
          <ns0:t>addi</ns0:t>
        </ns0:is>
      </ns0:c>
      <ns0:c r="J249" t="inlineStr">
        <ns0:is>
          <ns0:t>CORE</ns0:t>
        </ns0:is>
      </ns0:c>
      <ns0:c r="K249" s="15" t="n">
        <ns0:v>11012</ns0:v>
      </ns0:c>
      <ns0:c r="L249" t="inlineStr">
        <ns0:is>
          <ns0:t>FETCH|0x00000060|0x03000413</ns0:t>
        </ns0:is>
      </ns0:c>
      <ns0:c r="M249" t="inlineStr">
        <ns0:is>
          <ns0:t>addi@0x00000060</ns0:t>
        </ns0:is>
      </ns0:c>
      <ns0:c r="N249">
        <ns0:f>IF(E249="FETCH",IF(COUNTIF($M$6:M249,M249)=1,1,0),0)</ns0:f>
        <ns0:v>0</ns0:v>
      </ns0:c>
      <ns0:c r="O249" t="inlineStr">
        <ns0:is>
          <ns0:t>ROM OK</ns0:t>
        </ns0:is>
      </ns0:c>
      <ns0:c r="P249">
        <ns0:f>IF(AND(E249="FETCH",F249="0x00000048"),C249-1,0)</ns0:f>
        <ns0:v>0</ns0:v>
      </ns0:c>
      <ns0:c r="Q249" s="15" t="inlineStr">
        <ns0:is>
          <ns0:t>E:0000000b:00010032:00000060:03000413</ns0:t>
        </ns0:is>
      </ns0:c>
    </ns0:row>
    <ns0:row r="250">
      <ns0:c r="A250" t="n">
        <ns0:v>11</ns0:v>
      </ns0:c>
      <ns0:c r="B250" t="inlineStr">
        <ns0:is>
          <ns0:t>4</ns0:t>
        </ns0:is>
      </ns0:c>
      <ns0:c r="C250" t="n">
        <ns0:v>13</ns0:v>
      </ns0:c>
      <ns0:c r="D250" t="n">
        <ns0:v>54</ns0:v>
      </ns0:c>
      <ns0:c r="E250" s="14" t="inlineStr">
        <ns0:is>
          <ns0:t>FETCH</ns0:t>
        </ns0:is>
      </ns0:c>
      <ns0:c r="F250" s="15" t="inlineStr">
        <ns0:is>
          <ns0:t>0x00000064</ns0:t>
        </ns0:is>
      </ns0:c>
      <ns0:c r="G250" s="15" t="inlineStr">
        <ns0:is>
          <ns0:t>0x048E0463</ns0:t>
        </ns0:is>
      </ns0:c>
      <ns0:c r="H250" s="15" t="inlineStr">
        <ns0:is>
          <ns0:t>beq t3, s0, 0x000000AC</ns0:t>
        </ns0:is>
      </ns0:c>
      <ns0:c r="I250" t="inlineStr">
        <ns0:is>
          <ns0:t>beq</ns0:t>
        </ns0:is>
      </ns0:c>
      <ns0:c r="J250" t="inlineStr">
        <ns0:is>
          <ns0:t>CORE</ns0:t>
        </ns0:is>
      </ns0:c>
      <ns0:c r="K250" s="15" t="n">
        <ns0:v>11013</ns0:v>
      </ns0:c>
      <ns0:c r="L250" t="inlineStr">
        <ns0:is>
          <ns0:t>FETCH|0x00000064|0x048E0463</ns0:t>
        </ns0:is>
      </ns0:c>
      <ns0:c r="M250" t="inlineStr">
        <ns0:is>
          <ns0:t>beq@0x00000064</ns0:t>
        </ns0:is>
      </ns0:c>
      <ns0:c r="N250">
        <ns0:f>IF(E250="FETCH",IF(COUNTIF($M$6:M250,M250)=1,1,0),0)</ns0:f>
        <ns0:v>0</ns0:v>
      </ns0:c>
      <ns0:c r="O250" t="inlineStr">
        <ns0:is>
          <ns0:t>ROM OK</ns0:t>
        </ns0:is>
      </ns0:c>
      <ns0:c r="P250">
        <ns0:f>IF(AND(E250="FETCH",F250="0x00000048"),C250-1,0)</ns0:f>
        <ns0:v>0</ns0:v>
      </ns0:c>
      <ns0:c r="Q250" s="15" t="inlineStr">
        <ns0:is>
          <ns0:t>E:0000000c:00010036:00000064:048e0463</ns0:t>
        </ns0:is>
      </ns0:c>
    </ns0:row>
    <ns0:row r="251">
      <ns0:c r="A251" t="n">
        <ns0:v>11</ns0:v>
      </ns0:c>
      <ns0:c r="B251" t="inlineStr">
        <ns0:is>
          <ns0:t>4</ns0:t>
        </ns0:is>
      </ns0:c>
      <ns0:c r="C251" t="n">
        <ns0:v>14</ns0:v>
      </ns0:c>
      <ns0:c r="D251" t="n">
        <ns0:v>58</ns0:v>
      </ns0:c>
      <ns0:c r="E251" s="14" t="inlineStr">
        <ns0:is>
          <ns0:t>FETCH</ns0:t>
        </ns0:is>
      </ns0:c>
      <ns0:c r="F251" s="15" t="inlineStr">
        <ns0:is>
          <ns0:t>0x00000068</ns0:t>
        </ns0:is>
      </ns0:c>
      <ns0:c r="G251" s="15" t="inlineStr">
        <ns0:is>
          <ns0:t>0x03100413</ns0:t>
        </ns0:is>
      </ns0:c>
      <ns0:c r="H251" s="15" t="inlineStr">
        <ns0:is>
          <ns0:t>addi s0, zero, 49</ns0:t>
        </ns0:is>
      </ns0:c>
      <ns0:c r="I251" t="inlineStr">
        <ns0:is>
          <ns0:t>addi</ns0:t>
        </ns0:is>
      </ns0:c>
      <ns0:c r="J251" t="inlineStr">
        <ns0:is>
          <ns0:t>CORE</ns0:t>
        </ns0:is>
      </ns0:c>
      <ns0:c r="K251" s="15" t="n">
        <ns0:v>11014</ns0:v>
      </ns0:c>
      <ns0:c r="L251" t="inlineStr">
        <ns0:is>
          <ns0:t>FETCH|0x00000068|0x03100413</ns0:t>
        </ns0:is>
      </ns0:c>
      <ns0:c r="M251" t="inlineStr">
        <ns0:is>
          <ns0:t>addi@0x00000068</ns0:t>
        </ns0:is>
      </ns0:c>
      <ns0:c r="N251">
        <ns0:f>IF(E251="FETCH",IF(COUNTIF($M$6:M251,M251)=1,1,0),0)</ns0:f>
        <ns0:v>0</ns0:v>
      </ns0:c>
      <ns0:c r="O251" t="inlineStr">
        <ns0:is>
          <ns0:t>ROM OK</ns0:t>
        </ns0:is>
      </ns0:c>
      <ns0:c r="P251">
        <ns0:f>IF(AND(E251="FETCH",F251="0x00000048"),C251-1,0)</ns0:f>
        <ns0:v>0</ns0:v>
      </ns0:c>
      <ns0:c r="Q251" s="15" t="inlineStr">
        <ns0:is>
          <ns0:t>E:0000000d:0001003a:00000068:03100413</ns0:t>
        </ns0:is>
      </ns0:c>
    </ns0:row>
    <ns0:row r="252">
      <ns0:c r="A252" t="n">
        <ns0:v>11</ns0:v>
      </ns0:c>
      <ns0:c r="B252" t="inlineStr">
        <ns0:is>
          <ns0:t>4</ns0:t>
        </ns0:is>
      </ns0:c>
      <ns0:c r="C252" t="n">
        <ns0:v>15</ns0:v>
      </ns0:c>
      <ns0:c r="D252" t="n">
        <ns0:v>62</ns0:v>
      </ns0:c>
      <ns0:c r="E252" s="14" t="inlineStr">
        <ns0:is>
          <ns0:t>FETCH</ns0:t>
        </ns0:is>
      </ns0:c>
      <ns0:c r="F252" s="15" t="inlineStr">
        <ns0:is>
          <ns0:t>0x0000006C</ns0:t>
        </ns0:is>
      </ns0:c>
      <ns0:c r="G252" s="15" t="inlineStr">
        <ns0:is>
          <ns0:t>0x048E0663</ns0:t>
        </ns0:is>
      </ns0:c>
      <ns0:c r="H252" s="15" t="inlineStr">
        <ns0:is>
          <ns0:t>beq t3, s0, 0x000000B8</ns0:t>
        </ns0:is>
      </ns0:c>
      <ns0:c r="I252" t="inlineStr">
        <ns0:is>
          <ns0:t>beq</ns0:t>
        </ns0:is>
      </ns0:c>
      <ns0:c r="J252" t="inlineStr">
        <ns0:is>
          <ns0:t>CORE</ns0:t>
        </ns0:is>
      </ns0:c>
      <ns0:c r="K252" s="15" t="n">
        <ns0:v>11015</ns0:v>
      </ns0:c>
      <ns0:c r="L252" t="inlineStr">
        <ns0:is>
          <ns0:t>FETCH|0x0000006C|0x048E0663</ns0:t>
        </ns0:is>
      </ns0:c>
      <ns0:c r="M252" t="inlineStr">
        <ns0:is>
          <ns0:t>beq@0x0000006C</ns0:t>
        </ns0:is>
      </ns0:c>
      <ns0:c r="N252">
        <ns0:f>IF(E252="FETCH",IF(COUNTIF($M$6:M252,M252)=1,1,0),0)</ns0:f>
        <ns0:v>0</ns0:v>
      </ns0:c>
      <ns0:c r="O252" t="inlineStr">
        <ns0:is>
          <ns0:t>ROM OK</ns0:t>
        </ns0:is>
      </ns0:c>
      <ns0:c r="P252">
        <ns0:f>IF(AND(E252="FETCH",F252="0x00000048"),C252-1,0)</ns0:f>
        <ns0:v>0</ns0:v>
      </ns0:c>
      <ns0:c r="Q252" s="15" t="inlineStr">
        <ns0:is>
          <ns0:t>E:0000000e:0001003e:0000006c:048e0663</ns0:t>
        </ns0:is>
      </ns0:c>
    </ns0:row>
    <ns0:row r="253">
      <ns0:c r="A253" t="n">
        <ns0:v>11</ns0:v>
      </ns0:c>
      <ns0:c r="B253" t="inlineStr">
        <ns0:is>
          <ns0:t>4</ns0:t>
        </ns0:is>
      </ns0:c>
      <ns0:c r="C253" t="n">
        <ns0:v>16</ns0:v>
      </ns0:c>
      <ns0:c r="D253" t="n">
        <ns0:v>66</ns0:v>
      </ns0:c>
      <ns0:c r="E253" s="14" t="inlineStr">
        <ns0:is>
          <ns0:t>FETCH</ns0:t>
        </ns0:is>
      </ns0:c>
      <ns0:c r="F253" s="15" t="inlineStr">
        <ns0:is>
          <ns0:t>0x00000070</ns0:t>
        </ns0:is>
      </ns0:c>
      <ns0:c r="G253" s="15" t="inlineStr">
        <ns0:is>
          <ns0:t>0x03200413</ns0:t>
        </ns0:is>
      </ns0:c>
      <ns0:c r="H253" s="15" t="inlineStr">
        <ns0:is>
          <ns0:t>addi s0, zero, 50</ns0:t>
        </ns0:is>
      </ns0:c>
      <ns0:c r="I253" t="inlineStr">
        <ns0:is>
          <ns0:t>addi</ns0:t>
        </ns0:is>
      </ns0:c>
      <ns0:c r="J253" t="inlineStr">
        <ns0:is>
          <ns0:t>CORE</ns0:t>
        </ns0:is>
      </ns0:c>
      <ns0:c r="K253" s="15" t="n">
        <ns0:v>11016</ns0:v>
      </ns0:c>
      <ns0:c r="L253" t="inlineStr">
        <ns0:is>
          <ns0:t>FETCH|0x00000070|0x03200413</ns0:t>
        </ns0:is>
      </ns0:c>
      <ns0:c r="M253" t="inlineStr">
        <ns0:is>
          <ns0:t>addi@0x00000070</ns0:t>
        </ns0:is>
      </ns0:c>
      <ns0:c r="N253">
        <ns0:f>IF(E253="FETCH",IF(COUNTIF($M$6:M253,M253)=1,1,0),0)</ns0:f>
        <ns0:v>0</ns0:v>
      </ns0:c>
      <ns0:c r="O253" t="inlineStr">
        <ns0:is>
          <ns0:t>ROM OK</ns0:t>
        </ns0:is>
      </ns0:c>
      <ns0:c r="P253">
        <ns0:f>IF(AND(E253="FETCH",F253="0x00000048"),C253-1,0)</ns0:f>
        <ns0:v>0</ns0:v>
      </ns0:c>
      <ns0:c r="Q253" s="15" t="inlineStr">
        <ns0:is>
          <ns0:t>E:0000000f:00010042:00000070:03200413</ns0:t>
        </ns0:is>
      </ns0:c>
    </ns0:row>
    <ns0:row r="254">
      <ns0:c r="A254" t="n">
        <ns0:v>11</ns0:v>
      </ns0:c>
      <ns0:c r="B254" t="inlineStr">
        <ns0:is>
          <ns0:t>4</ns0:t>
        </ns0:is>
      </ns0:c>
      <ns0:c r="C254" t="n">
        <ns0:v>17</ns0:v>
      </ns0:c>
      <ns0:c r="D254" t="n">
        <ns0:v>70</ns0:v>
      </ns0:c>
      <ns0:c r="E254" s="14" t="inlineStr">
        <ns0:is>
          <ns0:t>FETCH</ns0:t>
        </ns0:is>
      </ns0:c>
      <ns0:c r="F254" s="15" t="inlineStr">
        <ns0:is>
          <ns0:t>0x00000074</ns0:t>
        </ns0:is>
      </ns0:c>
      <ns0:c r="G254" s="15" t="inlineStr">
        <ns0:is>
          <ns0:t>0x048E0863</ns0:t>
        </ns0:is>
      </ns0:c>
      <ns0:c r="H254" s="15" t="inlineStr">
        <ns0:is>
          <ns0:t>beq t3, s0, 0x000000C4</ns0:t>
        </ns0:is>
      </ns0:c>
      <ns0:c r="I254" t="inlineStr">
        <ns0:is>
          <ns0:t>beq</ns0:t>
        </ns0:is>
      </ns0:c>
      <ns0:c r="J254" t="inlineStr">
        <ns0:is>
          <ns0:t>CORE</ns0:t>
        </ns0:is>
      </ns0:c>
      <ns0:c r="K254" s="15" t="n">
        <ns0:v>11017</ns0:v>
      </ns0:c>
      <ns0:c r="L254" t="inlineStr">
        <ns0:is>
          <ns0:t>FETCH|0x00000074|0x048E0863</ns0:t>
        </ns0:is>
      </ns0:c>
      <ns0:c r="M254" t="inlineStr">
        <ns0:is>
          <ns0:t>beq@0x00000074</ns0:t>
        </ns0:is>
      </ns0:c>
      <ns0:c r="N254">
        <ns0:f>IF(E254="FETCH",IF(COUNTIF($M$6:M254,M254)=1,1,0),0)</ns0:f>
        <ns0:v>0</ns0:v>
      </ns0:c>
      <ns0:c r="O254" t="inlineStr">
        <ns0:is>
          <ns0:t>ROM OK</ns0:t>
        </ns0:is>
      </ns0:c>
      <ns0:c r="P254">
        <ns0:f>IF(AND(E254="FETCH",F254="0x00000048"),C254-1,0)</ns0:f>
        <ns0:v>0</ns0:v>
      </ns0:c>
      <ns0:c r="Q254" s="15" t="inlineStr">
        <ns0:is>
          <ns0:t>E:00000010:00010046:00000074:048e0863</ns0:t>
        </ns0:is>
      </ns0:c>
    </ns0:row>
    <ns0:row r="255">
      <ns0:c r="A255" t="n">
        <ns0:v>11</ns0:v>
      </ns0:c>
      <ns0:c r="B255" t="inlineStr">
        <ns0:is>
          <ns0:t>4</ns0:t>
        </ns0:is>
      </ns0:c>
      <ns0:c r="C255" t="n">
        <ns0:v>18</ns0:v>
      </ns0:c>
      <ns0:c r="D255" t="n">
        <ns0:v>74</ns0:v>
      </ns0:c>
      <ns0:c r="E255" s="14" t="inlineStr">
        <ns0:is>
          <ns0:t>FETCH</ns0:t>
        </ns0:is>
      </ns0:c>
      <ns0:c r="F255" s="15" t="inlineStr">
        <ns0:is>
          <ns0:t>0x00000078</ns0:t>
        </ns0:is>
      </ns0:c>
      <ns0:c r="G255" s="15" t="inlineStr">
        <ns0:is>
          <ns0:t>0x03300413</ns0:t>
        </ns0:is>
      </ns0:c>
      <ns0:c r="H255" s="15" t="inlineStr">
        <ns0:is>
          <ns0:t>addi s0, zero, 51</ns0:t>
        </ns0:is>
      </ns0:c>
      <ns0:c r="I255" t="inlineStr">
        <ns0:is>
          <ns0:t>addi</ns0:t>
        </ns0:is>
      </ns0:c>
      <ns0:c r="J255" t="inlineStr">
        <ns0:is>
          <ns0:t>CORE</ns0:t>
        </ns0:is>
      </ns0:c>
      <ns0:c r="K255" s="15" t="n">
        <ns0:v>11018</ns0:v>
      </ns0:c>
      <ns0:c r="L255" t="inlineStr">
        <ns0:is>
          <ns0:t>FETCH|0x00000078|0x03300413</ns0:t>
        </ns0:is>
      </ns0:c>
      <ns0:c r="M255" t="inlineStr">
        <ns0:is>
          <ns0:t>addi@0x00000078</ns0:t>
        </ns0:is>
      </ns0:c>
      <ns0:c r="N255">
        <ns0:f>IF(E255="FETCH",IF(COUNTIF($M$6:M255,M255)=1,1,0),0)</ns0:f>
        <ns0:v>0</ns0:v>
      </ns0:c>
      <ns0:c r="O255" t="inlineStr">
        <ns0:is>
          <ns0:t>ROM OK</ns0:t>
        </ns0:is>
      </ns0:c>
      <ns0:c r="P255">
        <ns0:f>IF(AND(E255="FETCH",F255="0x00000048"),C255-1,0)</ns0:f>
        <ns0:v>0</ns0:v>
      </ns0:c>
      <ns0:c r="Q255" s="15" t="inlineStr">
        <ns0:is>
          <ns0:t>E:00000011:0001004a:00000078:03300413</ns0:t>
        </ns0:is>
      </ns0:c>
    </ns0:row>
    <ns0:row r="256">
      <ns0:c r="A256" t="n">
        <ns0:v>11</ns0:v>
      </ns0:c>
      <ns0:c r="B256" t="inlineStr">
        <ns0:is>
          <ns0:t>4</ns0:t>
        </ns0:is>
      </ns0:c>
      <ns0:c r="C256" t="n">
        <ns0:v>19</ns0:v>
      </ns0:c>
      <ns0:c r="D256" t="n">
        <ns0:v>78</ns0:v>
      </ns0:c>
      <ns0:c r="E256" s="14" t="inlineStr">
        <ns0:is>
          <ns0:t>FETCH</ns0:t>
        </ns0:is>
      </ns0:c>
      <ns0:c r="F256" s="15" t="inlineStr">
        <ns0:is>
          <ns0:t>0x0000007C</ns0:t>
        </ns0:is>
      </ns0:c>
      <ns0:c r="G256" s="15" t="inlineStr">
        <ns0:is>
          <ns0:t>0x048E0A63</ns0:t>
        </ns0:is>
      </ns0:c>
      <ns0:c r="H256" s="15" t="inlineStr">
        <ns0:is>
          <ns0:t>beq t3, s0, 0x000000D0</ns0:t>
        </ns0:is>
      </ns0:c>
      <ns0:c r="I256" t="inlineStr">
        <ns0:is>
          <ns0:t>beq</ns0:t>
        </ns0:is>
      </ns0:c>
      <ns0:c r="J256" t="inlineStr">
        <ns0:is>
          <ns0:t>CORE</ns0:t>
        </ns0:is>
      </ns0:c>
      <ns0:c r="K256" s="15" t="n">
        <ns0:v>11019</ns0:v>
      </ns0:c>
      <ns0:c r="L256" t="inlineStr">
        <ns0:is>
          <ns0:t>FETCH|0x0000007C|0x048E0A63</ns0:t>
        </ns0:is>
      </ns0:c>
      <ns0:c r="M256" t="inlineStr">
        <ns0:is>
          <ns0:t>beq@0x0000007C</ns0:t>
        </ns0:is>
      </ns0:c>
      <ns0:c r="N256">
        <ns0:f>IF(E256="FETCH",IF(COUNTIF($M$6:M256,M256)=1,1,0),0)</ns0:f>
        <ns0:v>0</ns0:v>
      </ns0:c>
      <ns0:c r="O256" t="inlineStr">
        <ns0:is>
          <ns0:t>ROM OK</ns0:t>
        </ns0:is>
      </ns0:c>
      <ns0:c r="P256">
        <ns0:f>IF(AND(E256="FETCH",F256="0x00000048"),C256-1,0)</ns0:f>
        <ns0:v>0</ns0:v>
      </ns0:c>
      <ns0:c r="Q256" s="15" t="inlineStr">
        <ns0:is>
          <ns0:t>E:00000012:0001004e:0000007c:048e0a63</ns0:t>
        </ns0:is>
      </ns0:c>
    </ns0:row>
    <ns0:row r="257">
      <ns0:c r="A257" t="n">
        <ns0:v>11</ns0:v>
      </ns0:c>
      <ns0:c r="B257" t="inlineStr">
        <ns0:is>
          <ns0:t>4</ns0:t>
        </ns0:is>
      </ns0:c>
      <ns0:c r="C257" t="n">
        <ns0:v>20</ns0:v>
      </ns0:c>
      <ns0:c r="D257" t="n">
        <ns0:v>82</ns0:v>
      </ns0:c>
      <ns0:c r="E257" s="14" t="inlineStr">
        <ns0:is>
          <ns0:t>FETCH</ns0:t>
        </ns0:is>
      </ns0:c>
      <ns0:c r="F257" s="15" t="inlineStr">
        <ns0:is>
          <ns0:t>0x00000080</ns0:t>
        </ns0:is>
      </ns0:c>
      <ns0:c r="G257" s="15" t="inlineStr">
        <ns0:is>
          <ns0:t>0x03400413</ns0:t>
        </ns0:is>
      </ns0:c>
      <ns0:c r="H257" s="15" t="inlineStr">
        <ns0:is>
          <ns0:t>addi s0, zero, 52</ns0:t>
        </ns0:is>
      </ns0:c>
      <ns0:c r="I257" t="inlineStr">
        <ns0:is>
          <ns0:t>addi</ns0:t>
        </ns0:is>
      </ns0:c>
      <ns0:c r="J257" t="inlineStr">
        <ns0:is>
          <ns0:t>CORE</ns0:t>
        </ns0:is>
      </ns0:c>
      <ns0:c r="K257" s="15" t="n">
        <ns0:v>11020</ns0:v>
      </ns0:c>
      <ns0:c r="L257" t="inlineStr">
        <ns0:is>
          <ns0:t>FETCH|0x00000080|0x03400413</ns0:t>
        </ns0:is>
      </ns0:c>
      <ns0:c r="M257" t="inlineStr">
        <ns0:is>
          <ns0:t>addi@0x00000080</ns0:t>
        </ns0:is>
      </ns0:c>
      <ns0:c r="N257">
        <ns0:f>IF(E257="FETCH",IF(COUNTIF($M$6:M257,M257)=1,1,0),0)</ns0:f>
        <ns0:v>0</ns0:v>
      </ns0:c>
      <ns0:c r="O257" t="inlineStr">
        <ns0:is>
          <ns0:t>ROM OK</ns0:t>
        </ns0:is>
      </ns0:c>
      <ns0:c r="P257">
        <ns0:f>IF(AND(E257="FETCH",F257="0x00000048"),C257-1,0)</ns0:f>
        <ns0:v>0</ns0:v>
      </ns0:c>
      <ns0:c r="Q257" s="15" t="inlineStr">
        <ns0:is>
          <ns0:t>E:00000013:00010052:00000080:03400413</ns0:t>
        </ns0:is>
      </ns0:c>
    </ns0:row>
    <ns0:row r="258">
      <ns0:c r="A258" t="n">
        <ns0:v>11</ns0:v>
      </ns0:c>
      <ns0:c r="B258" t="inlineStr">
        <ns0:is>
          <ns0:t>4</ns0:t>
        </ns0:is>
      </ns0:c>
      <ns0:c r="C258" t="n">
        <ns0:v>21</ns0:v>
      </ns0:c>
      <ns0:c r="D258" t="n">
        <ns0:v>86</ns0:v>
      </ns0:c>
      <ns0:c r="E258" s="14" t="inlineStr">
        <ns0:is>
          <ns0:t>FETCH</ns0:t>
        </ns0:is>
      </ns0:c>
      <ns0:c r="F258" s="15" t="inlineStr">
        <ns0:is>
          <ns0:t>0x00000084</ns0:t>
        </ns0:is>
      </ns0:c>
      <ns0:c r="G258" s="15" t="inlineStr">
        <ns0:is>
          <ns0:t>0x048E0C63</ns0:t>
        </ns0:is>
      </ns0:c>
      <ns0:c r="H258" s="15" t="inlineStr">
        <ns0:is>
          <ns0:t>beq t3, s0, 0x000000DC</ns0:t>
        </ns0:is>
      </ns0:c>
      <ns0:c r="I258" t="inlineStr">
        <ns0:is>
          <ns0:t>beq</ns0:t>
        </ns0:is>
      </ns0:c>
      <ns0:c r="J258" t="inlineStr">
        <ns0:is>
          <ns0:t>CORE</ns0:t>
        </ns0:is>
      </ns0:c>
      <ns0:c r="K258" s="15" t="n">
        <ns0:v>11021</ns0:v>
      </ns0:c>
      <ns0:c r="L258" t="inlineStr">
        <ns0:is>
          <ns0:t>FETCH|0x00000084|0x048E0C63</ns0:t>
        </ns0:is>
      </ns0:c>
      <ns0:c r="M258" t="inlineStr">
        <ns0:is>
          <ns0:t>beq@0x00000084</ns0:t>
        </ns0:is>
      </ns0:c>
      <ns0:c r="N258">
        <ns0:f>IF(E258="FETCH",IF(COUNTIF($M$6:M258,M258)=1,1,0),0)</ns0:f>
        <ns0:v>0</ns0:v>
      </ns0:c>
      <ns0:c r="O258" t="inlineStr">
        <ns0:is>
          <ns0:t>ROM OK</ns0:t>
        </ns0:is>
      </ns0:c>
      <ns0:c r="P258">
        <ns0:f>IF(AND(E258="FETCH",F258="0x00000048"),C258-1,0)</ns0:f>
        <ns0:v>0</ns0:v>
      </ns0:c>
      <ns0:c r="Q258" s="15" t="inlineStr">
        <ns0:is>
          <ns0:t>E:00000014:00010056:00000084:048e0c63</ns0:t>
        </ns0:is>
      </ns0:c>
    </ns0:row>
    <ns0:row r="259">
      <ns0:c r="A259" t="n">
        <ns0:v>11</ns0:v>
      </ns0:c>
      <ns0:c r="B259" t="inlineStr">
        <ns0:is>
          <ns0:t>4</ns0:t>
        </ns0:is>
      </ns0:c>
      <ns0:c r="C259" t="n">
        <ns0:v>22</ns0:v>
      </ns0:c>
      <ns0:c r="D259" t="n">
        <ns0:v>90</ns0:v>
      </ns0:c>
      <ns0:c r="E259" s="14" t="inlineStr">
        <ns0:is>
          <ns0:t>FETCH</ns0:t>
        </ns0:is>
      </ns0:c>
      <ns0:c r="F259" s="15" t="inlineStr">
        <ns0:is>
          <ns0:t>0x00000088</ns0:t>
        </ns0:is>
      </ns0:c>
      <ns0:c r="G259" s="15" t="inlineStr">
        <ns0:is>
          <ns0:t>0x03500413</ns0:t>
        </ns0:is>
      </ns0:c>
      <ns0:c r="H259" s="15" t="inlineStr">
        <ns0:is>
          <ns0:t>addi s0, zero, 53</ns0:t>
        </ns0:is>
      </ns0:c>
      <ns0:c r="I259" t="inlineStr">
        <ns0:is>
          <ns0:t>addi</ns0:t>
        </ns0:is>
      </ns0:c>
      <ns0:c r="J259" t="inlineStr">
        <ns0:is>
          <ns0:t>CORE</ns0:t>
        </ns0:is>
      </ns0:c>
      <ns0:c r="K259" s="15" t="n">
        <ns0:v>11022</ns0:v>
      </ns0:c>
      <ns0:c r="L259" t="inlineStr">
        <ns0:is>
          <ns0:t>FETCH|0x00000088|0x03500413</ns0:t>
        </ns0:is>
      </ns0:c>
      <ns0:c r="M259" t="inlineStr">
        <ns0:is>
          <ns0:t>addi@0x00000088</ns0:t>
        </ns0:is>
      </ns0:c>
      <ns0:c r="N259">
        <ns0:f>IF(E259="FETCH",IF(COUNTIF($M$6:M259,M259)=1,1,0),0)</ns0:f>
        <ns0:v>0</ns0:v>
      </ns0:c>
      <ns0:c r="O259" t="inlineStr">
        <ns0:is>
          <ns0:t>ROM OK</ns0:t>
        </ns0:is>
      </ns0:c>
      <ns0:c r="P259">
        <ns0:f>IF(AND(E259="FETCH",F259="0x00000048"),C259-1,0)</ns0:f>
        <ns0:v>0</ns0:v>
      </ns0:c>
      <ns0:c r="Q259" s="15" t="inlineStr">
        <ns0:is>
          <ns0:t>E:00000015:0001005a:00000088:03500413</ns0:t>
        </ns0:is>
      </ns0:c>
    </ns0:row>
    <ns0:row r="260">
      <ns0:c r="A260" t="n">
        <ns0:v>11</ns0:v>
      </ns0:c>
      <ns0:c r="B260" t="inlineStr">
        <ns0:is>
          <ns0:t>4</ns0:t>
        </ns0:is>
      </ns0:c>
      <ns0:c r="C260" t="n">
        <ns0:v>23</ns0:v>
      </ns0:c>
      <ns0:c r="D260" t="n">
        <ns0:v>93</ns0:v>
      </ns0:c>
      <ns0:c r="E260" s="14" t="inlineStr">
        <ns0:is>
          <ns0:t>FETCH</ns0:t>
        </ns0:is>
      </ns0:c>
      <ns0:c r="F260" s="15" t="inlineStr">
        <ns0:is>
          <ns0:t>0x000000DC</ns0:t>
        </ns0:is>
      </ns0:c>
      <ns0:c r="G260" s="15" t="inlineStr">
        <ns0:is>
          <ns0:t>0x00800E93</ns0:t>
        </ns0:is>
      </ns0:c>
      <ns0:c r="H260" s="15" t="inlineStr">
        <ns0:is>
          <ns0:t>addi t4, zero, 8</ns0:t>
        </ns0:is>
      </ns0:c>
      <ns0:c r="I260" t="inlineStr">
        <ns0:is>
          <ns0:t>addi</ns0:t>
        </ns0:is>
      </ns0:c>
      <ns0:c r="J260" t="inlineStr">
        <ns0:is>
          <ns0:t>CORE</ns0:t>
        </ns0:is>
      </ns0:c>
      <ns0:c r="K260" s="15" t="n">
        <ns0:v>11023</ns0:v>
      </ns0:c>
      <ns0:c r="L260" t="inlineStr">
        <ns0:is>
          <ns0:t>FETCH|0x000000DC|0x00800E93</ns0:t>
        </ns0:is>
      </ns0:c>
      <ns0:c r="M260" t="inlineStr">
        <ns0:is>
          <ns0:t>addi@0x000000DC</ns0:t>
        </ns0:is>
      </ns0:c>
      <ns0:c r="N260">
        <ns0:f>IF(E260="FETCH",IF(COUNTIF($M$6:M260,M260)=1,1,0),0)</ns0:f>
        <ns0:v>0</ns0:v>
      </ns0:c>
      <ns0:c r="O260" t="inlineStr">
        <ns0:is>
          <ns0:t>ROM OK</ns0:t>
        </ns0:is>
      </ns0:c>
      <ns0:c r="P260">
        <ns0:f>IF(AND(E260="FETCH",F260="0x00000048"),C260-1,0)</ns0:f>
        <ns0:v>0</ns0:v>
      </ns0:c>
      <ns0:c r="Q260" s="15" t="inlineStr">
        <ns0:is>
          <ns0:t>E:00000016:0001005d:000000dc:00800e93</ns0:t>
        </ns0:is>
      </ns0:c>
    </ns0:row>
    <ns0:row r="261">
      <ns0:c r="A261" t="n">
        <ns0:v>11</ns0:v>
      </ns0:c>
      <ns0:c r="B261" t="inlineStr">
        <ns0:is>
          <ns0:t>4</ns0:t>
        </ns0:is>
      </ns0:c>
      <ns0:c r="C261" t="n">
        <ns0:v>24</ns0:v>
      </ns0:c>
      <ns0:c r="D261" t="n">
        <ns0:v>97</ns0:v>
      </ns0:c>
      <ns0:c r="E261" s="14" t="inlineStr">
        <ns0:is>
          <ns0:t>FETCH</ns0:t>
        </ns0:is>
      </ns0:c>
      <ns0:c r="F261" s="15" t="inlineStr">
        <ns0:is>
          <ns0:t>0x000000E0</ns0:t>
        </ns0:is>
      </ns0:c>
      <ns0:c r="G261" s="15" t="inlineStr">
        <ns0:is>
          <ns0:t>0x03400F13</ns0:t>
        </ns0:is>
      </ns0:c>
      <ns0:c r="H261" s="15" t="inlineStr">
        <ns0:is>
          <ns0:t>addi t5, zero, 52</ns0:t>
        </ns0:is>
      </ns0:c>
      <ns0:c r="I261" t="inlineStr">
        <ns0:is>
          <ns0:t>addi</ns0:t>
        </ns0:is>
      </ns0:c>
      <ns0:c r="J261" t="inlineStr">
        <ns0:is>
          <ns0:t>CORE</ns0:t>
        </ns0:is>
      </ns0:c>
      <ns0:c r="K261" s="15" t="n">
        <ns0:v>11024</ns0:v>
      </ns0:c>
      <ns0:c r="L261" t="inlineStr">
        <ns0:is>
          <ns0:t>FETCH|0x000000E0|0x03400F13</ns0:t>
        </ns0:is>
      </ns0:c>
      <ns0:c r="M261" t="inlineStr">
        <ns0:is>
          <ns0:t>addi@0x000000E0</ns0:t>
        </ns0:is>
      </ns0:c>
      <ns0:c r="N261">
        <ns0:f>IF(E261="FETCH",IF(COUNTIF($M$6:M261,M261)=1,1,0),0)</ns0:f>
        <ns0:v>0</ns0:v>
      </ns0:c>
      <ns0:c r="O261" t="inlineStr">
        <ns0:is>
          <ns0:t>ROM OK</ns0:t>
        </ns0:is>
      </ns0:c>
      <ns0:c r="P261">
        <ns0:f>IF(AND(E261="FETCH",F261="0x00000048"),C261-1,0)</ns0:f>
        <ns0:v>0</ns0:v>
      </ns0:c>
      <ns0:c r="Q261" s="15" t="inlineStr">
        <ns0:is>
          <ns0:t>E:00000017:00010061:000000e0:03400f13</ns0:t>
        </ns0:is>
      </ns0:c>
    </ns0:row>
    <ns0:row r="262">
      <ns0:c r="A262" t="n">
        <ns0:v>11</ns0:v>
      </ns0:c>
      <ns0:c r="B262" t="inlineStr">
        <ns0:is>
          <ns0:t>4</ns0:t>
        </ns0:is>
      </ns0:c>
      <ns0:c r="C262" t="n">
        <ns0:v>25</ns0:v>
      </ns0:c>
      <ns0:c r="D262" t="n">
        <ns0:v>101</ns0:v>
      </ns0:c>
      <ns0:c r="E262" s="14" t="inlineStr">
        <ns0:is>
          <ns0:t>FETCH</ns0:t>
        </ns0:is>
      </ns0:c>
      <ns0:c r="F262" s="15" t="inlineStr">
        <ns0:is>
          <ns0:t>0x000000E4</ns0:t>
        </ns0:is>
      </ns0:c>
      <ns0:c r="G262" s="15" t="inlineStr">
        <ns0:is>
          <ns0:t>0x01C0006F</ns0:t>
        </ns0:is>
      </ns0:c>
      <ns0:c r="H262" s="15" t="inlineStr">
        <ns0:is>
          <ns0:t>jal zero, 0x00000100</ns0:t>
        </ns0:is>
      </ns0:c>
      <ns0:c r="I262" t="inlineStr">
        <ns0:is>
          <ns0:t>jal</ns0:t>
        </ns0:is>
      </ns0:c>
      <ns0:c r="J262" t="inlineStr">
        <ns0:is>
          <ns0:t>CORE</ns0:t>
        </ns0:is>
      </ns0:c>
      <ns0:c r="K262" s="15" t="n">
        <ns0:v>11025</ns0:v>
      </ns0:c>
      <ns0:c r="L262" t="inlineStr">
        <ns0:is>
          <ns0:t>FETCH|0x000000E4|0x01C0006F</ns0:t>
        </ns0:is>
      </ns0:c>
      <ns0:c r="M262" t="inlineStr">
        <ns0:is>
          <ns0:t>jal@0x000000E4</ns0:t>
        </ns0:is>
      </ns0:c>
      <ns0:c r="N262">
        <ns0:f>IF(E262="FETCH",IF(COUNTIF($M$6:M262,M262)=1,1,0),0)</ns0:f>
        <ns0:v>0</ns0:v>
      </ns0:c>
      <ns0:c r="O262" t="inlineStr">
        <ns0:is>
          <ns0:t>ROM OK</ns0:t>
        </ns0:is>
      </ns0:c>
      <ns0:c r="P262">
        <ns0:f>IF(AND(E262="FETCH",F262="0x00000048"),C262-1,0)</ns0:f>
        <ns0:v>0</ns0:v>
      </ns0:c>
      <ns0:c r="Q262" s="15" t="inlineStr">
        <ns0:is>
          <ns0:t>E:00000018:00010065:000000e4:01c0006f</ns0:t>
        </ns0:is>
      </ns0:c>
    </ns0:row>
    <ns0:row r="263">
      <ns0:c r="A263" t="n">
        <ns0:v>11</ns0:v>
      </ns0:c>
      <ns0:c r="B263" t="inlineStr">
        <ns0:is>
          <ns0:t>4</ns0:t>
        </ns0:is>
      </ns0:c>
      <ns0:c r="C263" t="n">
        <ns0:v>26</ns0:v>
      </ns0:c>
      <ns0:c r="D263" t="n">
        <ns0:v>105</ns0:v>
      </ns0:c>
      <ns0:c r="E263" s="14" t="inlineStr">
        <ns0:is>
          <ns0:t>FETCH</ns0:t>
        </ns0:is>
      </ns0:c>
      <ns0:c r="F263" s="15" t="inlineStr">
        <ns0:is>
          <ns0:t>0x00000100</ns0:t>
        </ns0:is>
      </ns0:c>
      <ns0:c r="G263" s="15" t="inlineStr">
        <ns0:is>
          <ns0:t>0x01D2A023</ns0:t>
        </ns0:is>
      </ns0:c>
      <ns0:c r="H263" s="15" t="inlineStr">
        <ns0:is>
          <ns0:t>sw t4, 0(t0)</ns0:t>
        </ns0:is>
      </ns0:c>
      <ns0:c r="I263" t="inlineStr">
        <ns0:is>
          <ns0:t>sw</ns0:t>
        </ns0:is>
      </ns0:c>
      <ns0:c r="J263" t="inlineStr">
        <ns0:is>
          <ns0:t>CORE</ns0:t>
        </ns0:is>
      </ns0:c>
      <ns0:c r="K263" s="15" t="n">
        <ns0:v>11026</ns0:v>
      </ns0:c>
      <ns0:c r="L263" t="inlineStr">
        <ns0:is>
          <ns0:t>FETCH|0x00000100|0x01D2A023</ns0:t>
        </ns0:is>
      </ns0:c>
      <ns0:c r="M263" t="inlineStr">
        <ns0:is>
          <ns0:t>sw@0x00000100</ns0:t>
        </ns0:is>
      </ns0:c>
      <ns0:c r="N263">
        <ns0:f>IF(E263="FETCH",IF(COUNTIF($M$6:M263,M263)=1,1,0),0)</ns0:f>
        <ns0:v>0</ns0:v>
      </ns0:c>
      <ns0:c r="O263" t="inlineStr">
        <ns0:is>
          <ns0:t>ROM OK</ns0:t>
        </ns0:is>
      </ns0:c>
      <ns0:c r="P263">
        <ns0:f>IF(AND(E263="FETCH",F263="0x00000048"),C263-1,0)</ns0:f>
        <ns0:v>0</ns0:v>
      </ns0:c>
      <ns0:c r="Q263" s="15" t="inlineStr">
        <ns0:is>
          <ns0:t>E:00000019:00010069:00000100:01d2a023</ns0:t>
        </ns0:is>
      </ns0:c>
    </ns0:row>
    <ns0:row r="264">
      <ns0:c r="A264" t="n">
        <ns0:v>11</ns0:v>
      </ns0:c>
      <ns0:c r="B264" t="inlineStr">
        <ns0:is>
          <ns0:t>4</ns0:t>
        </ns0:is>
      </ns0:c>
      <ns0:c r="C264" t="n">
        <ns0:v>27</ns0:v>
      </ns0:c>
      <ns0:c r="D264" t="n">
        <ns0:v>109</ns0:v>
      </ns0:c>
      <ns0:c r="E264" s="14" t="inlineStr">
        <ns0:is>
          <ns0:t>FETCH</ns0:t>
        </ns0:is>
      </ns0:c>
      <ns0:c r="F264" s="15" t="inlineStr">
        <ns0:is>
          <ns0:t>0x00000104</ns0:t>
        </ns0:is>
      </ns0:c>
      <ns0:c r="G264" s="15" t="inlineStr">
        <ns0:is>
          <ns0:t>0x0002AF83</ns0:t>
        </ns0:is>
      </ns0:c>
      <ns0:c r="H264" s="15" t="inlineStr">
        <ns0:is>
          <ns0:t>lw t6, 0(t0)</ns0:t>
        </ns0:is>
      </ns0:c>
      <ns0:c r="I264" t="inlineStr">
        <ns0:is>
          <ns0:t>lw</ns0:t>
        </ns0:is>
      </ns0:c>
      <ns0:c r="J264" t="inlineStr">
        <ns0:is>
          <ns0:t>CORE</ns0:t>
        </ns0:is>
      </ns0:c>
      <ns0:c r="K264" s="15" t="n">
        <ns0:v>11027</ns0:v>
      </ns0:c>
      <ns0:c r="L264" t="inlineStr">
        <ns0:is>
          <ns0:t>FETCH|0x00000104|0x0002AF83</ns0:t>
        </ns0:is>
      </ns0:c>
      <ns0:c r="M264" t="inlineStr">
        <ns0:is>
          <ns0:t>lw@0x00000104</ns0:t>
        </ns0:is>
      </ns0:c>
      <ns0:c r="N264">
        <ns0:f>IF(E264="FETCH",IF(COUNTIF($M$6:M264,M264)=1,1,0),0)</ns0:f>
        <ns0:v>0</ns0:v>
      </ns0:c>
      <ns0:c r="O264" t="inlineStr">
        <ns0:is>
          <ns0:t>ROM OK</ns0:t>
        </ns0:is>
      </ns0:c>
      <ns0:c r="P264">
        <ns0:f>IF(AND(E264="FETCH",F264="0x00000048"),C264-1,0)</ns0:f>
        <ns0:v>0</ns0:v>
      </ns0:c>
      <ns0:c r="Q264" s="15" t="inlineStr">
        <ns0:is>
          <ns0:t>E:0000001a:0001006d:00000104:0002af83</ns0:t>
        </ns0:is>
      </ns0:c>
    </ns0:row>
    <ns0:row r="265">
      <ns0:c r="A265" s="17" t="n">
        <ns0:v>11</ns0:v>
      </ns0:c>
      <ns0:c r="B265" s="17" t="inlineStr">
        <ns0:is>
          <ns0:t>4</ns0:t>
        </ns0:is>
      </ns0:c>
      <ns0:c r="C265" s="17" t="n">
        <ns0:v>28</ns0:v>
      </ns0:c>
      <ns0:c r="D265" s="17" t="n">
        <ns0:v>112</ns0:v>
      </ns0:c>
      <ns0:c r="E265" s="18" t="inlineStr">
        <ns0:is>
          <ns0:t>LED_WRITE</ns0:t>
        </ns0:is>
      </ns0:c>
      <ns0:c r="F265" s="19" t="inlineStr">
        <ns0:is>
          <ns0:t>0x20000000</ns0:t>
        </ns0:is>
      </ns0:c>
      <ns0:c r="G265" s="19" t="inlineStr">
        <ns0:is>
          <ns0:t>0x00000008</ns0:t>
        </ns0:is>
      </ns0:c>
      <ns0:c r="H265" s="19" t="inlineStr">
        <ns0:is>
          <ns0:t>MMIO GPIO write</ns0:t>
        </ns0:is>
      </ns0:c>
      <ns0:c r="I265" s="17" t="inlineStr">
        <ns0:is>
          <ns0:t>LED_WRITE</ns0:t>
        </ns0:is>
      </ns0:c>
      <ns0:c r="J265" s="17" t="inlineStr">
        <ns0:is>
          <ns0:t>MMIO</ns0:t>
        </ns0:is>
      </ns0:c>
      <ns0:c r="K265" s="19" t="n">
        <ns0:v>11028</ns0:v>
      </ns0:c>
      <ns0:c r="L265" s="17" t="inlineStr">
        <ns0:is>
          <ns0:t>LED_WRITE|0x20000000|0x00000008</ns0:t>
        </ns0:is>
      </ns0:c>
      <ns0:c r="M265" s="17" t="inlineStr"/>
      <ns0:c r="N265" s="17">
        <ns0:f>IF(E265="FETCH",IF(COUNTIF($M$6:M265,M265)=1,1,0),0)</ns0:f>
        <ns0:v>0</ns0:v>
      </ns0:c>
      <ns0:c r="O265" s="17" t="inlineStr">
        <ns0:is>
          <ns0:t>MMIO OK</ns0:t>
        </ns0:is>
      </ns0:c>
      <ns0:c r="P265" s="17">
        <ns0:f>IF(AND(E265="FETCH",F265="0x00000048"),C265-1,0)</ns0:f>
        <ns0:v>0</ns0:v>
      </ns0:c>
      <ns0:c r="Q265" s="19" t="inlineStr">
        <ns0:is>
          <ns0:t>E:0000001b:00020070:20000000:00000008</ns0:t>
        </ns0:is>
      </ns0:c>
    </ns0:row>
    <ns0:row r="266">
      <ns0:c r="A266" t="n">
        <ns0:v>12</ns0:v>
      </ns0:c>
      <ns0:c r="B266" t="inlineStr">
        <ns0:is>
          <ns0:t>0</ns0:t>
        </ns0:is>
      </ns0:c>
      <ns0:c r="C266" t="n">
        <ns0:v>1</ns0:v>
      </ns0:c>
      <ns0:c r="D266" t="n">
        <ns0:v>0</ns0:v>
      </ns0:c>
      <ns0:c r="E266" s="14" t="inlineStr">
        <ns0:is>
          <ns0:t>FETCH</ns0:t>
        </ns0:is>
      </ns0:c>
      <ns0:c r="F266" s="15" t="inlineStr">
        <ns0:is>
          <ns0:t>0x00000040</ns0:t>
        </ns0:is>
      </ns0:c>
      <ns0:c r="G266" s="15" t="inlineStr">
        <ns0:is>
          <ns0:t>0xFE038CE3</ns0:t>
        </ns0:is>
      </ns0:c>
      <ns0:c r="H266" s="15" t="inlineStr">
        <ns0:is>
          <ns0:t>beq t2, zero, 0x00000038</ns0:t>
        </ns0:is>
      </ns0:c>
      <ns0:c r="I266" t="inlineStr">
        <ns0:is>
          <ns0:t>beq</ns0:t>
        </ns0:is>
      </ns0:c>
      <ns0:c r="J266" s="16" t="inlineStr">
        <ns0:is>
          <ns0:t>POLL</ns0:t>
        </ns0:is>
      </ns0:c>
      <ns0:c r="K266" s="15" t="n">
        <ns0:v>12001</ns0:v>
      </ns0:c>
      <ns0:c r="L266" t="inlineStr">
        <ns0:is>
          <ns0:t>FETCH|0x00000040|0xFE038CE3</ns0:t>
        </ns0:is>
      </ns0:c>
      <ns0:c r="M266" t="inlineStr">
        <ns0:is>
          <ns0:t>beq@0x00000040</ns0:t>
        </ns0:is>
      </ns0:c>
      <ns0:c r="N266">
        <ns0:f>IF(E266="FETCH",IF(COUNTIF($M$6:M266,M266)=1,1,0),0)</ns0:f>
        <ns0:v>0</ns0:v>
      </ns0:c>
      <ns0:c r="O266" t="inlineStr">
        <ns0:is>
          <ns0:t>ROM OK</ns0:t>
        </ns0:is>
      </ns0:c>
      <ns0:c r="P266">
        <ns0:f>IF(AND(E266="FETCH",F266="0x00000048"),C266-1,0)</ns0:f>
        <ns0:v>0</ns0:v>
      </ns0:c>
      <ns0:c r="Q266" s="15" t="inlineStr">
        <ns0:is>
          <ns0:t>E:00000000:00010000:00000040:fe038ce3</ns0:t>
        </ns0:is>
      </ns0:c>
    </ns0:row>
    <ns0:row r="267">
      <ns0:c r="A267" t="n">
        <ns0:v>12</ns0:v>
      </ns0:c>
      <ns0:c r="B267" t="inlineStr">
        <ns0:is>
          <ns0:t>0</ns0:t>
        </ns0:is>
      </ns0:c>
      <ns0:c r="C267" t="n">
        <ns0:v>2</ns0:v>
      </ns0:c>
      <ns0:c r="D267" t="n">
        <ns0:v>4</ns0:v>
      </ns0:c>
      <ns0:c r="E267" s="14" t="inlineStr">
        <ns0:is>
          <ns0:t>FETCH</ns0:t>
        </ns0:is>
      </ns0:c>
      <ns0:c r="F267" s="15" t="inlineStr">
        <ns0:is>
          <ns0:t>0x00000044</ns0:t>
        </ns0:is>
      </ns0:c>
      <ns0:c r="G267" s="15" t="inlineStr">
        <ns0:is>
          <ns0:t>0x0182AE03</ns0:t>
        </ns0:is>
      </ns0:c>
      <ns0:c r="H267" s="15" t="inlineStr">
        <ns0:is>
          <ns0:t>lw t3, 24(t0)</ns0:t>
        </ns0:is>
      </ns0:c>
      <ns0:c r="I267" t="inlineStr">
        <ns0:is>
          <ns0:t>lw</ns0:t>
        </ns0:is>
      </ns0:c>
      <ns0:c r="J267" s="16" t="inlineStr">
        <ns0:is>
          <ns0:t>POLL</ns0:t>
        </ns0:is>
      </ns0:c>
      <ns0:c r="K267" s="15" t="n">
        <ns0:v>12002</ns0:v>
      </ns0:c>
      <ns0:c r="L267" t="inlineStr">
        <ns0:is>
          <ns0:t>FETCH|0x00000044|0x0182AE03</ns0:t>
        </ns0:is>
      </ns0:c>
      <ns0:c r="M267" t="inlineStr">
        <ns0:is>
          <ns0:t>lw@0x00000044</ns0:t>
        </ns0:is>
      </ns0:c>
      <ns0:c r="N267">
        <ns0:f>IF(E267="FETCH",IF(COUNTIF($M$6:M267,M267)=1,1,0),0)</ns0:f>
        <ns0:v>0</ns0:v>
      </ns0:c>
      <ns0:c r="O267" t="inlineStr">
        <ns0:is>
          <ns0:t>ROM OK</ns0:t>
        </ns0:is>
      </ns0:c>
      <ns0:c r="P267">
        <ns0:f>IF(AND(E267="FETCH",F267="0x00000048"),C267-1,0)</ns0:f>
        <ns0:v>0</ns0:v>
      </ns0:c>
      <ns0:c r="Q267" s="15" t="inlineStr">
        <ns0:is>
          <ns0:t>E:00000001:00010004:00000044:0182ae03</ns0:t>
        </ns0:is>
      </ns0:c>
    </ns0:row>
    <ns0:row r="268">
      <ns0:c r="A268" t="n">
        <ns0:v>12</ns0:v>
      </ns0:c>
      <ns0:c r="B268" t="inlineStr">
        <ns0:is>
          <ns0:t>0</ns0:t>
        </ns0:is>
      </ns0:c>
      <ns0:c r="C268" t="n">
        <ns0:v>3</ns0:v>
      </ns0:c>
      <ns0:c r="D268" t="n">
        <ns0:v>7</ns0:v>
      </ns0:c>
      <ns0:c r="E268" s="14" t="inlineStr">
        <ns0:is>
          <ns0:t>FETCH</ns0:t>
        </ns0:is>
      </ns0:c>
      <ns0:c r="F268" s="15" t="inlineStr">
        <ns0:is>
          <ns0:t>0x00000038</ns0:t>
        </ns0:is>
      </ns0:c>
      <ns0:c r="G268" s="15" t="inlineStr">
        <ns0:is>
          <ns0:t>0x01C2A383</ns0:t>
        </ns0:is>
      </ns0:c>
      <ns0:c r="H268" s="15" t="inlineStr">
        <ns0:is>
          <ns0:t>lw t2, 28(t0)</ns0:t>
        </ns0:is>
      </ns0:c>
      <ns0:c r="I268" t="inlineStr">
        <ns0:is>
          <ns0:t>lw</ns0:t>
        </ns0:is>
      </ns0:c>
      <ns0:c r="J268" s="16" t="inlineStr">
        <ns0:is>
          <ns0:t>POLL</ns0:t>
        </ns0:is>
      </ns0:c>
      <ns0:c r="K268" s="15" t="n">
        <ns0:v>12003</ns0:v>
      </ns0:c>
      <ns0:c r="L268" t="inlineStr">
        <ns0:is>
          <ns0:t>FETCH|0x00000038|0x01C2A383</ns0:t>
        </ns0:is>
      </ns0:c>
      <ns0:c r="M268" t="inlineStr">
        <ns0:is>
          <ns0:t>lw@0x00000038</ns0:t>
        </ns0:is>
      </ns0:c>
      <ns0:c r="N268">
        <ns0:f>IF(E268="FETCH",IF(COUNTIF($M$6:M268,M268)=1,1,0),0)</ns0:f>
        <ns0:v>0</ns0:v>
      </ns0:c>
      <ns0:c r="O268" t="inlineStr">
        <ns0:is>
          <ns0:t>ROM OK</ns0:t>
        </ns0:is>
      </ns0:c>
      <ns0:c r="P268">
        <ns0:f>IF(AND(E268="FETCH",F268="0x00000048"),C268-1,0)</ns0:f>
        <ns0:v>0</ns0:v>
      </ns0:c>
      <ns0:c r="Q268" s="15" t="inlineStr">
        <ns0:is>
          <ns0:t>E:00000002:00010007:00000038:01c2a383</ns0:t>
        </ns0:is>
      </ns0:c>
    </ns0:row>
    <ns0:row r="269">
      <ns0:c r="A269" t="n">
        <ns0:v>12</ns0:v>
      </ns0:c>
      <ns0:c r="B269" t="inlineStr">
        <ns0:is>
          <ns0:t>0</ns0:t>
        </ns0:is>
      </ns0:c>
      <ns0:c r="C269" t="n">
        <ns0:v>4</ns0:v>
      </ns0:c>
      <ns0:c r="D269" t="n">
        <ns0:v>11</ns0:v>
      </ns0:c>
      <ns0:c r="E269" s="14" t="inlineStr">
        <ns0:is>
          <ns0:t>FETCH</ns0:t>
        </ns0:is>
      </ns0:c>
      <ns0:c r="F269" s="15" t="inlineStr">
        <ns0:is>
          <ns0:t>0x0000003C</ns0:t>
        </ns0:is>
      </ns0:c>
      <ns0:c r="G269" s="15" t="inlineStr">
        <ns0:is>
          <ns0:t>0x0013F393</ns0:t>
        </ns0:is>
      </ns0:c>
      <ns0:c r="H269" s="15" t="inlineStr">
        <ns0:is>
          <ns0:t>andi t2, t2, 1</ns0:t>
        </ns0:is>
      </ns0:c>
      <ns0:c r="I269" t="inlineStr">
        <ns0:is>
          <ns0:t>andi</ns0:t>
        </ns0:is>
      </ns0:c>
      <ns0:c r="J269" s="16" t="inlineStr">
        <ns0:is>
          <ns0:t>POLL</ns0:t>
        </ns0:is>
      </ns0:c>
      <ns0:c r="K269" s="15" t="n">
        <ns0:v>12004</ns0:v>
      </ns0:c>
      <ns0:c r="L269" t="inlineStr">
        <ns0:is>
          <ns0:t>FETCH|0x0000003C|0x0013F393</ns0:t>
        </ns0:is>
      </ns0:c>
      <ns0:c r="M269" t="inlineStr">
        <ns0:is>
          <ns0:t>andi@0x0000003C</ns0:t>
        </ns0:is>
      </ns0:c>
      <ns0:c r="N269">
        <ns0:f>IF(E269="FETCH",IF(COUNTIF($M$6:M269,M269)=1,1,0),0)</ns0:f>
        <ns0:v>0</ns0:v>
      </ns0:c>
      <ns0:c r="O269" t="inlineStr">
        <ns0:is>
          <ns0:t>ROM OK</ns0:t>
        </ns0:is>
      </ns0:c>
      <ns0:c r="P269">
        <ns0:f>IF(AND(E269="FETCH",F269="0x00000048"),C269-1,0)</ns0:f>
        <ns0:v>0</ns0:v>
      </ns0:c>
      <ns0:c r="Q269" s="15" t="inlineStr">
        <ns0:is>
          <ns0:t>E:00000003:0001000b:0000003c:0013f393</ns0:t>
        </ns0:is>
      </ns0:c>
    </ns0:row>
    <ns0:row r="270">
      <ns0:c r="A270" t="n">
        <ns0:v>12</ns0:v>
      </ns0:c>
      <ns0:c r="B270" t="inlineStr">
        <ns0:is>
          <ns0:t>0</ns0:t>
        </ns0:is>
      </ns0:c>
      <ns0:c r="C270" t="n">
        <ns0:v>5</ns0:v>
      </ns0:c>
      <ns0:c r="D270" t="n">
        <ns0:v>18</ns0:v>
      </ns0:c>
      <ns0:c r="E270" s="14" t="inlineStr">
        <ns0:is>
          <ns0:t>FETCH</ns0:t>
        </ns0:is>
      </ns0:c>
      <ns0:c r="F270" s="15" t="inlineStr">
        <ns0:is>
          <ns0:t>0x00000040</ns0:t>
        </ns0:is>
      </ns0:c>
      <ns0:c r="G270" s="15" t="inlineStr">
        <ns0:is>
          <ns0:t>0xFE038CE3</ns0:t>
        </ns0:is>
      </ns0:c>
      <ns0:c r="H270" s="15" t="inlineStr">
        <ns0:is>
          <ns0:t>beq t2, zero, 0x00000038</ns0:t>
        </ns0:is>
      </ns0:c>
      <ns0:c r="I270" t="inlineStr">
        <ns0:is>
          <ns0:t>beq</ns0:t>
        </ns0:is>
      </ns0:c>
      <ns0:c r="J270" s="16" t="inlineStr">
        <ns0:is>
          <ns0:t>POLL</ns0:t>
        </ns0:is>
      </ns0:c>
      <ns0:c r="K270" s="15" t="n">
        <ns0:v>12005</ns0:v>
      </ns0:c>
      <ns0:c r="L270" t="inlineStr">
        <ns0:is>
          <ns0:t>FETCH|0x00000040|0xFE038CE3</ns0:t>
        </ns0:is>
      </ns0:c>
      <ns0:c r="M270" t="inlineStr">
        <ns0:is>
          <ns0:t>beq@0x00000040</ns0:t>
        </ns0:is>
      </ns0:c>
      <ns0:c r="N270">
        <ns0:f>IF(E270="FETCH",IF(COUNTIF($M$6:M270,M270)=1,1,0),0)</ns0:f>
        <ns0:v>0</ns0:v>
      </ns0:c>
      <ns0:c r="O270" t="inlineStr">
        <ns0:is>
          <ns0:t>ROM OK</ns0:t>
        </ns0:is>
      </ns0:c>
      <ns0:c r="P270">
        <ns0:f>IF(AND(E270="FETCH",F270="0x00000048"),C270-1,0)</ns0:f>
        <ns0:v>0</ns0:v>
      </ns0:c>
      <ns0:c r="Q270" s="15" t="inlineStr">
        <ns0:is>
          <ns0:t>E:00000004:00010012:00000040:fe038ce3</ns0:t>
        </ns0:is>
      </ns0:c>
    </ns0:row>
    <ns0:row r="271">
      <ns0:c r="A271" t="n">
        <ns0:v>12</ns0:v>
      </ns0:c>
      <ns0:c r="B271" t="inlineStr">
        <ns0:is>
          <ns0:t>0</ns0:t>
        </ns0:is>
      </ns0:c>
      <ns0:c r="C271" t="n">
        <ns0:v>6</ns0:v>
      </ns0:c>
      <ns0:c r="D271" t="n">
        <ns0:v>22</ns0:v>
      </ns0:c>
      <ns0:c r="E271" s="14" t="inlineStr">
        <ns0:is>
          <ns0:t>FETCH</ns0:t>
        </ns0:is>
      </ns0:c>
      <ns0:c r="F271" s="15" t="inlineStr">
        <ns0:is>
          <ns0:t>0x00000044</ns0:t>
        </ns0:is>
      </ns0:c>
      <ns0:c r="G271" s="15" t="inlineStr">
        <ns0:is>
          <ns0:t>0x0182AE03</ns0:t>
        </ns0:is>
      </ns0:c>
      <ns0:c r="H271" s="15" t="inlineStr">
        <ns0:is>
          <ns0:t>lw t3, 24(t0)</ns0:t>
        </ns0:is>
      </ns0:c>
      <ns0:c r="I271" t="inlineStr">
        <ns0:is>
          <ns0:t>lw</ns0:t>
        </ns0:is>
      </ns0:c>
      <ns0:c r="J271" s="16" t="inlineStr">
        <ns0:is>
          <ns0:t>POLL</ns0:t>
        </ns0:is>
      </ns0:c>
      <ns0:c r="K271" s="15" t="n">
        <ns0:v>12006</ns0:v>
      </ns0:c>
      <ns0:c r="L271" t="inlineStr">
        <ns0:is>
          <ns0:t>FETCH|0x00000044|0x0182AE03</ns0:t>
        </ns0:is>
      </ns0:c>
      <ns0:c r="M271" t="inlineStr">
        <ns0:is>
          <ns0:t>lw@0x00000044</ns0:t>
        </ns0:is>
      </ns0:c>
      <ns0:c r="N271">
        <ns0:f>IF(E271="FETCH",IF(COUNTIF($M$6:M271,M271)=1,1,0),0)</ns0:f>
        <ns0:v>0</ns0:v>
      </ns0:c>
      <ns0:c r="O271" t="inlineStr">
        <ns0:is>
          <ns0:t>ROM OK</ns0:t>
        </ns0:is>
      </ns0:c>
      <ns0:c r="P271">
        <ns0:f>IF(AND(E271="FETCH",F271="0x00000048"),C271-1,0)</ns0:f>
        <ns0:v>0</ns0:v>
      </ns0:c>
      <ns0:c r="Q271" s="15" t="inlineStr">
        <ns0:is>
          <ns0:t>E:00000005:00010016:00000044:0182ae03</ns0:t>
        </ns0:is>
      </ns0:c>
    </ns0:row>
    <ns0:row r="272">
      <ns0:c r="A272" t="n">
        <ns0:v>12</ns0:v>
      </ns0:c>
      <ns0:c r="B272" t="inlineStr">
        <ns0:is>
          <ns0:t>0</ns0:t>
        </ns0:is>
      </ns0:c>
      <ns0:c r="C272" t="n">
        <ns0:v>7</ns0:v>
      </ns0:c>
      <ns0:c r="D272" t="n">
        <ns0:v>26</ns0:v>
      </ns0:c>
      <ns0:c r="E272" s="14" t="inlineStr">
        <ns0:is>
          <ns0:t>FETCH</ns0:t>
        </ns0:is>
      </ns0:c>
      <ns0:c r="F272" s="15" t="inlineStr">
        <ns0:is>
          <ns0:t>0x00000048</ns0:t>
        </ns0:is>
      </ns0:c>
      <ns0:c r="G272" s="15" t="inlineStr">
        <ns0:is>
          <ns0:t>0x05400413</ns0:t>
        </ns0:is>
      </ns0:c>
      <ns0:c r="H272" s="15" t="inlineStr">
        <ns0:is>
          <ns0:t>addi s0, zero, 84</ns0:t>
        </ns0:is>
      </ns0:c>
      <ns0:c r="I272" t="inlineStr">
        <ns0:is>
          <ns0:t>addi</ns0:t>
        </ns0:is>
      </ns0:c>
      <ns0:c r="J272" t="inlineStr">
        <ns0:is>
          <ns0:t>CORE</ns0:t>
        </ns0:is>
      </ns0:c>
      <ns0:c r="K272" s="15" t="n">
        <ns0:v>12007</ns0:v>
      </ns0:c>
      <ns0:c r="L272" t="inlineStr">
        <ns0:is>
          <ns0:t>FETCH|0x00000048|0x05400413</ns0:t>
        </ns0:is>
      </ns0:c>
      <ns0:c r="M272" t="inlineStr">
        <ns0:is>
          <ns0:t>addi@0x00000048</ns0:t>
        </ns0:is>
      </ns0:c>
      <ns0:c r="N272">
        <ns0:f>IF(E272="FETCH",IF(COUNTIF($M$6:M272,M272)=1,1,0),0)</ns0:f>
        <ns0:v>0</ns0:v>
      </ns0:c>
      <ns0:c r="O272" t="inlineStr">
        <ns0:is>
          <ns0:t>ROM OK</ns0:t>
        </ns0:is>
      </ns0:c>
      <ns0:c r="P272">
        <ns0:f>IF(AND(E272="FETCH",F272="0x00000048"),C272-1,0)</ns0:f>
        <ns0:v>6</ns0:v>
      </ns0:c>
      <ns0:c r="Q272" s="15" t="inlineStr">
        <ns0:is>
          <ns0:t>E:00000006:0001001a:00000048:05400413</ns0:t>
        </ns0:is>
      </ns0:c>
    </ns0:row>
    <ns0:row r="273">
      <ns0:c r="A273" t="n">
        <ns0:v>12</ns0:v>
      </ns0:c>
      <ns0:c r="B273" t="inlineStr">
        <ns0:is>
          <ns0:t>0</ns0:t>
        </ns0:is>
      </ns0:c>
      <ns0:c r="C273" t="n">
        <ns0:v>8</ns0:v>
      </ns0:c>
      <ns0:c r="D273" t="n">
        <ns0:v>33</ns0:v>
      </ns0:c>
      <ns0:c r="E273" s="14" t="inlineStr">
        <ns0:is>
          <ns0:t>FETCH</ns0:t>
        </ns0:is>
      </ns0:c>
      <ns0:c r="F273" s="15" t="inlineStr">
        <ns0:is>
          <ns0:t>0x0000004C</ns0:t>
        </ns0:is>
      </ns0:c>
      <ns0:c r="G273" s="15" t="inlineStr">
        <ns0:is>
          <ns0:t>0x1A8E0063</ns0:t>
        </ns0:is>
      </ns0:c>
      <ns0:c r="H273" s="15" t="inlineStr">
        <ns0:is>
          <ns0:t>beq t3, s0, 0x000001EC</ns0:t>
        </ns0:is>
      </ns0:c>
      <ns0:c r="I273" t="inlineStr">
        <ns0:is>
          <ns0:t>beq</ns0:t>
        </ns0:is>
      </ns0:c>
      <ns0:c r="J273" t="inlineStr">
        <ns0:is>
          <ns0:t>CORE</ns0:t>
        </ns0:is>
      </ns0:c>
      <ns0:c r="K273" s="15" t="n">
        <ns0:v>12008</ns0:v>
      </ns0:c>
      <ns0:c r="L273" t="inlineStr">
        <ns0:is>
          <ns0:t>FETCH|0x0000004C|0x1A8E0063</ns0:t>
        </ns0:is>
      </ns0:c>
      <ns0:c r="M273" t="inlineStr">
        <ns0:is>
          <ns0:t>beq@0x0000004C</ns0:t>
        </ns0:is>
      </ns0:c>
      <ns0:c r="N273">
        <ns0:f>IF(E273="FETCH",IF(COUNTIF($M$6:M273,M273)=1,1,0),0)</ns0:f>
        <ns0:v>0</ns0:v>
      </ns0:c>
      <ns0:c r="O273" t="inlineStr">
        <ns0:is>
          <ns0:t>ROM OK</ns0:t>
        </ns0:is>
      </ns0:c>
      <ns0:c r="P273">
        <ns0:f>IF(AND(E273="FETCH",F273="0x00000048"),C273-1,0)</ns0:f>
        <ns0:v>0</ns0:v>
      </ns0:c>
      <ns0:c r="Q273" s="15" t="inlineStr">
        <ns0:is>
          <ns0:t>E:00000007:00010021:0000004c:1a8e0063</ns0:t>
        </ns0:is>
      </ns0:c>
    </ns0:row>
    <ns0:row r="274">
      <ns0:c r="A274" t="n">
        <ns0:v>12</ns0:v>
      </ns0:c>
      <ns0:c r="B274" t="inlineStr">
        <ns0:is>
          <ns0:t>0</ns0:t>
        </ns0:is>
      </ns0:c>
      <ns0:c r="C274" t="n">
        <ns0:v>9</ns0:v>
      </ns0:c>
      <ns0:c r="D274" t="n">
        <ns0:v>37</ns0:v>
      </ns0:c>
      <ns0:c r="E274" s="14" t="inlineStr">
        <ns0:is>
          <ns0:t>FETCH</ns0:t>
        </ns0:is>
      </ns0:c>
      <ns0:c r="F274" s="15" t="inlineStr">
        <ns0:is>
          <ns0:t>0x00000050</ns0:t>
        </ns0:is>
      </ns0:c>
      <ns0:c r="G274" s="15" t="inlineStr">
        <ns0:is>
          <ns0:t>0x04300413</ns0:t>
        </ns0:is>
      </ns0:c>
      <ns0:c r="H274" s="15" t="inlineStr">
        <ns0:is>
          <ns0:t>addi s0, zero, 67</ns0:t>
        </ns0:is>
      </ns0:c>
      <ns0:c r="I274" t="inlineStr">
        <ns0:is>
          <ns0:t>addi</ns0:t>
        </ns0:is>
      </ns0:c>
      <ns0:c r="J274" t="inlineStr">
        <ns0:is>
          <ns0:t>CORE</ns0:t>
        </ns0:is>
      </ns0:c>
      <ns0:c r="K274" s="15" t="n">
        <ns0:v>12009</ns0:v>
      </ns0:c>
      <ns0:c r="L274" t="inlineStr">
        <ns0:is>
          <ns0:t>FETCH|0x00000050|0x04300413</ns0:t>
        </ns0:is>
      </ns0:c>
      <ns0:c r="M274" t="inlineStr">
        <ns0:is>
          <ns0:t>addi@0x00000050</ns0:t>
        </ns0:is>
      </ns0:c>
      <ns0:c r="N274">
        <ns0:f>IF(E274="FETCH",IF(COUNTIF($M$6:M274,M274)=1,1,0),0)</ns0:f>
        <ns0:v>0</ns0:v>
      </ns0:c>
      <ns0:c r="O274" t="inlineStr">
        <ns0:is>
          <ns0:t>ROM OK</ns0:t>
        </ns0:is>
      </ns0:c>
      <ns0:c r="P274">
        <ns0:f>IF(AND(E274="FETCH",F274="0x00000048"),C274-1,0)</ns0:f>
        <ns0:v>0</ns0:v>
      </ns0:c>
      <ns0:c r="Q274" s="15" t="inlineStr">
        <ns0:is>
          <ns0:t>E:00000008:00010025:00000050:04300413</ns0:t>
        </ns0:is>
      </ns0:c>
    </ns0:row>
    <ns0:row r="275">
      <ns0:c r="A275" t="n">
        <ns0:v>12</ns0:v>
      </ns0:c>
      <ns0:c r="B275" t="inlineStr">
        <ns0:is>
          <ns0:t>0</ns0:t>
        </ns0:is>
      </ns0:c>
      <ns0:c r="C275" t="n">
        <ns0:v>10</ns0:v>
      </ns0:c>
      <ns0:c r="D275" t="n">
        <ns0:v>41</ns0:v>
      </ns0:c>
      <ns0:c r="E275" s="14" t="inlineStr">
        <ns0:is>
          <ns0:t>FETCH</ns0:t>
        </ns0:is>
      </ns0:c>
      <ns0:c r="F275" s="15" t="inlineStr">
        <ns0:is>
          <ns0:t>0x00000054</ns0:t>
        </ns0:is>
      </ns0:c>
      <ns0:c r="G275" s="15" t="inlineStr">
        <ns0:is>
          <ns0:t>0x188E0063</ns0:t>
        </ns0:is>
      </ns0:c>
      <ns0:c r="H275" s="15" t="inlineStr">
        <ns0:is>
          <ns0:t>beq t3, s0, 0x000001D4</ns0:t>
        </ns0:is>
      </ns0:c>
      <ns0:c r="I275" t="inlineStr">
        <ns0:is>
          <ns0:t>beq</ns0:t>
        </ns0:is>
      </ns0:c>
      <ns0:c r="J275" t="inlineStr">
        <ns0:is>
          <ns0:t>CORE</ns0:t>
        </ns0:is>
      </ns0:c>
      <ns0:c r="K275" s="15" t="n">
        <ns0:v>12010</ns0:v>
      </ns0:c>
      <ns0:c r="L275" t="inlineStr">
        <ns0:is>
          <ns0:t>FETCH|0x00000054|0x188E0063</ns0:t>
        </ns0:is>
      </ns0:c>
      <ns0:c r="M275" t="inlineStr">
        <ns0:is>
          <ns0:t>beq@0x00000054</ns0:t>
        </ns0:is>
      </ns0:c>
      <ns0:c r="N275">
        <ns0:f>IF(E275="FETCH",IF(COUNTIF($M$6:M275,M275)=1,1,0),0)</ns0:f>
        <ns0:v>0</ns0:v>
      </ns0:c>
      <ns0:c r="O275" t="inlineStr">
        <ns0:is>
          <ns0:t>ROM OK</ns0:t>
        </ns0:is>
      </ns0:c>
      <ns0:c r="P275">
        <ns0:f>IF(AND(E275="FETCH",F275="0x00000048"),C275-1,0)</ns0:f>
        <ns0:v>0</ns0:v>
      </ns0:c>
      <ns0:c r="Q275" s="15" t="inlineStr">
        <ns0:is>
          <ns0:t>E:00000009:00010029:00000054:188e0063</ns0:t>
        </ns0:is>
      </ns0:c>
    </ns0:row>
    <ns0:row r="276">
      <ns0:c r="A276" t="n">
        <ns0:v>12</ns0:v>
      </ns0:c>
      <ns0:c r="B276" t="inlineStr">
        <ns0:is>
          <ns0:t>0</ns0:t>
        </ns0:is>
      </ns0:c>
      <ns0:c r="C276" t="n">
        <ns0:v>11</ns0:v>
      </ns0:c>
      <ns0:c r="D276" t="n">
        <ns0:v>45</ns0:v>
      </ns0:c>
      <ns0:c r="E276" s="14" t="inlineStr">
        <ns0:is>
          <ns0:t>FETCH</ns0:t>
        </ns0:is>
      </ns0:c>
      <ns0:c r="F276" s="15" t="inlineStr">
        <ns0:is>
          <ns0:t>0x00000058</ns0:t>
        </ns0:is>
      </ns0:c>
      <ns0:c r="G276" s="15" t="inlineStr">
        <ns0:is>
          <ns0:t>0x03F00413</ns0:t>
        </ns0:is>
      </ns0:c>
      <ns0:c r="H276" s="15" t="inlineStr">
        <ns0:is>
          <ns0:t>addi s0, zero, 63</ns0:t>
        </ns0:is>
      </ns0:c>
      <ns0:c r="I276" t="inlineStr">
        <ns0:is>
          <ns0:t>addi</ns0:t>
        </ns0:is>
      </ns0:c>
      <ns0:c r="J276" t="inlineStr">
        <ns0:is>
          <ns0:t>CORE</ns0:t>
        </ns0:is>
      </ns0:c>
      <ns0:c r="K276" s="15" t="n">
        <ns0:v>12011</ns0:v>
      </ns0:c>
      <ns0:c r="L276" t="inlineStr">
        <ns0:is>
          <ns0:t>FETCH|0x00000058|0x03F00413</ns0:t>
        </ns0:is>
      </ns0:c>
      <ns0:c r="M276" t="inlineStr">
        <ns0:is>
          <ns0:t>addi@0x00000058</ns0:t>
        </ns0:is>
      </ns0:c>
      <ns0:c r="N276">
        <ns0:f>IF(E276="FETCH",IF(COUNTIF($M$6:M276,M276)=1,1,0),0)</ns0:f>
        <ns0:v>0</ns0:v>
      </ns0:c>
      <ns0:c r="O276" t="inlineStr">
        <ns0:is>
          <ns0:t>ROM OK</ns0:t>
        </ns0:is>
      </ns0:c>
      <ns0:c r="P276">
        <ns0:f>IF(AND(E276="FETCH",F276="0x00000048"),C276-1,0)</ns0:f>
        <ns0:v>0</ns0:v>
      </ns0:c>
      <ns0:c r="Q276" s="15" t="inlineStr">
        <ns0:is>
          <ns0:t>E:0000000a:0001002d:00000058:03f00413</ns0:t>
        </ns0:is>
      </ns0:c>
    </ns0:row>
    <ns0:row r="277">
      <ns0:c r="A277" t="n">
        <ns0:v>12</ns0:v>
      </ns0:c>
      <ns0:c r="B277" t="inlineStr">
        <ns0:is>
          <ns0:t>0</ns0:t>
        </ns0:is>
      </ns0:c>
      <ns0:c r="C277" t="n">
        <ns0:v>12</ns0:v>
      </ns0:c>
      <ns0:c r="D277" t="n">
        <ns0:v>49</ns0:v>
      </ns0:c>
      <ns0:c r="E277" s="14" t="inlineStr">
        <ns0:is>
          <ns0:t>FETCH</ns0:t>
        </ns0:is>
      </ns0:c>
      <ns0:c r="F277" s="15" t="inlineStr">
        <ns0:is>
          <ns0:t>0x0000005C</ns0:t>
        </ns0:is>
      </ns0:c>
      <ns0:c r="G277" s="15" t="inlineStr">
        <ns0:is>
          <ns0:t>0x0A8E0A63</ns0:t>
        </ns0:is>
      </ns0:c>
      <ns0:c r="H277" s="15" t="inlineStr">
        <ns0:is>
          <ns0:t>beq t3, s0, 0x00000110</ns0:t>
        </ns0:is>
      </ns0:c>
      <ns0:c r="I277" t="inlineStr">
        <ns0:is>
          <ns0:t>beq</ns0:t>
        </ns0:is>
      </ns0:c>
      <ns0:c r="J277" t="inlineStr">
        <ns0:is>
          <ns0:t>CORE</ns0:t>
        </ns0:is>
      </ns0:c>
      <ns0:c r="K277" s="15" t="n">
        <ns0:v>12012</ns0:v>
      </ns0:c>
      <ns0:c r="L277" t="inlineStr">
        <ns0:is>
          <ns0:t>FETCH|0x0000005C|0x0A8E0A63</ns0:t>
        </ns0:is>
      </ns0:c>
      <ns0:c r="M277" t="inlineStr">
        <ns0:is>
          <ns0:t>beq@0x0000005C</ns0:t>
        </ns0:is>
      </ns0:c>
      <ns0:c r="N277">
        <ns0:f>IF(E277="FETCH",IF(COUNTIF($M$6:M277,M277)=1,1,0),0)</ns0:f>
        <ns0:v>0</ns0:v>
      </ns0:c>
      <ns0:c r="O277" t="inlineStr">
        <ns0:is>
          <ns0:t>ROM OK</ns0:t>
        </ns0:is>
      </ns0:c>
      <ns0:c r="P277">
        <ns0:f>IF(AND(E277="FETCH",F277="0x00000048"),C277-1,0)</ns0:f>
        <ns0:v>0</ns0:v>
      </ns0:c>
      <ns0:c r="Q277" s="15" t="inlineStr">
        <ns0:is>
          <ns0:t>E:0000000b:00010031:0000005c:0a8e0a63</ns0:t>
        </ns0:is>
      </ns0:c>
    </ns0:row>
    <ns0:row r="278">
      <ns0:c r="A278" t="n">
        <ns0:v>12</ns0:v>
      </ns0:c>
      <ns0:c r="B278" t="inlineStr">
        <ns0:is>
          <ns0:t>0</ns0:t>
        </ns0:is>
      </ns0:c>
      <ns0:c r="C278" t="n">
        <ns0:v>13</ns0:v>
      </ns0:c>
      <ns0:c r="D278" t="n">
        <ns0:v>53</ns0:v>
      </ns0:c>
      <ns0:c r="E278" s="14" t="inlineStr">
        <ns0:is>
          <ns0:t>FETCH</ns0:t>
        </ns0:is>
      </ns0:c>
      <ns0:c r="F278" s="15" t="inlineStr">
        <ns0:is>
          <ns0:t>0x00000060</ns0:t>
        </ns0:is>
      </ns0:c>
      <ns0:c r="G278" s="15" t="inlineStr">
        <ns0:is>
          <ns0:t>0x03000413</ns0:t>
        </ns0:is>
      </ns0:c>
      <ns0:c r="H278" s="15" t="inlineStr">
        <ns0:is>
          <ns0:t>addi s0, zero, 48</ns0:t>
        </ns0:is>
      </ns0:c>
      <ns0:c r="I278" t="inlineStr">
        <ns0:is>
          <ns0:t>addi</ns0:t>
        </ns0:is>
      </ns0:c>
      <ns0:c r="J278" t="inlineStr">
        <ns0:is>
          <ns0:t>CORE</ns0:t>
        </ns0:is>
      </ns0:c>
      <ns0:c r="K278" s="15" t="n">
        <ns0:v>12013</ns0:v>
      </ns0:c>
      <ns0:c r="L278" t="inlineStr">
        <ns0:is>
          <ns0:t>FETCH|0x00000060|0x03000413</ns0:t>
        </ns0:is>
      </ns0:c>
      <ns0:c r="M278" t="inlineStr">
        <ns0:is>
          <ns0:t>addi@0x00000060</ns0:t>
        </ns0:is>
      </ns0:c>
      <ns0:c r="N278">
        <ns0:f>IF(E278="FETCH",IF(COUNTIF($M$6:M278,M278)=1,1,0),0)</ns0:f>
        <ns0:v>0</ns0:v>
      </ns0:c>
      <ns0:c r="O278" t="inlineStr">
        <ns0:is>
          <ns0:t>ROM OK</ns0:t>
        </ns0:is>
      </ns0:c>
      <ns0:c r="P278">
        <ns0:f>IF(AND(E278="FETCH",F278="0x00000048"),C278-1,0)</ns0:f>
        <ns0:v>0</ns0:v>
      </ns0:c>
      <ns0:c r="Q278" s="15" t="inlineStr">
        <ns0:is>
          <ns0:t>E:0000000c:00010035:00000060:03000413</ns0:t>
        </ns0:is>
      </ns0:c>
    </ns0:row>
    <ns0:row r="279">
      <ns0:c r="A279" t="n">
        <ns0:v>12</ns0:v>
      </ns0:c>
      <ns0:c r="B279" t="inlineStr">
        <ns0:is>
          <ns0:t>0</ns0:t>
        </ns0:is>
      </ns0:c>
      <ns0:c r="C279" t="n">
        <ns0:v>14</ns0:v>
      </ns0:c>
      <ns0:c r="D279" t="n">
        <ns0:v>57</ns0:v>
      </ns0:c>
      <ns0:c r="E279" s="14" t="inlineStr">
        <ns0:is>
          <ns0:t>FETCH</ns0:t>
        </ns0:is>
      </ns0:c>
      <ns0:c r="F279" s="15" t="inlineStr">
        <ns0:is>
          <ns0:t>0x00000064</ns0:t>
        </ns0:is>
      </ns0:c>
      <ns0:c r="G279" s="15" t="inlineStr">
        <ns0:is>
          <ns0:t>0x048E0463</ns0:t>
        </ns0:is>
      </ns0:c>
      <ns0:c r="H279" s="15" t="inlineStr">
        <ns0:is>
          <ns0:t>beq t3, s0, 0x000000AC</ns0:t>
        </ns0:is>
      </ns0:c>
      <ns0:c r="I279" t="inlineStr">
        <ns0:is>
          <ns0:t>beq</ns0:t>
        </ns0:is>
      </ns0:c>
      <ns0:c r="J279" t="inlineStr">
        <ns0:is>
          <ns0:t>CORE</ns0:t>
        </ns0:is>
      </ns0:c>
      <ns0:c r="K279" s="15" t="n">
        <ns0:v>12014</ns0:v>
      </ns0:c>
      <ns0:c r="L279" t="inlineStr">
        <ns0:is>
          <ns0:t>FETCH|0x00000064|0x048E0463</ns0:t>
        </ns0:is>
      </ns0:c>
      <ns0:c r="M279" t="inlineStr">
        <ns0:is>
          <ns0:t>beq@0x00000064</ns0:t>
        </ns0:is>
      </ns0:c>
      <ns0:c r="N279">
        <ns0:f>IF(E279="FETCH",IF(COUNTIF($M$6:M279,M279)=1,1,0),0)</ns0:f>
        <ns0:v>0</ns0:v>
      </ns0:c>
      <ns0:c r="O279" t="inlineStr">
        <ns0:is>
          <ns0:t>ROM OK</ns0:t>
        </ns0:is>
      </ns0:c>
      <ns0:c r="P279">
        <ns0:f>IF(AND(E279="FETCH",F279="0x00000048"),C279-1,0)</ns0:f>
        <ns0:v>0</ns0:v>
      </ns0:c>
      <ns0:c r="Q279" s="15" t="inlineStr">
        <ns0:is>
          <ns0:t>E:0000000d:00010039:00000064:048e0463</ns0:t>
        </ns0:is>
      </ns0:c>
    </ns0:row>
    <ns0:row r="280">
      <ns0:c r="A280" t="n">
        <ns0:v>12</ns0:v>
      </ns0:c>
      <ns0:c r="B280" t="inlineStr">
        <ns0:is>
          <ns0:t>0</ns0:t>
        </ns0:is>
      </ns0:c>
      <ns0:c r="C280" t="n">
        <ns0:v>15</ns0:v>
      </ns0:c>
      <ns0:c r="D280" t="n">
        <ns0:v>61</ns0:v>
      </ns0:c>
      <ns0:c r="E280" s="14" t="inlineStr">
        <ns0:is>
          <ns0:t>FETCH</ns0:t>
        </ns0:is>
      </ns0:c>
      <ns0:c r="F280" s="15" t="inlineStr">
        <ns0:is>
          <ns0:t>0x00000068</ns0:t>
        </ns0:is>
      </ns0:c>
      <ns0:c r="G280" s="15" t="inlineStr">
        <ns0:is>
          <ns0:t>0x03100413</ns0:t>
        </ns0:is>
      </ns0:c>
      <ns0:c r="H280" s="15" t="inlineStr">
        <ns0:is>
          <ns0:t>addi s0, zero, 49</ns0:t>
        </ns0:is>
      </ns0:c>
      <ns0:c r="I280" t="inlineStr">
        <ns0:is>
          <ns0:t>addi</ns0:t>
        </ns0:is>
      </ns0:c>
      <ns0:c r="J280" t="inlineStr">
        <ns0:is>
          <ns0:t>CORE</ns0:t>
        </ns0:is>
      </ns0:c>
      <ns0:c r="K280" s="15" t="n">
        <ns0:v>12015</ns0:v>
      </ns0:c>
      <ns0:c r="L280" t="inlineStr">
        <ns0:is>
          <ns0:t>FETCH|0x00000068|0x03100413</ns0:t>
        </ns0:is>
      </ns0:c>
      <ns0:c r="M280" t="inlineStr">
        <ns0:is>
          <ns0:t>addi@0x00000068</ns0:t>
        </ns0:is>
      </ns0:c>
      <ns0:c r="N280">
        <ns0:f>IF(E280="FETCH",IF(COUNTIF($M$6:M280,M280)=1,1,0),0)</ns0:f>
        <ns0:v>0</ns0:v>
      </ns0:c>
      <ns0:c r="O280" t="inlineStr">
        <ns0:is>
          <ns0:t>ROM OK</ns0:t>
        </ns0:is>
      </ns0:c>
      <ns0:c r="P280">
        <ns0:f>IF(AND(E280="FETCH",F280="0x00000048"),C280-1,0)</ns0:f>
        <ns0:v>0</ns0:v>
      </ns0:c>
      <ns0:c r="Q280" s="15" t="inlineStr">
        <ns0:is>
          <ns0:t>E:0000000e:0001003d:00000068:03100413</ns0:t>
        </ns0:is>
      </ns0:c>
    </ns0:row>
    <ns0:row r="281">
      <ns0:c r="A281" t="n">
        <ns0:v>12</ns0:v>
      </ns0:c>
      <ns0:c r="B281" t="inlineStr">
        <ns0:is>
          <ns0:t>0</ns0:t>
        </ns0:is>
      </ns0:c>
      <ns0:c r="C281" t="n">
        <ns0:v>16</ns0:v>
      </ns0:c>
      <ns0:c r="D281" t="n">
        <ns0:v>64</ns0:v>
      </ns0:c>
      <ns0:c r="E281" s="14" t="inlineStr">
        <ns0:is>
          <ns0:t>FETCH</ns0:t>
        </ns0:is>
      </ns0:c>
      <ns0:c r="F281" s="15" t="inlineStr">
        <ns0:is>
          <ns0:t>0x000000AC</ns0:t>
        </ns0:is>
      </ns0:c>
      <ns0:c r="G281" s="15" t="inlineStr">
        <ns0:is>
          <ns0:t>0x00000E93</ns0:t>
        </ns0:is>
      </ns0:c>
      <ns0:c r="H281" s="15" t="inlineStr">
        <ns0:is>
          <ns0:t>addi t4, zero, 0</ns0:t>
        </ns0:is>
      </ns0:c>
      <ns0:c r="I281" t="inlineStr">
        <ns0:is>
          <ns0:t>addi</ns0:t>
        </ns0:is>
      </ns0:c>
      <ns0:c r="J281" t="inlineStr">
        <ns0:is>
          <ns0:t>CORE</ns0:t>
        </ns0:is>
      </ns0:c>
      <ns0:c r="K281" s="15" t="n">
        <ns0:v>12016</ns0:v>
      </ns0:c>
      <ns0:c r="L281" t="inlineStr">
        <ns0:is>
          <ns0:t>FETCH|0x000000AC|0x00000E93</ns0:t>
        </ns0:is>
      </ns0:c>
      <ns0:c r="M281" t="inlineStr">
        <ns0:is>
          <ns0:t>addi@0x000000AC</ns0:t>
        </ns0:is>
      </ns0:c>
      <ns0:c r="N281">
        <ns0:f>IF(E281="FETCH",IF(COUNTIF($M$6:M281,M281)=1,1,0),0)</ns0:f>
        <ns0:v>0</ns0:v>
      </ns0:c>
      <ns0:c r="O281" t="inlineStr">
        <ns0:is>
          <ns0:t>ROM OK</ns0:t>
        </ns0:is>
      </ns0:c>
      <ns0:c r="P281">
        <ns0:f>IF(AND(E281="FETCH",F281="0x00000048"),C281-1,0)</ns0:f>
        <ns0:v>0</ns0:v>
      </ns0:c>
      <ns0:c r="Q281" s="15" t="inlineStr">
        <ns0:is>
          <ns0:t>E:0000000f:00010040:000000ac:00000e93</ns0:t>
        </ns0:is>
      </ns0:c>
    </ns0:row>
    <ns0:row r="282">
      <ns0:c r="A282" t="n">
        <ns0:v>12</ns0:v>
      </ns0:c>
      <ns0:c r="B282" t="inlineStr">
        <ns0:is>
          <ns0:t>0</ns0:t>
        </ns0:is>
      </ns0:c>
      <ns0:c r="C282" t="n">
        <ns0:v>17</ns0:v>
      </ns0:c>
      <ns0:c r="D282" t="n">
        <ns0:v>68</ns0:v>
      </ns0:c>
      <ns0:c r="E282" s="14" t="inlineStr">
        <ns0:is>
          <ns0:t>FETCH</ns0:t>
        </ns0:is>
      </ns0:c>
      <ns0:c r="F282" s="15" t="inlineStr">
        <ns0:is>
          <ns0:t>0x000000B0</ns0:t>
        </ns0:is>
      </ns0:c>
      <ns0:c r="G282" s="15" t="inlineStr">
        <ns0:is>
          <ns0:t>0x03000F13</ns0:t>
        </ns0:is>
      </ns0:c>
      <ns0:c r="H282" s="15" t="inlineStr">
        <ns0:is>
          <ns0:t>addi t5, zero, 48</ns0:t>
        </ns0:is>
      </ns0:c>
      <ns0:c r="I282" t="inlineStr">
        <ns0:is>
          <ns0:t>addi</ns0:t>
        </ns0:is>
      </ns0:c>
      <ns0:c r="J282" t="inlineStr">
        <ns0:is>
          <ns0:t>CORE</ns0:t>
        </ns0:is>
      </ns0:c>
      <ns0:c r="K282" s="15" t="n">
        <ns0:v>12017</ns0:v>
      </ns0:c>
      <ns0:c r="L282" t="inlineStr">
        <ns0:is>
          <ns0:t>FETCH|0x000000B0|0x03000F13</ns0:t>
        </ns0:is>
      </ns0:c>
      <ns0:c r="M282" t="inlineStr">
        <ns0:is>
          <ns0:t>addi@0x000000B0</ns0:t>
        </ns0:is>
      </ns0:c>
      <ns0:c r="N282">
        <ns0:f>IF(E282="FETCH",IF(COUNTIF($M$6:M282,M282)=1,1,0),0)</ns0:f>
        <ns0:v>0</ns0:v>
      </ns0:c>
      <ns0:c r="O282" t="inlineStr">
        <ns0:is>
          <ns0:t>ROM OK</ns0:t>
        </ns0:is>
      </ns0:c>
      <ns0:c r="P282">
        <ns0:f>IF(AND(E282="FETCH",F282="0x00000048"),C282-1,0)</ns0:f>
        <ns0:v>0</ns0:v>
      </ns0:c>
      <ns0:c r="Q282" s="15" t="inlineStr">
        <ns0:is>
          <ns0:t>E:00000010:00010044:000000b0:03000f13</ns0:t>
        </ns0:is>
      </ns0:c>
    </ns0:row>
    <ns0:row r="283">
      <ns0:c r="A283" t="n">
        <ns0:v>12</ns0:v>
      </ns0:c>
      <ns0:c r="B283" t="inlineStr">
        <ns0:is>
          <ns0:t>0</ns0:t>
        </ns0:is>
      </ns0:c>
      <ns0:c r="C283" t="n">
        <ns0:v>18</ns0:v>
      </ns0:c>
      <ns0:c r="D283" t="n">
        <ns0:v>72</ns0:v>
      </ns0:c>
      <ns0:c r="E283" s="14" t="inlineStr">
        <ns0:is>
          <ns0:t>FETCH</ns0:t>
        </ns0:is>
      </ns0:c>
      <ns0:c r="F283" s="15" t="inlineStr">
        <ns0:is>
          <ns0:t>0x000000B4</ns0:t>
        </ns0:is>
      </ns0:c>
      <ns0:c r="G283" s="15" t="inlineStr">
        <ns0:is>
          <ns0:t>0x04C0006F</ns0:t>
        </ns0:is>
      </ns0:c>
      <ns0:c r="H283" s="15" t="inlineStr">
        <ns0:is>
          <ns0:t>jal zero, 0x00000100</ns0:t>
        </ns0:is>
      </ns0:c>
      <ns0:c r="I283" t="inlineStr">
        <ns0:is>
          <ns0:t>jal</ns0:t>
        </ns0:is>
      </ns0:c>
      <ns0:c r="J283" t="inlineStr">
        <ns0:is>
          <ns0:t>CORE</ns0:t>
        </ns0:is>
      </ns0:c>
      <ns0:c r="K283" s="15" t="n">
        <ns0:v>12018</ns0:v>
      </ns0:c>
      <ns0:c r="L283" t="inlineStr">
        <ns0:is>
          <ns0:t>FETCH|0x000000B4|0x04C0006F</ns0:t>
        </ns0:is>
      </ns0:c>
      <ns0:c r="M283" t="inlineStr">
        <ns0:is>
          <ns0:t>jal@0x000000B4</ns0:t>
        </ns0:is>
      </ns0:c>
      <ns0:c r="N283">
        <ns0:f>IF(E283="FETCH",IF(COUNTIF($M$6:M283,M283)=1,1,0),0)</ns0:f>
        <ns0:v>0</ns0:v>
      </ns0:c>
      <ns0:c r="O283" t="inlineStr">
        <ns0:is>
          <ns0:t>ROM OK</ns0:t>
        </ns0:is>
      </ns0:c>
      <ns0:c r="P283">
        <ns0:f>IF(AND(E283="FETCH",F283="0x00000048"),C283-1,0)</ns0:f>
        <ns0:v>0</ns0:v>
      </ns0:c>
      <ns0:c r="Q283" s="15" t="inlineStr">
        <ns0:is>
          <ns0:t>E:00000011:00010048:000000b4:04c0006f</ns0:t>
        </ns0:is>
      </ns0:c>
    </ns0:row>
    <ns0:row r="284">
      <ns0:c r="A284" t="n">
        <ns0:v>12</ns0:v>
      </ns0:c>
      <ns0:c r="B284" t="inlineStr">
        <ns0:is>
          <ns0:t>0</ns0:t>
        </ns0:is>
      </ns0:c>
      <ns0:c r="C284" t="n">
        <ns0:v>19</ns0:v>
      </ns0:c>
      <ns0:c r="D284" t="n">
        <ns0:v>76</ns0:v>
      </ns0:c>
      <ns0:c r="E284" s="14" t="inlineStr">
        <ns0:is>
          <ns0:t>FETCH</ns0:t>
        </ns0:is>
      </ns0:c>
      <ns0:c r="F284" s="15" t="inlineStr">
        <ns0:is>
          <ns0:t>0x00000100</ns0:t>
        </ns0:is>
      </ns0:c>
      <ns0:c r="G284" s="15" t="inlineStr">
        <ns0:is>
          <ns0:t>0x01D2A023</ns0:t>
        </ns0:is>
      </ns0:c>
      <ns0:c r="H284" s="15" t="inlineStr">
        <ns0:is>
          <ns0:t>sw t4, 0(t0)</ns0:t>
        </ns0:is>
      </ns0:c>
      <ns0:c r="I284" t="inlineStr">
        <ns0:is>
          <ns0:t>sw</ns0:t>
        </ns0:is>
      </ns0:c>
      <ns0:c r="J284" t="inlineStr">
        <ns0:is>
          <ns0:t>CORE</ns0:t>
        </ns0:is>
      </ns0:c>
      <ns0:c r="K284" s="15" t="n">
        <ns0:v>12019</ns0:v>
      </ns0:c>
      <ns0:c r="L284" t="inlineStr">
        <ns0:is>
          <ns0:t>FETCH|0x00000100|0x01D2A023</ns0:t>
        </ns0:is>
      </ns0:c>
      <ns0:c r="M284" t="inlineStr">
        <ns0:is>
          <ns0:t>sw@0x00000100</ns0:t>
        </ns0:is>
      </ns0:c>
      <ns0:c r="N284">
        <ns0:f>IF(E284="FETCH",IF(COUNTIF($M$6:M284,M284)=1,1,0),0)</ns0:f>
        <ns0:v>0</ns0:v>
      </ns0:c>
      <ns0:c r="O284" t="inlineStr">
        <ns0:is>
          <ns0:t>ROM OK</ns0:t>
        </ns0:is>
      </ns0:c>
      <ns0:c r="P284">
        <ns0:f>IF(AND(E284="FETCH",F284="0x00000048"),C284-1,0)</ns0:f>
        <ns0:v>0</ns0:v>
      </ns0:c>
      <ns0:c r="Q284" s="15" t="inlineStr">
        <ns0:is>
          <ns0:t>E:00000012:0001004c:00000100:01d2a023</ns0:t>
        </ns0:is>
      </ns0:c>
    </ns0:row>
    <ns0:row r="285">
      <ns0:c r="A285" t="n">
        <ns0:v>12</ns0:v>
      </ns0:c>
      <ns0:c r="B285" t="inlineStr">
        <ns0:is>
          <ns0:t>0</ns0:t>
        </ns0:is>
      </ns0:c>
      <ns0:c r="C285" t="n">
        <ns0:v>20</ns0:v>
      </ns0:c>
      <ns0:c r="D285" t="n">
        <ns0:v>80</ns0:v>
      </ns0:c>
      <ns0:c r="E285" s="14" t="inlineStr">
        <ns0:is>
          <ns0:t>FETCH</ns0:t>
        </ns0:is>
      </ns0:c>
      <ns0:c r="F285" s="15" t="inlineStr">
        <ns0:is>
          <ns0:t>0x00000104</ns0:t>
        </ns0:is>
      </ns0:c>
      <ns0:c r="G285" s="15" t="inlineStr">
        <ns0:is>
          <ns0:t>0x0002AF83</ns0:t>
        </ns0:is>
      </ns0:c>
      <ns0:c r="H285" s="15" t="inlineStr">
        <ns0:is>
          <ns0:t>lw t6, 0(t0)</ns0:t>
        </ns0:is>
      </ns0:c>
      <ns0:c r="I285" t="inlineStr">
        <ns0:is>
          <ns0:t>lw</ns0:t>
        </ns0:is>
      </ns0:c>
      <ns0:c r="J285" t="inlineStr">
        <ns0:is>
          <ns0:t>CORE</ns0:t>
        </ns0:is>
      </ns0:c>
      <ns0:c r="K285" s="15" t="n">
        <ns0:v>12020</ns0:v>
      </ns0:c>
      <ns0:c r="L285" t="inlineStr">
        <ns0:is>
          <ns0:t>FETCH|0x00000104|0x0002AF83</ns0:t>
        </ns0:is>
      </ns0:c>
      <ns0:c r="M285" t="inlineStr">
        <ns0:is>
          <ns0:t>lw@0x00000104</ns0:t>
        </ns0:is>
      </ns0:c>
      <ns0:c r="N285">
        <ns0:f>IF(E285="FETCH",IF(COUNTIF($M$6:M285,M285)=1,1,0),0)</ns0:f>
        <ns0:v>0</ns0:v>
      </ns0:c>
      <ns0:c r="O285" t="inlineStr">
        <ns0:is>
          <ns0:t>ROM OK</ns0:t>
        </ns0:is>
      </ns0:c>
      <ns0:c r="P285">
        <ns0:f>IF(AND(E285="FETCH",F285="0x00000048"),C285-1,0)</ns0:f>
        <ns0:v>0</ns0:v>
      </ns0:c>
      <ns0:c r="Q285" s="15" t="inlineStr">
        <ns0:is>
          <ns0:t>E:00000013:00010050:00000104:0002af83</ns0:t>
        </ns0:is>
      </ns0:c>
    </ns0:row>
    <ns0:row r="286">
      <ns0:c r="A286" s="17" t="n">
        <ns0:v>12</ns0:v>
      </ns0:c>
      <ns0:c r="B286" s="17" t="inlineStr">
        <ns0:is>
          <ns0:t>0</ns0:t>
        </ns0:is>
      </ns0:c>
      <ns0:c r="C286" s="17" t="n">
        <ns0:v>21</ns0:v>
      </ns0:c>
      <ns0:c r="D286" s="17" t="n">
        <ns0:v>83</ns0:v>
      </ns0:c>
      <ns0:c r="E286" s="18" t="inlineStr">
        <ns0:is>
          <ns0:t>LED_WRITE</ns0:t>
        </ns0:is>
      </ns0:c>
      <ns0:c r="F286" s="19" t="inlineStr">
        <ns0:is>
          <ns0:t>0x20000000</ns0:t>
        </ns0:is>
      </ns0:c>
      <ns0:c r="G286" s="19" t="inlineStr">
        <ns0:is>
          <ns0:t>0x00000000</ns0:t>
        </ns0:is>
      </ns0:c>
      <ns0:c r="H286" s="19" t="inlineStr">
        <ns0:is>
          <ns0:t>MMIO GPIO write</ns0:t>
        </ns0:is>
      </ns0:c>
      <ns0:c r="I286" s="17" t="inlineStr">
        <ns0:is>
          <ns0:t>LED_WRITE</ns0:t>
        </ns0:is>
      </ns0:c>
      <ns0:c r="J286" s="17" t="inlineStr">
        <ns0:is>
          <ns0:t>MMIO</ns0:t>
        </ns0:is>
      </ns0:c>
      <ns0:c r="K286" s="19" t="n">
        <ns0:v>12021</ns0:v>
      </ns0:c>
      <ns0:c r="L286" s="17" t="inlineStr">
        <ns0:is>
          <ns0:t>LED_WRITE|0x20000000|0x00000000</ns0:t>
        </ns0:is>
      </ns0:c>
      <ns0:c r="M286" s="17" t="inlineStr"/>
      <ns0:c r="N286" s="17">
        <ns0:f>IF(E286="FETCH",IF(COUNTIF($M$6:M286,M286)=1,1,0),0)</ns0:f>
        <ns0:v>0</ns0:v>
      </ns0:c>
      <ns0:c r="O286" s="17" t="inlineStr">
        <ns0:is>
          <ns0:t>MMIO OK</ns0:t>
        </ns0:is>
      </ns0:c>
      <ns0:c r="P286" s="17">
        <ns0:f>IF(AND(E286="FETCH",F286="0x00000048"),C286-1,0)</ns0:f>
        <ns0:v>0</ns0:v>
      </ns0:c>
      <ns0:c r="Q286" s="19" t="inlineStr">
        <ns0:is>
          <ns0:t>E:00000014:00020053:20000000:00000000</ns0:t>
        </ns0:is>
      </ns0:c>
    </ns0:row>
  </ns0:sheetData>
  <ns0:autoFilter ref="A5:Q286"/>
  <ns0:mergeCells count="2">
    <ns0:mergeCell ref="A3:Q3"/>
    <ns0:mergeCell ref="A1:Q2"/>
  </ns0:mergeCells>
  <ns0:hyperlinks>
    <ns0:hyperlink ref="A4" location="'ИНСТРУКЦИЯ'!A1" display="СТАРТ"/>
    <ns0:hyperlink ref="B4" location="'ПУЛЬТ'!A1" display="НАБЛЮДЕНИЕ"/>
    <ns0:hyperlink ref="C4" location="'СРАВНЕНИЕ'!A1" display="СРАВНЕНИЕ"/>
    <ns0:hyperlink ref="D4" location="'МОДЕЛЬ MMIO'!A1" display="LED / MMIO"/>
    <ns0:hyperlink ref="E4" location="'КОМАНДЫ'!A1" display="КОМАНДЫ"/>
    <ns0:hyperlink ref="F4" location="'ЗАХВАТЫ'!A1" display="12 ТРАСС"/>
    <ns0:hyperlink ref="G4" location="'ДАННЫЕ T3'!A1" display="RAW T3"/>
    <ns0:hyperlink ref="H4" location="'ROM LAB03'!A1" display="ROM"/>
    <ns0:hyperlink ref="I4" location="'СЛОВАРЬ'!A1" display="ТЕРМИНЫ"/>
    <ns0:hyperlink ref="J4" location="'ИСТОЧНИКИ'!A1" display="ПРОИСХОЖДЕНИЕ"/>
    <ns0:hyperlink ref="K4" ns1:id="rId1"/>
    <ns0:hyperlink ref="L4" ns1:id="rId2"/>
  </ns0:hyperlinks>
  <ns0:printOptions horizontalCentered="0" gridLines="0"/>
  <ns0:pageMargins left="0.75" right="0.75" top="1" bottom="1" header="0.5" footer="0.5"/>
  <ns0:pageSetup fitToHeight="0" fitToWidth="1"/>
  <ns0:legacyDrawing ns1:id="anysvml"/>
</ns0:worksheet>
</file>

<file path=xl/worksheets/sheet3.xml><?xml version="1.0" encoding="utf-8"?>
<ns0:worksheet xmlns:ns0="http://schemas.openxmlformats.org/spreadsheetml/2006/main" xmlns:ns1="http://schemas.openxmlformats.org/officeDocument/2006/relationships">
  <ns0:sheetPr>
    <ns0:tabColor rgb="006754B2"/>
    <ns0:outlinePr summaryBelow="1" summaryRight="1"/>
    <ns0:pageSetUpPr fitToPage="1"/>
  </ns0:sheetPr>
  <ns0:dimension ref="A1:N261"/>
  <ns0:sheetViews>
    <ns0:sheetView showGridLines="0" zoomScale="80" workbookViewId="0">
      <ns0:pane xSplit="4" ySplit="5" topLeftCell="E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9"/>
  <ns0:cols>
    <ns0:col width="10" customWidth="1" min="1" max="1"/>
    <ns0:col width="19" customWidth="1" min="2" max="2"/>
    <ns0:col width="18" customWidth="1" min="3" max="3"/>
    <ns0:col width="13" customWidth="1" min="4" max="4"/>
    <ns0:col width="40" customWidth="1" min="5" max="5"/>
    <ns0:col width="14" customWidth="1" min="6" max="6"/>
    <ns0:col width="48" customWidth="1" min="7" max="7"/>
    <ns0:col width="15" customWidth="1" min="8" max="8"/>
    <ns0:col width="13" customWidth="1" min="9" max="9"/>
    <ns0:col width="36" customWidth="1" min="10" max="10"/>
    <ns0:col width="10" customWidth="1" min="11" max="11"/>
    <ns0:col width="12" customWidth="1" min="12" max="12"/>
    <ns0:col width="12" customWidth="1" min="13" max="13"/>
    <ns0:col width="12" customWidth="1" min="14" max="14"/>
  </ns0:cols>
  <ns0:sheetData>
    <ns0:row r="1" ht="26" customHeight="1">
      <ns0:c r="A1" s="1" t="inlineStr">
        <ns0:is>
          <ns0:t>ROM LAB-03  /  256 СЛОВ</ns0:t>
        </ns0:is>
      </ns0:c>
    </ns0:row>
    <ns0:row r="2" ht="20" customHeight="1"/>
    <ns0:row r="3" ht="29" customHeight="1">
      <ns0:c r="A3" s="3" t="inlineStr">
        <ns0:is>
          <ns0:t>202 активных инструкционных слова + 54 хвостовых NOP • адреса и коды из SHA-проверенного lab03_boot.hex</ns0:t>
        </ns0:is>
      </ns0:c>
    </ns0:row>
    <ns0:row r="4" ht="26" customHeight="1">
      <ns0:c r="A4" s="5" t="inlineStr">
        <ns0:is>
          <ns0:t>СТАРТ</ns0:t>
        </ns0:is>
      </ns0:c>
      <ns0:c r="B4" s="5" t="inlineStr">
        <ns0:is>
          <ns0:t>НАБЛЮДЕНИЕ</ns0:t>
        </ns0:is>
      </ns0:c>
      <ns0:c r="C4" s="5" t="inlineStr">
        <ns0:is>
          <ns0:t>СРАВНЕНИЕ</ns0:t>
        </ns0:is>
      </ns0:c>
      <ns0:c r="D4" s="5" t="inlineStr">
        <ns0:is>
          <ns0:t>LED / MMIO</ns0:t>
        </ns0:is>
      </ns0:c>
      <ns0:c r="E4" s="5" t="inlineStr">
        <ns0:is>
          <ns0:t>КОМАНДЫ</ns0:t>
        </ns0:is>
      </ns0:c>
      <ns0:c r="F4" s="5" t="inlineStr">
        <ns0:is>
          <ns0:t>12 ТРАСС</ns0:t>
        </ns0:is>
      </ns0:c>
      <ns0:c r="G4" s="5" t="inlineStr">
        <ns0:is>
          <ns0:t>RAW T3</ns0:t>
        </ns0:is>
      </ns0:c>
      <ns0:c r="H4" s="4" t="inlineStr">
        <ns0:is>
          <ns0:t>ROM</ns0:t>
        </ns0:is>
      </ns0:c>
      <ns0:c r="I4" s="5" t="inlineStr">
        <ns0:is>
          <ns0:t>ТЕРМИНЫ</ns0:t>
        </ns0:is>
      </ns0:c>
      <ns0:c r="J4" s="5" t="inlineStr">
        <ns0:is>
          <ns0:t>ПРОИСХОЖДЕНИЕ</ns0:t>
        </ns0:is>
      </ns0:c>
      <ns0:c r="K4" s="59" t="inlineStr">
        <ns0:is>
          <ns0:t>БИТЫ 202</ns0:t>
        </ns0:is>
      </ns0:c>
      <ns0:c r="L4" s="59" t="inlineStr">
        <ns0:is>
          <ns0:t>10 КАРТОЧЕК</ns0:t>
        </ns0:is>
      </ns0:c>
    </ns0:row>
    <ns0:row r="5" ht="35" customHeight="1">
      <ns0:c r="A5" s="13" t="inlineStr">
        <ns0:is>
          <ns0:t>№ ROM</ns0:t>
        </ns0:is>
      </ns0:c>
      <ns0:c r="B5" s="13" t="inlineStr">
        <ns0:is>
          <ns0:t>PC</ns0:t>
        </ns0:is>
      </ns0:c>
      <ns0:c r="C5" s="13" t="inlineStr">
        <ns0:is>
          <ns0:t>WORD</ns0:t>
        </ns0:is>
      </ns0:c>
      <ns0:c r="D5" s="13" t="inlineStr">
        <ns0:is>
          <ns0:t>Мнемоника</ns0:t>
        </ns0:is>
      </ns0:c>
      <ns0:c r="E5" s="13" t="inlineStr">
        <ns0:is>
          <ns0:t>Ассемблер</ns0:t>
        </ns0:is>
      </ns0:c>
      <ns0:c r="F5" s="13" t="inlineStr">
        <ns0:is>
          <ns0:t>Opcode (7 бит)</ns0:t>
        </ns0:is>
      </ns0:c>
      <ns0:c r="G5" s="13" t="inlineStr">
        <ns0:is>
          <ns0:t>Двоичное слово 32 бита</ns0:t>
        </ns0:is>
      </ns0:c>
      <ns0:c r="H5" s="13" t="inlineStr">
        <ns0:is>
          <ns0:t>Участок</ns0:t>
        </ns0:is>
      </ns0:c>
      <ns0:c r="I5" s="13" t="inlineStr">
        <ns0:is>
          <ns0:t>FETCH (12)</ns0:t>
        </ns0:is>
      </ns0:c>
      <ns0:c r="J5" s="13" t="inlineStr">
        <ns0:is>
          <ns0:t>Статус наблюдения</ns0:t>
        </ns0:is>
      </ns0:c>
    </ns0:row>
    <ns0:row r="6">
      <ns0:c r="A6" t="n">
        <ns0:v>0</ns0:v>
      </ns0:c>
      <ns0:c r="B6" s="15" t="inlineStr">
        <ns0:is>
          <ns0:t>0x00000000</ns0:t>
        </ns0:is>
      </ns0:c>
      <ns0:c r="C6" s="15" t="inlineStr">
        <ns0:is>
          <ns0:t>0x200002B7</ns0:t>
        </ns0:is>
      </ns0:c>
      <ns0:c r="D6" t="inlineStr">
        <ns0:is>
          <ns0:t>lui</ns0:t>
        </ns0:is>
      </ns0:c>
      <ns0:c r="E6" s="15" t="inlineStr">
        <ns0:is>
          <ns0:t>lui t0, 0x20000000</ns0:t>
        </ns0:is>
      </ns0:c>
      <ns0:c r="F6" s="15" t="inlineStr">
        <ns0:is>
          <ns0:t>0110111</ns0:t>
        </ns0:is>
      </ns0:c>
      <ns0:c r="G6" s="15" t="inlineStr">
        <ns0:is>
          <ns0:t>0010 0000 0000 0000 0000 0010 1011 0111</ns0:t>
        </ns0:is>
      </ns0:c>
      <ns0:c r="H6" t="inlineStr">
        <ns0:is>
          <ns0:t>КОД</ns0:t>
        </ns0:is>
      </ns0:c>
      <ns0:c r="I6">
        <ns0:f>COUNTIF('ДАННЫЕ T3'!$F$6:$F$286,B6)</ns0:f>
        <ns0:v>0</ns0:v>
      </ns0:c>
      <ns0:c r="J6" t="str">
        <ns0:f>IF(I6&gt;0,"FETCH зарегистрирован","Нет FETCH в окне")</ns0:f>
        <ns0:v>Нет FETCH в окне</ns0:v>
      </ns0:c>
    </ns0:row>
    <ns0:row r="7">
      <ns0:c r="A7" t="n">
        <ns0:v>1</ns0:v>
      </ns0:c>
      <ns0:c r="B7" s="15" t="inlineStr">
        <ns0:is>
          <ns0:t>0x00000004</ns0:t>
        </ns0:is>
      </ns0:c>
      <ns0:c r="C7" s="15" t="inlineStr">
        <ns0:is>
          <ns0:t>0x0002A023</ns0:t>
        </ns0:is>
      </ns0:c>
      <ns0:c r="D7" t="inlineStr">
        <ns0:is>
          <ns0:t>sw</ns0:t>
        </ns0:is>
      </ns0:c>
      <ns0:c r="E7" s="15" t="inlineStr">
        <ns0:is>
          <ns0:t>sw zero, 0(t0)</ns0:t>
        </ns0:is>
      </ns0:c>
      <ns0:c r="F7" s="15" t="inlineStr">
        <ns0:is>
          <ns0:t>0100011</ns0:t>
        </ns0:is>
      </ns0:c>
      <ns0:c r="G7" s="15" t="inlineStr">
        <ns0:is>
          <ns0:t>0000 0000 0000 0010 1010 0000 0010 0011</ns0:t>
        </ns0:is>
      </ns0:c>
      <ns0:c r="H7" t="inlineStr">
        <ns0:is>
          <ns0:t>КОД</ns0:t>
        </ns0:is>
      </ns0:c>
      <ns0:c r="I7">
        <ns0:f>COUNTIF('ДАННЫЕ T3'!$F$6:$F$286,B7)</ns0:f>
        <ns0:v>0</ns0:v>
      </ns0:c>
      <ns0:c r="J7" t="str">
        <ns0:f>IF(I7&gt;0,"FETCH зарегистрирован","Нет FETCH в окне")</ns0:f>
        <ns0:v>Нет FETCH в окне</ns0:v>
      </ns0:c>
    </ns0:row>
    <ns0:row r="8">
      <ns0:c r="A8" t="n">
        <ns0:v>2</ns0:v>
      </ns0:c>
      <ns0:c r="B8" s="15" t="inlineStr">
        <ns0:is>
          <ns0:t>0x00000008</ns0:t>
        </ns0:is>
      </ns0:c>
      <ns0:c r="C8" s="15" t="inlineStr">
        <ns0:is>
          <ns0:t>0x05200313</ns0:t>
        </ns0:is>
      </ns0:c>
      <ns0:c r="D8" t="inlineStr">
        <ns0:is>
          <ns0:t>addi</ns0:t>
        </ns0:is>
      </ns0:c>
      <ns0:c r="E8" s="15" t="inlineStr">
        <ns0:is>
          <ns0:t>addi t1, zero, 82</ns0:t>
        </ns0:is>
      </ns0:c>
      <ns0:c r="F8" s="15" t="inlineStr">
        <ns0:is>
          <ns0:t>0010011</ns0:t>
        </ns0:is>
      </ns0:c>
      <ns0:c r="G8" s="15" t="inlineStr">
        <ns0:is>
          <ns0:t>0000 0101 0010 0000 0000 0011 0001 0011</ns0:t>
        </ns0:is>
      </ns0:c>
      <ns0:c r="H8" t="inlineStr">
        <ns0:is>
          <ns0:t>КОД</ns0:t>
        </ns0:is>
      </ns0:c>
      <ns0:c r="I8">
        <ns0:f>COUNTIF('ДАННЫЕ T3'!$F$6:$F$286,B8)</ns0:f>
        <ns0:v>0</ns0:v>
      </ns0:c>
      <ns0:c r="J8" t="str">
        <ns0:f>IF(I8&gt;0,"FETCH зарегистрирован","Нет FETCH в окне")</ns0:f>
        <ns0:v>Нет FETCH в окне</ns0:v>
      </ns0:c>
    </ns0:row>
    <ns0:row r="9">
      <ns0:c r="A9" t="n">
        <ns0:v>3</ns0:v>
      </ns0:c>
      <ns0:c r="B9" s="15" t="inlineStr">
        <ns0:is>
          <ns0:t>0x0000000C</ns0:t>
        </ns0:is>
      </ns0:c>
      <ns0:c r="C9" s="15" t="inlineStr">
        <ns0:is>
          <ns0:t>0x308000EF</ns0:t>
        </ns0:is>
      </ns0:c>
      <ns0:c r="D9" t="inlineStr">
        <ns0:is>
          <ns0:t>jal</ns0:t>
        </ns0:is>
      </ns0:c>
      <ns0:c r="E9" s="15" t="inlineStr">
        <ns0:is>
          <ns0:t>jal ra, 0x00000314</ns0:t>
        </ns0:is>
      </ns0:c>
      <ns0:c r="F9" s="15" t="inlineStr">
        <ns0:is>
          <ns0:t>1101111</ns0:t>
        </ns0:is>
      </ns0:c>
      <ns0:c r="G9" s="15" t="inlineStr">
        <ns0:is>
          <ns0:t>0011 0000 1000 0000 0000 0000 1110 1111</ns0:t>
        </ns0:is>
      </ns0:c>
      <ns0:c r="H9" t="inlineStr">
        <ns0:is>
          <ns0:t>КОД</ns0:t>
        </ns0:is>
      </ns0:c>
      <ns0:c r="I9">
        <ns0:f>COUNTIF('ДАННЫЕ T3'!$F$6:$F$286,B9)</ns0:f>
        <ns0:v>0</ns0:v>
      </ns0:c>
      <ns0:c r="J9" t="str">
        <ns0:f>IF(I9&gt;0,"FETCH зарегистрирован","Нет FETCH в окне")</ns0:f>
        <ns0:v>Нет FETCH в окне</ns0:v>
      </ns0:c>
    </ns0:row>
    <ns0:row r="10">
      <ns0:c r="A10" t="n">
        <ns0:v>4</ns0:v>
      </ns0:c>
      <ns0:c r="B10" s="15" t="inlineStr">
        <ns0:is>
          <ns0:t>0x00000010</ns0:t>
        </ns0:is>
      </ns0:c>
      <ns0:c r="C10" s="15" t="inlineStr">
        <ns0:is>
          <ns0:t>0x04500313</ns0:t>
        </ns0:is>
      </ns0:c>
      <ns0:c r="D10" t="inlineStr">
        <ns0:is>
          <ns0:t>addi</ns0:t>
        </ns0:is>
      </ns0:c>
      <ns0:c r="E10" s="15" t="inlineStr">
        <ns0:is>
          <ns0:t>addi t1, zero, 69</ns0:t>
        </ns0:is>
      </ns0:c>
      <ns0:c r="F10" s="15" t="inlineStr">
        <ns0:is>
          <ns0:t>0010011</ns0:t>
        </ns0:is>
      </ns0:c>
      <ns0:c r="G10" s="15" t="inlineStr">
        <ns0:is>
          <ns0:t>0000 0100 0101 0000 0000 0011 0001 0011</ns0:t>
        </ns0:is>
      </ns0:c>
      <ns0:c r="H10" t="inlineStr">
        <ns0:is>
          <ns0:t>КОД</ns0:t>
        </ns0:is>
      </ns0:c>
      <ns0:c r="I10">
        <ns0:f>COUNTIF('ДАННЫЕ T3'!$F$6:$F$286,B10)</ns0:f>
        <ns0:v>0</ns0:v>
      </ns0:c>
      <ns0:c r="J10" t="str">
        <ns0:f>IF(I10&gt;0,"FETCH зарегистрирован","Нет FETCH в окне")</ns0:f>
        <ns0:v>Нет FETCH в окне</ns0:v>
      </ns0:c>
    </ns0:row>
    <ns0:row r="11">
      <ns0:c r="A11" t="n">
        <ns0:v>5</ns0:v>
      </ns0:c>
      <ns0:c r="B11" s="15" t="inlineStr">
        <ns0:is>
          <ns0:t>0x00000014</ns0:t>
        </ns0:is>
      </ns0:c>
      <ns0:c r="C11" s="15" t="inlineStr">
        <ns0:is>
          <ns0:t>0x300000EF</ns0:t>
        </ns0:is>
      </ns0:c>
      <ns0:c r="D11" t="inlineStr">
        <ns0:is>
          <ns0:t>jal</ns0:t>
        </ns0:is>
      </ns0:c>
      <ns0:c r="E11" s="15" t="inlineStr">
        <ns0:is>
          <ns0:t>jal ra, 0x00000314</ns0:t>
        </ns0:is>
      </ns0:c>
      <ns0:c r="F11" s="15" t="inlineStr">
        <ns0:is>
          <ns0:t>1101111</ns0:t>
        </ns0:is>
      </ns0:c>
      <ns0:c r="G11" s="15" t="inlineStr">
        <ns0:is>
          <ns0:t>0011 0000 0000 0000 0000 0000 1110 1111</ns0:t>
        </ns0:is>
      </ns0:c>
      <ns0:c r="H11" t="inlineStr">
        <ns0:is>
          <ns0:t>КОД</ns0:t>
        </ns0:is>
      </ns0:c>
      <ns0:c r="I11">
        <ns0:f>COUNTIF('ДАННЫЕ T3'!$F$6:$F$286,B11)</ns0:f>
        <ns0:v>0</ns0:v>
      </ns0:c>
      <ns0:c r="J11" t="str">
        <ns0:f>IF(I11&gt;0,"FETCH зарегистрирован","Нет FETCH в окне")</ns0:f>
        <ns0:v>Нет FETCH в окне</ns0:v>
      </ns0:c>
    </ns0:row>
    <ns0:row r="12">
      <ns0:c r="A12" t="n">
        <ns0:v>6</ns0:v>
      </ns0:c>
      <ns0:c r="B12" s="15" t="inlineStr">
        <ns0:is>
          <ns0:t>0x00000018</ns0:t>
        </ns0:is>
      </ns0:c>
      <ns0:c r="C12" s="15" t="inlineStr">
        <ns0:is>
          <ns0:t>0x04100313</ns0:t>
        </ns0:is>
      </ns0:c>
      <ns0:c r="D12" t="inlineStr">
        <ns0:is>
          <ns0:t>addi</ns0:t>
        </ns0:is>
      </ns0:c>
      <ns0:c r="E12" s="15" t="inlineStr">
        <ns0:is>
          <ns0:t>addi t1, zero, 65</ns0:t>
        </ns0:is>
      </ns0:c>
      <ns0:c r="F12" s="15" t="inlineStr">
        <ns0:is>
          <ns0:t>0010011</ns0:t>
        </ns0:is>
      </ns0:c>
      <ns0:c r="G12" s="15" t="inlineStr">
        <ns0:is>
          <ns0:t>0000 0100 0001 0000 0000 0011 0001 0011</ns0:t>
        </ns0:is>
      </ns0:c>
      <ns0:c r="H12" t="inlineStr">
        <ns0:is>
          <ns0:t>КОД</ns0:t>
        </ns0:is>
      </ns0:c>
      <ns0:c r="I12">
        <ns0:f>COUNTIF('ДАННЫЕ T3'!$F$6:$F$286,B12)</ns0:f>
        <ns0:v>0</ns0:v>
      </ns0:c>
      <ns0:c r="J12" t="str">
        <ns0:f>IF(I12&gt;0,"FETCH зарегистрирован","Нет FETCH в окне")</ns0:f>
        <ns0:v>Нет FETCH в окне</ns0:v>
      </ns0:c>
    </ns0:row>
    <ns0:row r="13">
      <ns0:c r="A13" t="n">
        <ns0:v>7</ns0:v>
      </ns0:c>
      <ns0:c r="B13" s="15" t="inlineStr">
        <ns0:is>
          <ns0:t>0x0000001C</ns0:t>
        </ns0:is>
      </ns0:c>
      <ns0:c r="C13" s="15" t="inlineStr">
        <ns0:is>
          <ns0:t>0x2F8000EF</ns0:t>
        </ns0:is>
      </ns0:c>
      <ns0:c r="D13" t="inlineStr">
        <ns0:is>
          <ns0:t>jal</ns0:t>
        </ns0:is>
      </ns0:c>
      <ns0:c r="E13" s="15" t="inlineStr">
        <ns0:is>
          <ns0:t>jal ra, 0x00000314</ns0:t>
        </ns0:is>
      </ns0:c>
      <ns0:c r="F13" s="15" t="inlineStr">
        <ns0:is>
          <ns0:t>1101111</ns0:t>
        </ns0:is>
      </ns0:c>
      <ns0:c r="G13" s="15" t="inlineStr">
        <ns0:is>
          <ns0:t>0010 1111 1000 0000 0000 0000 1110 1111</ns0:t>
        </ns0:is>
      </ns0:c>
      <ns0:c r="H13" t="inlineStr">
        <ns0:is>
          <ns0:t>КОД</ns0:t>
        </ns0:is>
      </ns0:c>
      <ns0:c r="I13">
        <ns0:f>COUNTIF('ДАННЫЕ T3'!$F$6:$F$286,B13)</ns0:f>
        <ns0:v>0</ns0:v>
      </ns0:c>
      <ns0:c r="J13" t="str">
        <ns0:f>IF(I13&gt;0,"FETCH зарегистрирован","Нет FETCH в окне")</ns0:f>
        <ns0:v>Нет FETCH в окне</ns0:v>
      </ns0:c>
    </ns0:row>
    <ns0:row r="14">
      <ns0:c r="A14" t="n">
        <ns0:v>8</ns0:v>
      </ns0:c>
      <ns0:c r="B14" s="15" t="inlineStr">
        <ns0:is>
          <ns0:t>0x00000020</ns0:t>
        </ns0:is>
      </ns0:c>
      <ns0:c r="C14" s="15" t="inlineStr">
        <ns0:is>
          <ns0:t>0x04400313</ns0:t>
        </ns0:is>
      </ns0:c>
      <ns0:c r="D14" t="inlineStr">
        <ns0:is>
          <ns0:t>addi</ns0:t>
        </ns0:is>
      </ns0:c>
      <ns0:c r="E14" s="15" t="inlineStr">
        <ns0:is>
          <ns0:t>addi t1, zero, 68</ns0:t>
        </ns0:is>
      </ns0:c>
      <ns0:c r="F14" s="15" t="inlineStr">
        <ns0:is>
          <ns0:t>0010011</ns0:t>
        </ns0:is>
      </ns0:c>
      <ns0:c r="G14" s="15" t="inlineStr">
        <ns0:is>
          <ns0:t>0000 0100 0100 0000 0000 0011 0001 0011</ns0:t>
        </ns0:is>
      </ns0:c>
      <ns0:c r="H14" t="inlineStr">
        <ns0:is>
          <ns0:t>КОД</ns0:t>
        </ns0:is>
      </ns0:c>
      <ns0:c r="I14">
        <ns0:f>COUNTIF('ДАННЫЕ T3'!$F$6:$F$286,B14)</ns0:f>
        <ns0:v>0</ns0:v>
      </ns0:c>
      <ns0:c r="J14" t="str">
        <ns0:f>IF(I14&gt;0,"FETCH зарегистрирован","Нет FETCH в окне")</ns0:f>
        <ns0:v>Нет FETCH в окне</ns0:v>
      </ns0:c>
    </ns0:row>
    <ns0:row r="15">
      <ns0:c r="A15" t="n">
        <ns0:v>9</ns0:v>
      </ns0:c>
      <ns0:c r="B15" s="15" t="inlineStr">
        <ns0:is>
          <ns0:t>0x00000024</ns0:t>
        </ns0:is>
      </ns0:c>
      <ns0:c r="C15" s="15" t="inlineStr">
        <ns0:is>
          <ns0:t>0x2F0000EF</ns0:t>
        </ns0:is>
      </ns0:c>
      <ns0:c r="D15" t="inlineStr">
        <ns0:is>
          <ns0:t>jal</ns0:t>
        </ns0:is>
      </ns0:c>
      <ns0:c r="E15" s="15" t="inlineStr">
        <ns0:is>
          <ns0:t>jal ra, 0x00000314</ns0:t>
        </ns0:is>
      </ns0:c>
      <ns0:c r="F15" s="15" t="inlineStr">
        <ns0:is>
          <ns0:t>1101111</ns0:t>
        </ns0:is>
      </ns0:c>
      <ns0:c r="G15" s="15" t="inlineStr">
        <ns0:is>
          <ns0:t>0010 1111 0000 0000 0000 0000 1110 1111</ns0:t>
        </ns0:is>
      </ns0:c>
      <ns0:c r="H15" t="inlineStr">
        <ns0:is>
          <ns0:t>КОД</ns0:t>
        </ns0:is>
      </ns0:c>
      <ns0:c r="I15">
        <ns0:f>COUNTIF('ДАННЫЕ T3'!$F$6:$F$286,B15)</ns0:f>
        <ns0:v>0</ns0:v>
      </ns0:c>
      <ns0:c r="J15" t="str">
        <ns0:f>IF(I15&gt;0,"FETCH зарегистрирован","Нет FETCH в окне")</ns0:f>
        <ns0:v>Нет FETCH в окне</ns0:v>
      </ns0:c>
    </ns0:row>
    <ns0:row r="16">
      <ns0:c r="A16" t="n">
        <ns0:v>10</ns0:v>
      </ns0:c>
      <ns0:c r="B16" s="15" t="inlineStr">
        <ns0:is>
          <ns0:t>0x00000028</ns0:t>
        </ns0:is>
      </ns0:c>
      <ns0:c r="C16" s="15" t="inlineStr">
        <ns0:is>
          <ns0:t>0x05900313</ns0:t>
        </ns0:is>
      </ns0:c>
      <ns0:c r="D16" t="inlineStr">
        <ns0:is>
          <ns0:t>addi</ns0:t>
        </ns0:is>
      </ns0:c>
      <ns0:c r="E16" s="15" t="inlineStr">
        <ns0:is>
          <ns0:t>addi t1, zero, 89</ns0:t>
        </ns0:is>
      </ns0:c>
      <ns0:c r="F16" s="15" t="inlineStr">
        <ns0:is>
          <ns0:t>0010011</ns0:t>
        </ns0:is>
      </ns0:c>
      <ns0:c r="G16" s="15" t="inlineStr">
        <ns0:is>
          <ns0:t>0000 0101 1001 0000 0000 0011 0001 0011</ns0:t>
        </ns0:is>
      </ns0:c>
      <ns0:c r="H16" t="inlineStr">
        <ns0:is>
          <ns0:t>КОД</ns0:t>
        </ns0:is>
      </ns0:c>
      <ns0:c r="I16">
        <ns0:f>COUNTIF('ДАННЫЕ T3'!$F$6:$F$286,B16)</ns0:f>
        <ns0:v>0</ns0:v>
      </ns0:c>
      <ns0:c r="J16" t="str">
        <ns0:f>IF(I16&gt;0,"FETCH зарегистрирован","Нет FETCH в окне")</ns0:f>
        <ns0:v>Нет FETCH в окне</ns0:v>
      </ns0:c>
    </ns0:row>
    <ns0:row r="17">
      <ns0:c r="A17" t="n">
        <ns0:v>11</ns0:v>
      </ns0:c>
      <ns0:c r="B17" s="15" t="inlineStr">
        <ns0:is>
          <ns0:t>0x0000002C</ns0:t>
        </ns0:is>
      </ns0:c>
      <ns0:c r="C17" s="15" t="inlineStr">
        <ns0:is>
          <ns0:t>0x2E8000EF</ns0:t>
        </ns0:is>
      </ns0:c>
      <ns0:c r="D17" t="inlineStr">
        <ns0:is>
          <ns0:t>jal</ns0:t>
        </ns0:is>
      </ns0:c>
      <ns0:c r="E17" s="15" t="inlineStr">
        <ns0:is>
          <ns0:t>jal ra, 0x00000314</ns0:t>
        </ns0:is>
      </ns0:c>
      <ns0:c r="F17" s="15" t="inlineStr">
        <ns0:is>
          <ns0:t>1101111</ns0:t>
        </ns0:is>
      </ns0:c>
      <ns0:c r="G17" s="15" t="inlineStr">
        <ns0:is>
          <ns0:t>0010 1110 1000 0000 0000 0000 1110 1111</ns0:t>
        </ns0:is>
      </ns0:c>
      <ns0:c r="H17" t="inlineStr">
        <ns0:is>
          <ns0:t>КОД</ns0:t>
        </ns0:is>
      </ns0:c>
      <ns0:c r="I17">
        <ns0:f>COUNTIF('ДАННЫЕ T3'!$F$6:$F$286,B17)</ns0:f>
        <ns0:v>0</ns0:v>
      </ns0:c>
      <ns0:c r="J17" t="str">
        <ns0:f>IF(I17&gt;0,"FETCH зарегистрирован","Нет FETCH в окне")</ns0:f>
        <ns0:v>Нет FETCH в окне</ns0:v>
      </ns0:c>
    </ns0:row>
    <ns0:row r="18">
      <ns0:c r="A18" t="n">
        <ns0:v>12</ns0:v>
      </ns0:c>
      <ns0:c r="B18" s="15" t="inlineStr">
        <ns0:is>
          <ns0:t>0x00000030</ns0:t>
        </ns0:is>
      </ns0:c>
      <ns0:c r="C18" s="15" t="inlineStr">
        <ns0:is>
          <ns0:t>0x00A00313</ns0:t>
        </ns0:is>
      </ns0:c>
      <ns0:c r="D18" t="inlineStr">
        <ns0:is>
          <ns0:t>addi</ns0:t>
        </ns0:is>
      </ns0:c>
      <ns0:c r="E18" s="15" t="inlineStr">
        <ns0:is>
          <ns0:t>addi t1, zero, 10</ns0:t>
        </ns0:is>
      </ns0:c>
      <ns0:c r="F18" s="15" t="inlineStr">
        <ns0:is>
          <ns0:t>0010011</ns0:t>
        </ns0:is>
      </ns0:c>
      <ns0:c r="G18" s="15" t="inlineStr">
        <ns0:is>
          <ns0:t>0000 0000 1010 0000 0000 0011 0001 0011</ns0:t>
        </ns0:is>
      </ns0:c>
      <ns0:c r="H18" t="inlineStr">
        <ns0:is>
          <ns0:t>КОД</ns0:t>
        </ns0:is>
      </ns0:c>
      <ns0:c r="I18">
        <ns0:f>COUNTIF('ДАННЫЕ T3'!$F$6:$F$286,B18)</ns0:f>
        <ns0:v>0</ns0:v>
      </ns0:c>
      <ns0:c r="J18" t="str">
        <ns0:f>IF(I18&gt;0,"FETCH зарегистрирован","Нет FETCH в окне")</ns0:f>
        <ns0:v>Нет FETCH в окне</ns0:v>
      </ns0:c>
    </ns0:row>
    <ns0:row r="19">
      <ns0:c r="A19" t="n">
        <ns0:v>13</ns0:v>
      </ns0:c>
      <ns0:c r="B19" s="15" t="inlineStr">
        <ns0:is>
          <ns0:t>0x00000034</ns0:t>
        </ns0:is>
      </ns0:c>
      <ns0:c r="C19" s="15" t="inlineStr">
        <ns0:is>
          <ns0:t>0x2E0000EF</ns0:t>
        </ns0:is>
      </ns0:c>
      <ns0:c r="D19" t="inlineStr">
        <ns0:is>
          <ns0:t>jal</ns0:t>
        </ns0:is>
      </ns0:c>
      <ns0:c r="E19" s="15" t="inlineStr">
        <ns0:is>
          <ns0:t>jal ra, 0x00000314</ns0:t>
        </ns0:is>
      </ns0:c>
      <ns0:c r="F19" s="15" t="inlineStr">
        <ns0:is>
          <ns0:t>1101111</ns0:t>
        </ns0:is>
      </ns0:c>
      <ns0:c r="G19" s="15" t="inlineStr">
        <ns0:is>
          <ns0:t>0010 1110 0000 0000 0000 0000 1110 1111</ns0:t>
        </ns0:is>
      </ns0:c>
      <ns0:c r="H19" t="inlineStr">
        <ns0:is>
          <ns0:t>КОД</ns0:t>
        </ns0:is>
      </ns0:c>
      <ns0:c r="I19">
        <ns0:f>COUNTIF('ДАННЫЕ T3'!$F$6:$F$286,B19)</ns0:f>
        <ns0:v>0</ns0:v>
      </ns0:c>
      <ns0:c r="J19" t="str">
        <ns0:f>IF(I19&gt;0,"FETCH зарегистрирован","Нет FETCH в окне")</ns0:f>
        <ns0:v>Нет FETCH в окне</ns0:v>
      </ns0:c>
    </ns0:row>
    <ns0:row r="20">
      <ns0:c r="A20" t="n">
        <ns0:v>14</ns0:v>
      </ns0:c>
      <ns0:c r="B20" s="15" t="inlineStr">
        <ns0:is>
          <ns0:t>0x00000038</ns0:t>
        </ns0:is>
      </ns0:c>
      <ns0:c r="C20" s="15" t="inlineStr">
        <ns0:is>
          <ns0:t>0x01C2A383</ns0:t>
        </ns0:is>
      </ns0:c>
      <ns0:c r="D20" t="inlineStr">
        <ns0:is>
          <ns0:t>lw</ns0:t>
        </ns0:is>
      </ns0:c>
      <ns0:c r="E20" s="15" t="inlineStr">
        <ns0:is>
          <ns0:t>lw t2, 28(t0)</ns0:t>
        </ns0:is>
      </ns0:c>
      <ns0:c r="F20" s="15" t="inlineStr">
        <ns0:is>
          <ns0:t>0000011</ns0:t>
        </ns0:is>
      </ns0:c>
      <ns0:c r="G20" s="15" t="inlineStr">
        <ns0:is>
          <ns0:t>0000 0001 1100 0010 1010 0011 1000 0011</ns0:t>
        </ns0:is>
      </ns0:c>
      <ns0:c r="H20" t="inlineStr">
        <ns0:is>
          <ns0:t>КОД</ns0:t>
        </ns0:is>
      </ns0:c>
      <ns0:c r="I20" s="20">
        <ns0:f>COUNTIF('ДАННЫЕ T3'!$F$6:$F$286,B20)</ns0:f>
        <ns0:v>8</ns0:v>
      </ns0:c>
      <ns0:c r="J20" t="str">
        <ns0:f>IF(I20&gt;0,"FETCH зарегистрирован","Нет FETCH в окне")</ns0:f>
        <ns0:v>FETCH зарегистрирован</ns0:v>
      </ns0:c>
    </ns0:row>
    <ns0:row r="21">
      <ns0:c r="A21" t="n">
        <ns0:v>15</ns0:v>
      </ns0:c>
      <ns0:c r="B21" s="15" t="inlineStr">
        <ns0:is>
          <ns0:t>0x0000003C</ns0:t>
        </ns0:is>
      </ns0:c>
      <ns0:c r="C21" s="15" t="inlineStr">
        <ns0:is>
          <ns0:t>0x0013F393</ns0:t>
        </ns0:is>
      </ns0:c>
      <ns0:c r="D21" t="inlineStr">
        <ns0:is>
          <ns0:t>andi</ns0:t>
        </ns0:is>
      </ns0:c>
      <ns0:c r="E21" s="15" t="inlineStr">
        <ns0:is>
          <ns0:t>andi t2, t2, 1</ns0:t>
        </ns0:is>
      </ns0:c>
      <ns0:c r="F21" s="15" t="inlineStr">
        <ns0:is>
          <ns0:t>0010011</ns0:t>
        </ns0:is>
      </ns0:c>
      <ns0:c r="G21" s="15" t="inlineStr">
        <ns0:is>
          <ns0:t>0000 0000 0001 0011 1111 0011 1001 0011</ns0:t>
        </ns0:is>
      </ns0:c>
      <ns0:c r="H21" t="inlineStr">
        <ns0:is>
          <ns0:t>КОД</ns0:t>
        </ns0:is>
      </ns0:c>
      <ns0:c r="I21" s="20">
        <ns0:f>COUNTIF('ДАННЫЕ T3'!$F$6:$F$286,B21)</ns0:f>
        <ns0:v>11</ns0:v>
      </ns0:c>
      <ns0:c r="J21" t="str">
        <ns0:f>IF(I21&gt;0,"FETCH зарегистрирован","Нет FETCH в окне")</ns0:f>
        <ns0:v>FETCH зарегистрирован</ns0:v>
      </ns0:c>
    </ns0:row>
    <ns0:row r="22">
      <ns0:c r="A22" t="n">
        <ns0:v>16</ns0:v>
      </ns0:c>
      <ns0:c r="B22" s="15" t="inlineStr">
        <ns0:is>
          <ns0:t>0x00000040</ns0:t>
        </ns0:is>
      </ns0:c>
      <ns0:c r="C22" s="15" t="inlineStr">
        <ns0:is>
          <ns0:t>0xFE038CE3</ns0:t>
        </ns0:is>
      </ns0:c>
      <ns0:c r="D22" t="inlineStr">
        <ns0:is>
          <ns0:t>beq</ns0:t>
        </ns0:is>
      </ns0:c>
      <ns0:c r="E22" s="15" t="inlineStr">
        <ns0:is>
          <ns0:t>beq t2, zero, 0x00000038</ns0:t>
        </ns0:is>
      </ns0:c>
      <ns0:c r="F22" s="15" t="inlineStr">
        <ns0:is>
          <ns0:t>1100011</ns0:t>
        </ns0:is>
      </ns0:c>
      <ns0:c r="G22" s="15" t="inlineStr">
        <ns0:is>
          <ns0:t>1111 1110 0000 0011 1000 1100 1110 0011</ns0:t>
        </ns0:is>
      </ns0:c>
      <ns0:c r="H22" t="inlineStr">
        <ns0:is>
          <ns0:t>КОД</ns0:t>
        </ns0:is>
      </ns0:c>
      <ns0:c r="I22" s="20">
        <ns0:f>COUNTIF('ДАННЫЕ T3'!$F$6:$F$286,B22)</ns0:f>
        <ns0:v>15</ns0:v>
      </ns0:c>
      <ns0:c r="J22" t="str">
        <ns0:f>IF(I22&gt;0,"FETCH зарегистрирован","Нет FETCH в окне")</ns0:f>
        <ns0:v>FETCH зарегистрирован</ns0:v>
      </ns0:c>
    </ns0:row>
    <ns0:row r="23">
      <ns0:c r="A23" t="n">
        <ns0:v>17</ns0:v>
      </ns0:c>
      <ns0:c r="B23" s="15" t="inlineStr">
        <ns0:is>
          <ns0:t>0x00000044</ns0:t>
        </ns0:is>
      </ns0:c>
      <ns0:c r="C23" s="15" t="inlineStr">
        <ns0:is>
          <ns0:t>0x0182AE03</ns0:t>
        </ns0:is>
      </ns0:c>
      <ns0:c r="D23" t="inlineStr">
        <ns0:is>
          <ns0:t>lw</ns0:t>
        </ns0:is>
      </ns0:c>
      <ns0:c r="E23" s="15" t="inlineStr">
        <ns0:is>
          <ns0:t>lw t3, 24(t0)</ns0:t>
        </ns0:is>
      </ns0:c>
      <ns0:c r="F23" s="15" t="inlineStr">
        <ns0:is>
          <ns0:t>0000011</ns0:t>
        </ns0:is>
      </ns0:c>
      <ns0:c r="G23" s="15" t="inlineStr">
        <ns0:is>
          <ns0:t>0000 0001 1000 0010 1010 1110 0000 0011</ns0:t>
        </ns0:is>
      </ns0:c>
      <ns0:c r="H23" t="inlineStr">
        <ns0:is>
          <ns0:t>КОД</ns0:t>
        </ns0:is>
      </ns0:c>
      <ns0:c r="I23" s="20">
        <ns0:f>COUNTIF('ДАННЫЕ T3'!$F$6:$F$286,B23)</ns0:f>
        <ns0:v>19</ns0:v>
      </ns0:c>
      <ns0:c r="J23" t="str">
        <ns0:f>IF(I23&gt;0,"FETCH зарегистрирован","Нет FETCH в окне")</ns0:f>
        <ns0:v>FETCH зарегистрирован</ns0:v>
      </ns0:c>
    </ns0:row>
    <ns0:row r="24">
      <ns0:c r="A24" t="n">
        <ns0:v>18</ns0:v>
      </ns0:c>
      <ns0:c r="B24" s="15" t="inlineStr">
        <ns0:is>
          <ns0:t>0x00000048</ns0:t>
        </ns0:is>
      </ns0:c>
      <ns0:c r="C24" s="15" t="inlineStr">
        <ns0:is>
          <ns0:t>0x05400413</ns0:t>
        </ns0:is>
      </ns0:c>
      <ns0:c r="D24" t="inlineStr">
        <ns0:is>
          <ns0:t>addi</ns0:t>
        </ns0:is>
      </ns0:c>
      <ns0:c r="E24" s="15" t="inlineStr">
        <ns0:is>
          <ns0:t>addi s0, zero, 84</ns0:t>
        </ns0:is>
      </ns0:c>
      <ns0:c r="F24" s="15" t="inlineStr">
        <ns0:is>
          <ns0:t>0010011</ns0:t>
        </ns0:is>
      </ns0:c>
      <ns0:c r="G24" s="15" t="inlineStr">
        <ns0:is>
          <ns0:t>0000 0101 0100 0000 0000 0100 0001 0011</ns0:t>
        </ns0:is>
      </ns0:c>
      <ns0:c r="H24" t="inlineStr">
        <ns0:is>
          <ns0:t>КОД</ns0:t>
        </ns0:is>
      </ns0:c>
      <ns0:c r="I24" s="20">
        <ns0:f>COUNTIF('ДАННЫЕ T3'!$F$6:$F$286,B24)</ns0:f>
        <ns0:v>12</ns0:v>
      </ns0:c>
      <ns0:c r="J24" t="str">
        <ns0:f>IF(I24&gt;0,"FETCH зарегистрирован","Нет FETCH в окне")</ns0:f>
        <ns0:v>FETCH зарегистрирован</ns0:v>
      </ns0:c>
    </ns0:row>
    <ns0:row r="25">
      <ns0:c r="A25" t="n">
        <ns0:v>19</ns0:v>
      </ns0:c>
      <ns0:c r="B25" s="15" t="inlineStr">
        <ns0:is>
          <ns0:t>0x0000004C</ns0:t>
        </ns0:is>
      </ns0:c>
      <ns0:c r="C25" s="15" t="inlineStr">
        <ns0:is>
          <ns0:t>0x1A8E0063</ns0:t>
        </ns0:is>
      </ns0:c>
      <ns0:c r="D25" t="inlineStr">
        <ns0:is>
          <ns0:t>beq</ns0:t>
        </ns0:is>
      </ns0:c>
      <ns0:c r="E25" s="15" t="inlineStr">
        <ns0:is>
          <ns0:t>beq t3, s0, 0x000001EC</ns0:t>
        </ns0:is>
      </ns0:c>
      <ns0:c r="F25" s="15" t="inlineStr">
        <ns0:is>
          <ns0:t>1100011</ns0:t>
        </ns0:is>
      </ns0:c>
      <ns0:c r="G25" s="15" t="inlineStr">
        <ns0:is>
          <ns0:t>0001 1010 1000 1110 0000 0000 0110 0011</ns0:t>
        </ns0:is>
      </ns0:c>
      <ns0:c r="H25" t="inlineStr">
        <ns0:is>
          <ns0:t>КОД</ns0:t>
        </ns0:is>
      </ns0:c>
      <ns0:c r="I25" s="20">
        <ns0:f>COUNTIF('ДАННЫЕ T3'!$F$6:$F$286,B25)</ns0:f>
        <ns0:v>12</ns0:v>
      </ns0:c>
      <ns0:c r="J25" t="str">
        <ns0:f>IF(I25&gt;0,"FETCH зарегистрирован","Нет FETCH в окне")</ns0:f>
        <ns0:v>FETCH зарегистрирован</ns0:v>
      </ns0:c>
    </ns0:row>
    <ns0:row r="26">
      <ns0:c r="A26" t="n">
        <ns0:v>20</ns0:v>
      </ns0:c>
      <ns0:c r="B26" s="15" t="inlineStr">
        <ns0:is>
          <ns0:t>0x00000050</ns0:t>
        </ns0:is>
      </ns0:c>
      <ns0:c r="C26" s="15" t="inlineStr">
        <ns0:is>
          <ns0:t>0x04300413</ns0:t>
        </ns0:is>
      </ns0:c>
      <ns0:c r="D26" t="inlineStr">
        <ns0:is>
          <ns0:t>addi</ns0:t>
        </ns0:is>
      </ns0:c>
      <ns0:c r="E26" s="15" t="inlineStr">
        <ns0:is>
          <ns0:t>addi s0, zero, 67</ns0:t>
        </ns0:is>
      </ns0:c>
      <ns0:c r="F26" s="15" t="inlineStr">
        <ns0:is>
          <ns0:t>0010011</ns0:t>
        </ns0:is>
      </ns0:c>
      <ns0:c r="G26" s="15" t="inlineStr">
        <ns0:is>
          <ns0:t>0000 0100 0011 0000 0000 0100 0001 0011</ns0:t>
        </ns0:is>
      </ns0:c>
      <ns0:c r="H26" t="inlineStr">
        <ns0:is>
          <ns0:t>КОД</ns0:t>
        </ns0:is>
      </ns0:c>
      <ns0:c r="I26" s="20">
        <ns0:f>COUNTIF('ДАННЫЕ T3'!$F$6:$F$286,B26)</ns0:f>
        <ns0:v>12</ns0:v>
      </ns0:c>
      <ns0:c r="J26" t="str">
        <ns0:f>IF(I26&gt;0,"FETCH зарегистрирован","Нет FETCH в окне")</ns0:f>
        <ns0:v>FETCH зарегистрирован</ns0:v>
      </ns0:c>
    </ns0:row>
    <ns0:row r="27">
      <ns0:c r="A27" t="n">
        <ns0:v>21</ns0:v>
      </ns0:c>
      <ns0:c r="B27" s="15" t="inlineStr">
        <ns0:is>
          <ns0:t>0x00000054</ns0:t>
        </ns0:is>
      </ns0:c>
      <ns0:c r="C27" s="15" t="inlineStr">
        <ns0:is>
          <ns0:t>0x188E0063</ns0:t>
        </ns0:is>
      </ns0:c>
      <ns0:c r="D27" t="inlineStr">
        <ns0:is>
          <ns0:t>beq</ns0:t>
        </ns0:is>
      </ns0:c>
      <ns0:c r="E27" s="15" t="inlineStr">
        <ns0:is>
          <ns0:t>beq t3, s0, 0x000001D4</ns0:t>
        </ns0:is>
      </ns0:c>
      <ns0:c r="F27" s="15" t="inlineStr">
        <ns0:is>
          <ns0:t>1100011</ns0:t>
        </ns0:is>
      </ns0:c>
      <ns0:c r="G27" s="15" t="inlineStr">
        <ns0:is>
          <ns0:t>0001 1000 1000 1110 0000 0000 0110 0011</ns0:t>
        </ns0:is>
      </ns0:c>
      <ns0:c r="H27" t="inlineStr">
        <ns0:is>
          <ns0:t>КОД</ns0:t>
        </ns0:is>
      </ns0:c>
      <ns0:c r="I27" s="20">
        <ns0:f>COUNTIF('ДАННЫЕ T3'!$F$6:$F$286,B27)</ns0:f>
        <ns0:v>12</ns0:v>
      </ns0:c>
      <ns0:c r="J27" t="str">
        <ns0:f>IF(I27&gt;0,"FETCH зарегистрирован","Нет FETCH в окне")</ns0:f>
        <ns0:v>FETCH зарегистрирован</ns0:v>
      </ns0:c>
    </ns0:row>
    <ns0:row r="28">
      <ns0:c r="A28" t="n">
        <ns0:v>22</ns0:v>
      </ns0:c>
      <ns0:c r="B28" s="15" t="inlineStr">
        <ns0:is>
          <ns0:t>0x00000058</ns0:t>
        </ns0:is>
      </ns0:c>
      <ns0:c r="C28" s="15" t="inlineStr">
        <ns0:is>
          <ns0:t>0x03F00413</ns0:t>
        </ns0:is>
      </ns0:c>
      <ns0:c r="D28" t="inlineStr">
        <ns0:is>
          <ns0:t>addi</ns0:t>
        </ns0:is>
      </ns0:c>
      <ns0:c r="E28" s="15" t="inlineStr">
        <ns0:is>
          <ns0:t>addi s0, zero, 63</ns0:t>
        </ns0:is>
      </ns0:c>
      <ns0:c r="F28" s="15" t="inlineStr">
        <ns0:is>
          <ns0:t>0010011</ns0:t>
        </ns0:is>
      </ns0:c>
      <ns0:c r="G28" s="15" t="inlineStr">
        <ns0:is>
          <ns0:t>0000 0011 1111 0000 0000 0100 0001 0011</ns0:t>
        </ns0:is>
      </ns0:c>
      <ns0:c r="H28" t="inlineStr">
        <ns0:is>
          <ns0:t>КОД</ns0:t>
        </ns0:is>
      </ns0:c>
      <ns0:c r="I28" s="20">
        <ns0:f>COUNTIF('ДАННЫЕ T3'!$F$6:$F$286,B28)</ns0:f>
        <ns0:v>12</ns0:v>
      </ns0:c>
      <ns0:c r="J28" t="str">
        <ns0:f>IF(I28&gt;0,"FETCH зарегистрирован","Нет FETCH в окне")</ns0:f>
        <ns0:v>FETCH зарегистрирован</ns0:v>
      </ns0:c>
    </ns0:row>
    <ns0:row r="29">
      <ns0:c r="A29" t="n">
        <ns0:v>23</ns0:v>
      </ns0:c>
      <ns0:c r="B29" s="15" t="inlineStr">
        <ns0:is>
          <ns0:t>0x0000005C</ns0:t>
        </ns0:is>
      </ns0:c>
      <ns0:c r="C29" s="15" t="inlineStr">
        <ns0:is>
          <ns0:t>0x0A8E0A63</ns0:t>
        </ns0:is>
      </ns0:c>
      <ns0:c r="D29" t="inlineStr">
        <ns0:is>
          <ns0:t>beq</ns0:t>
        </ns0:is>
      </ns0:c>
      <ns0:c r="E29" s="15" t="inlineStr">
        <ns0:is>
          <ns0:t>beq t3, s0, 0x00000110</ns0:t>
        </ns0:is>
      </ns0:c>
      <ns0:c r="F29" s="15" t="inlineStr">
        <ns0:is>
          <ns0:t>1100011</ns0:t>
        </ns0:is>
      </ns0:c>
      <ns0:c r="G29" s="15" t="inlineStr">
        <ns0:is>
          <ns0:t>0000 1010 1000 1110 0000 1010 0110 0011</ns0:t>
        </ns0:is>
      </ns0:c>
      <ns0:c r="H29" t="inlineStr">
        <ns0:is>
          <ns0:t>КОД</ns0:t>
        </ns0:is>
      </ns0:c>
      <ns0:c r="I29" s="20">
        <ns0:f>COUNTIF('ДАННЫЕ T3'!$F$6:$F$286,B29)</ns0:f>
        <ns0:v>12</ns0:v>
      </ns0:c>
      <ns0:c r="J29" t="str">
        <ns0:f>IF(I29&gt;0,"FETCH зарегистрирован","Нет FETCH в окне")</ns0:f>
        <ns0:v>FETCH зарегистрирован</ns0:v>
      </ns0:c>
    </ns0:row>
    <ns0:row r="30">
      <ns0:c r="A30" t="n">
        <ns0:v>24</ns0:v>
      </ns0:c>
      <ns0:c r="B30" s="15" t="inlineStr">
        <ns0:is>
          <ns0:t>0x00000060</ns0:t>
        </ns0:is>
      </ns0:c>
      <ns0:c r="C30" s="15" t="inlineStr">
        <ns0:is>
          <ns0:t>0x03000413</ns0:t>
        </ns0:is>
      </ns0:c>
      <ns0:c r="D30" t="inlineStr">
        <ns0:is>
          <ns0:t>addi</ns0:t>
        </ns0:is>
      </ns0:c>
      <ns0:c r="E30" s="15" t="inlineStr">
        <ns0:is>
          <ns0:t>addi s0, zero, 48</ns0:t>
        </ns0:is>
      </ns0:c>
      <ns0:c r="F30" s="15" t="inlineStr">
        <ns0:is>
          <ns0:t>0010011</ns0:t>
        </ns0:is>
      </ns0:c>
      <ns0:c r="G30" s="15" t="inlineStr">
        <ns0:is>
          <ns0:t>0000 0011 0000 0000 0000 0100 0001 0011</ns0:t>
        </ns0:is>
      </ns0:c>
      <ns0:c r="H30" t="inlineStr">
        <ns0:is>
          <ns0:t>КОД</ns0:t>
        </ns0:is>
      </ns0:c>
      <ns0:c r="I30" s="20">
        <ns0:f>COUNTIF('ДАННЫЕ T3'!$F$6:$F$286,B30)</ns0:f>
        <ns0:v>12</ns0:v>
      </ns0:c>
      <ns0:c r="J30" t="str">
        <ns0:f>IF(I30&gt;0,"FETCH зарегистрирован","Нет FETCH в окне")</ns0:f>
        <ns0:v>FETCH зарегистрирован</ns0:v>
      </ns0:c>
    </ns0:row>
    <ns0:row r="31">
      <ns0:c r="A31" t="n">
        <ns0:v>25</ns0:v>
      </ns0:c>
      <ns0:c r="B31" s="15" t="inlineStr">
        <ns0:is>
          <ns0:t>0x00000064</ns0:t>
        </ns0:is>
      </ns0:c>
      <ns0:c r="C31" s="15" t="inlineStr">
        <ns0:is>
          <ns0:t>0x048E0463</ns0:t>
        </ns0:is>
      </ns0:c>
      <ns0:c r="D31" t="inlineStr">
        <ns0:is>
          <ns0:t>beq</ns0:t>
        </ns0:is>
      </ns0:c>
      <ns0:c r="E31" s="15" t="inlineStr">
        <ns0:is>
          <ns0:t>beq t3, s0, 0x000000AC</ns0:t>
        </ns0:is>
      </ns0:c>
      <ns0:c r="F31" s="15" t="inlineStr">
        <ns0:is>
          <ns0:t>1100011</ns0:t>
        </ns0:is>
      </ns0:c>
      <ns0:c r="G31" s="15" t="inlineStr">
        <ns0:is>
          <ns0:t>0000 0100 1000 1110 0000 0100 0110 0011</ns0:t>
        </ns0:is>
      </ns0:c>
      <ns0:c r="H31" t="inlineStr">
        <ns0:is>
          <ns0:t>КОД</ns0:t>
        </ns0:is>
      </ns0:c>
      <ns0:c r="I31" s="20">
        <ns0:f>COUNTIF('ДАННЫЕ T3'!$F$6:$F$286,B31)</ns0:f>
        <ns0:v>12</ns0:v>
      </ns0:c>
      <ns0:c r="J31" t="str">
        <ns0:f>IF(I31&gt;0,"FETCH зарегистрирован","Нет FETCH в окне")</ns0:f>
        <ns0:v>FETCH зарегистрирован</ns0:v>
      </ns0:c>
    </ns0:row>
    <ns0:row r="32">
      <ns0:c r="A32" t="n">
        <ns0:v>26</ns0:v>
      </ns0:c>
      <ns0:c r="B32" s="15" t="inlineStr">
        <ns0:is>
          <ns0:t>0x00000068</ns0:t>
        </ns0:is>
      </ns0:c>
      <ns0:c r="C32" s="15" t="inlineStr">
        <ns0:is>
          <ns0:t>0x03100413</ns0:t>
        </ns0:is>
      </ns0:c>
      <ns0:c r="D32" t="inlineStr">
        <ns0:is>
          <ns0:t>addi</ns0:t>
        </ns0:is>
      </ns0:c>
      <ns0:c r="E32" s="15" t="inlineStr">
        <ns0:is>
          <ns0:t>addi s0, zero, 49</ns0:t>
        </ns0:is>
      </ns0:c>
      <ns0:c r="F32" s="15" t="inlineStr">
        <ns0:is>
          <ns0:t>0010011</ns0:t>
        </ns0:is>
      </ns0:c>
      <ns0:c r="G32" s="15" t="inlineStr">
        <ns0:is>
          <ns0:t>0000 0011 0001 0000 0000 0100 0001 0011</ns0:t>
        </ns0:is>
      </ns0:c>
      <ns0:c r="H32" t="inlineStr">
        <ns0:is>
          <ns0:t>КОД</ns0:t>
        </ns0:is>
      </ns0:c>
      <ns0:c r="I32" s="20">
        <ns0:f>COUNTIF('ДАННЫЕ T3'!$F$6:$F$286,B32)</ns0:f>
        <ns0:v>12</ns0:v>
      </ns0:c>
      <ns0:c r="J32" t="str">
        <ns0:f>IF(I32&gt;0,"FETCH зарегистрирован","Нет FETCH в окне")</ns0:f>
        <ns0:v>FETCH зарегистрирован</ns0:v>
      </ns0:c>
    </ns0:row>
    <ns0:row r="33">
      <ns0:c r="A33" t="n">
        <ns0:v>27</ns0:v>
      </ns0:c>
      <ns0:c r="B33" s="15" t="inlineStr">
        <ns0:is>
          <ns0:t>0x0000006C</ns0:t>
        </ns0:is>
      </ns0:c>
      <ns0:c r="C33" s="15" t="inlineStr">
        <ns0:is>
          <ns0:t>0x048E0663</ns0:t>
        </ns0:is>
      </ns0:c>
      <ns0:c r="D33" t="inlineStr">
        <ns0:is>
          <ns0:t>beq</ns0:t>
        </ns0:is>
      </ns0:c>
      <ns0:c r="E33" s="15" t="inlineStr">
        <ns0:is>
          <ns0:t>beq t3, s0, 0x000000B8</ns0:t>
        </ns0:is>
      </ns0:c>
      <ns0:c r="F33" s="15" t="inlineStr">
        <ns0:is>
          <ns0:t>1100011</ns0:t>
        </ns0:is>
      </ns0:c>
      <ns0:c r="G33" s="15" t="inlineStr">
        <ns0:is>
          <ns0:t>0000 0100 1000 1110 0000 0110 0110 0011</ns0:t>
        </ns0:is>
      </ns0:c>
      <ns0:c r="H33" t="inlineStr">
        <ns0:is>
          <ns0:t>КОД</ns0:t>
        </ns0:is>
      </ns0:c>
      <ns0:c r="I33" s="20">
        <ns0:f>COUNTIF('ДАННЫЕ T3'!$F$6:$F$286,B33)</ns0:f>
        <ns0:v>6</ns0:v>
      </ns0:c>
      <ns0:c r="J33" t="str">
        <ns0:f>IF(I33&gt;0,"FETCH зарегистрирован","Нет FETCH в окне")</ns0:f>
        <ns0:v>FETCH зарегистрирован</ns0:v>
      </ns0:c>
    </ns0:row>
    <ns0:row r="34">
      <ns0:c r="A34" t="n">
        <ns0:v>28</ns0:v>
      </ns0:c>
      <ns0:c r="B34" s="15" t="inlineStr">
        <ns0:is>
          <ns0:t>0x00000070</ns0:t>
        </ns0:is>
      </ns0:c>
      <ns0:c r="C34" s="15" t="inlineStr">
        <ns0:is>
          <ns0:t>0x03200413</ns0:t>
        </ns0:is>
      </ns0:c>
      <ns0:c r="D34" t="inlineStr">
        <ns0:is>
          <ns0:t>addi</ns0:t>
        </ns0:is>
      </ns0:c>
      <ns0:c r="E34" s="15" t="inlineStr">
        <ns0:is>
          <ns0:t>addi s0, zero, 50</ns0:t>
        </ns0:is>
      </ns0:c>
      <ns0:c r="F34" s="15" t="inlineStr">
        <ns0:is>
          <ns0:t>0010011</ns0:t>
        </ns0:is>
      </ns0:c>
      <ns0:c r="G34" s="15" t="inlineStr">
        <ns0:is>
          <ns0:t>0000 0011 0010 0000 0000 0100 0001 0011</ns0:t>
        </ns0:is>
      </ns0:c>
      <ns0:c r="H34" t="inlineStr">
        <ns0:is>
          <ns0:t>КОД</ns0:t>
        </ns0:is>
      </ns0:c>
      <ns0:c r="I34" s="20">
        <ns0:f>COUNTIF('ДАННЫЕ T3'!$F$6:$F$286,B34)</ns0:f>
        <ns0:v>6</ns0:v>
      </ns0:c>
      <ns0:c r="J34" t="str">
        <ns0:f>IF(I34&gt;0,"FETCH зарегистрирован","Нет FETCH в окне")</ns0:f>
        <ns0:v>FETCH зарегистрирован</ns0:v>
      </ns0:c>
    </ns0:row>
    <ns0:row r="35">
      <ns0:c r="A35" t="n">
        <ns0:v>29</ns0:v>
      </ns0:c>
      <ns0:c r="B35" s="15" t="inlineStr">
        <ns0:is>
          <ns0:t>0x00000074</ns0:t>
        </ns0:is>
      </ns0:c>
      <ns0:c r="C35" s="15" t="inlineStr">
        <ns0:is>
          <ns0:t>0x048E0863</ns0:t>
        </ns0:is>
      </ns0:c>
      <ns0:c r="D35" t="inlineStr">
        <ns0:is>
          <ns0:t>beq</ns0:t>
        </ns0:is>
      </ns0:c>
      <ns0:c r="E35" s="15" t="inlineStr">
        <ns0:is>
          <ns0:t>beq t3, s0, 0x000000C4</ns0:t>
        </ns0:is>
      </ns0:c>
      <ns0:c r="F35" s="15" t="inlineStr">
        <ns0:is>
          <ns0:t>1100011</ns0:t>
        </ns0:is>
      </ns0:c>
      <ns0:c r="G35" s="15" t="inlineStr">
        <ns0:is>
          <ns0:t>0000 0100 1000 1110 0000 1000 0110 0011</ns0:t>
        </ns0:is>
      </ns0:c>
      <ns0:c r="H35" t="inlineStr">
        <ns0:is>
          <ns0:t>КОД</ns0:t>
        </ns0:is>
      </ns0:c>
      <ns0:c r="I35" s="20">
        <ns0:f>COUNTIF('ДАННЫЕ T3'!$F$6:$F$286,B35)</ns0:f>
        <ns0:v>6</ns0:v>
      </ns0:c>
      <ns0:c r="J35" t="str">
        <ns0:f>IF(I35&gt;0,"FETCH зарегистрирован","Нет FETCH в окне")</ns0:f>
        <ns0:v>FETCH зарегистрирован</ns0:v>
      </ns0:c>
    </ns0:row>
    <ns0:row r="36">
      <ns0:c r="A36" t="n">
        <ns0:v>30</ns0:v>
      </ns0:c>
      <ns0:c r="B36" s="15" t="inlineStr">
        <ns0:is>
          <ns0:t>0x00000078</ns0:t>
        </ns0:is>
      </ns0:c>
      <ns0:c r="C36" s="15" t="inlineStr">
        <ns0:is>
          <ns0:t>0x03300413</ns0:t>
        </ns0:is>
      </ns0:c>
      <ns0:c r="D36" t="inlineStr">
        <ns0:is>
          <ns0:t>addi</ns0:t>
        </ns0:is>
      </ns0:c>
      <ns0:c r="E36" s="15" t="inlineStr">
        <ns0:is>
          <ns0:t>addi s0, zero, 51</ns0:t>
        </ns0:is>
      </ns0:c>
      <ns0:c r="F36" s="15" t="inlineStr">
        <ns0:is>
          <ns0:t>0010011</ns0:t>
        </ns0:is>
      </ns0:c>
      <ns0:c r="G36" s="15" t="inlineStr">
        <ns0:is>
          <ns0:t>0000 0011 0011 0000 0000 0100 0001 0011</ns0:t>
        </ns0:is>
      </ns0:c>
      <ns0:c r="H36" t="inlineStr">
        <ns0:is>
          <ns0:t>КОД</ns0:t>
        </ns0:is>
      </ns0:c>
      <ns0:c r="I36" s="20">
        <ns0:f>COUNTIF('ДАННЫЕ T3'!$F$6:$F$286,B36)</ns0:f>
        <ns0:v>6</ns0:v>
      </ns0:c>
      <ns0:c r="J36" t="str">
        <ns0:f>IF(I36&gt;0,"FETCH зарегистрирован","Нет FETCH в окне")</ns0:f>
        <ns0:v>FETCH зарегистрирован</ns0:v>
      </ns0:c>
    </ns0:row>
    <ns0:row r="37">
      <ns0:c r="A37" t="n">
        <ns0:v>31</ns0:v>
      </ns0:c>
      <ns0:c r="B37" s="15" t="inlineStr">
        <ns0:is>
          <ns0:t>0x0000007C</ns0:t>
        </ns0:is>
      </ns0:c>
      <ns0:c r="C37" s="15" t="inlineStr">
        <ns0:is>
          <ns0:t>0x048E0A63</ns0:t>
        </ns0:is>
      </ns0:c>
      <ns0:c r="D37" t="inlineStr">
        <ns0:is>
          <ns0:t>beq</ns0:t>
        </ns0:is>
      </ns0:c>
      <ns0:c r="E37" s="15" t="inlineStr">
        <ns0:is>
          <ns0:t>beq t3, s0, 0x000000D0</ns0:t>
        </ns0:is>
      </ns0:c>
      <ns0:c r="F37" s="15" t="inlineStr">
        <ns0:is>
          <ns0:t>1100011</ns0:t>
        </ns0:is>
      </ns0:c>
      <ns0:c r="G37" s="15" t="inlineStr">
        <ns0:is>
          <ns0:t>0000 0100 1000 1110 0000 1010 0110 0011</ns0:t>
        </ns0:is>
      </ns0:c>
      <ns0:c r="H37" t="inlineStr">
        <ns0:is>
          <ns0:t>КОД</ns0:t>
        </ns0:is>
      </ns0:c>
      <ns0:c r="I37" s="20">
        <ns0:f>COUNTIF('ДАННЫЕ T3'!$F$6:$F$286,B37)</ns0:f>
        <ns0:v>6</ns0:v>
      </ns0:c>
      <ns0:c r="J37" t="str">
        <ns0:f>IF(I37&gt;0,"FETCH зарегистрирован","Нет FETCH в окне")</ns0:f>
        <ns0:v>FETCH зарегистрирован</ns0:v>
      </ns0:c>
    </ns0:row>
    <ns0:row r="38">
      <ns0:c r="A38" t="n">
        <ns0:v>32</ns0:v>
      </ns0:c>
      <ns0:c r="B38" s="15" t="inlineStr">
        <ns0:is>
          <ns0:t>0x00000080</ns0:t>
        </ns0:is>
      </ns0:c>
      <ns0:c r="C38" s="15" t="inlineStr">
        <ns0:is>
          <ns0:t>0x03400413</ns0:t>
        </ns0:is>
      </ns0:c>
      <ns0:c r="D38" t="inlineStr">
        <ns0:is>
          <ns0:t>addi</ns0:t>
        </ns0:is>
      </ns0:c>
      <ns0:c r="E38" s="15" t="inlineStr">
        <ns0:is>
          <ns0:t>addi s0, zero, 52</ns0:t>
        </ns0:is>
      </ns0:c>
      <ns0:c r="F38" s="15" t="inlineStr">
        <ns0:is>
          <ns0:t>0010011</ns0:t>
        </ns0:is>
      </ns0:c>
      <ns0:c r="G38" s="15" t="inlineStr">
        <ns0:is>
          <ns0:t>0000 0011 0100 0000 0000 0100 0001 0011</ns0:t>
        </ns0:is>
      </ns0:c>
      <ns0:c r="H38" t="inlineStr">
        <ns0:is>
          <ns0:t>КОД</ns0:t>
        </ns0:is>
      </ns0:c>
      <ns0:c r="I38" s="20">
        <ns0:f>COUNTIF('ДАННЫЕ T3'!$F$6:$F$286,B38)</ns0:f>
        <ns0:v>6</ns0:v>
      </ns0:c>
      <ns0:c r="J38" t="str">
        <ns0:f>IF(I38&gt;0,"FETCH зарегистрирован","Нет FETCH в окне")</ns0:f>
        <ns0:v>FETCH зарегистрирован</ns0:v>
      </ns0:c>
    </ns0:row>
    <ns0:row r="39">
      <ns0:c r="A39" t="n">
        <ns0:v>33</ns0:v>
      </ns0:c>
      <ns0:c r="B39" s="15" t="inlineStr">
        <ns0:is>
          <ns0:t>0x00000084</ns0:t>
        </ns0:is>
      </ns0:c>
      <ns0:c r="C39" s="15" t="inlineStr">
        <ns0:is>
          <ns0:t>0x048E0C63</ns0:t>
        </ns0:is>
      </ns0:c>
      <ns0:c r="D39" t="inlineStr">
        <ns0:is>
          <ns0:t>beq</ns0:t>
        </ns0:is>
      </ns0:c>
      <ns0:c r="E39" s="15" t="inlineStr">
        <ns0:is>
          <ns0:t>beq t3, s0, 0x000000DC</ns0:t>
        </ns0:is>
      </ns0:c>
      <ns0:c r="F39" s="15" t="inlineStr">
        <ns0:is>
          <ns0:t>1100011</ns0:t>
        </ns0:is>
      </ns0:c>
      <ns0:c r="G39" s="15" t="inlineStr">
        <ns0:is>
          <ns0:t>0000 0100 1000 1110 0000 1100 0110 0011</ns0:t>
        </ns0:is>
      </ns0:c>
      <ns0:c r="H39" t="inlineStr">
        <ns0:is>
          <ns0:t>КОД</ns0:t>
        </ns0:is>
      </ns0:c>
      <ns0:c r="I39" s="20">
        <ns0:f>COUNTIF('ДАННЫЕ T3'!$F$6:$F$286,B39)</ns0:f>
        <ns0:v>6</ns0:v>
      </ns0:c>
      <ns0:c r="J39" t="str">
        <ns0:f>IF(I39&gt;0,"FETCH зарегистрирован","Нет FETCH в окне")</ns0:f>
        <ns0:v>FETCH зарегистрирован</ns0:v>
      </ns0:c>
    </ns0:row>
    <ns0:row r="40">
      <ns0:c r="A40" t="n">
        <ns0:v>34</ns0:v>
      </ns0:c>
      <ns0:c r="B40" s="15" t="inlineStr">
        <ns0:is>
          <ns0:t>0x00000088</ns0:t>
        </ns0:is>
      </ns0:c>
      <ns0:c r="C40" s="15" t="inlineStr">
        <ns0:is>
          <ns0:t>0x03500413</ns0:t>
        </ns0:is>
      </ns0:c>
      <ns0:c r="D40" t="inlineStr">
        <ns0:is>
          <ns0:t>addi</ns0:t>
        </ns0:is>
      </ns0:c>
      <ns0:c r="E40" s="15" t="inlineStr">
        <ns0:is>
          <ns0:t>addi s0, zero, 53</ns0:t>
        </ns0:is>
      </ns0:c>
      <ns0:c r="F40" s="15" t="inlineStr">
        <ns0:is>
          <ns0:t>0010011</ns0:t>
        </ns0:is>
      </ns0:c>
      <ns0:c r="G40" s="15" t="inlineStr">
        <ns0:is>
          <ns0:t>0000 0011 0101 0000 0000 0100 0001 0011</ns0:t>
        </ns0:is>
      </ns0:c>
      <ns0:c r="H40" t="inlineStr">
        <ns0:is>
          <ns0:t>КОД</ns0:t>
        </ns0:is>
      </ns0:c>
      <ns0:c r="I40" s="20">
        <ns0:f>COUNTIF('ДАННЫЕ T3'!$F$6:$F$286,B40)</ns0:f>
        <ns0:v>6</ns0:v>
      </ns0:c>
      <ns0:c r="J40" t="str">
        <ns0:f>IF(I40&gt;0,"FETCH зарегистрирован","Нет FETCH в окне")</ns0:f>
        <ns0:v>FETCH зарегистрирован</ns0:v>
      </ns0:c>
    </ns0:row>
    <ns0:row r="41">
      <ns0:c r="A41" t="n">
        <ns0:v>35</ns0:v>
      </ns0:c>
      <ns0:c r="B41" s="15" t="inlineStr">
        <ns0:is>
          <ns0:t>0x0000008C</ns0:t>
        </ns0:is>
      </ns0:c>
      <ns0:c r="C41" s="15" t="inlineStr">
        <ns0:is>
          <ns0:t>0x048E0E63</ns0:t>
        </ns0:is>
      </ns0:c>
      <ns0:c r="D41" t="inlineStr">
        <ns0:is>
          <ns0:t>beq</ns0:t>
        </ns0:is>
      </ns0:c>
      <ns0:c r="E41" s="15" t="inlineStr">
        <ns0:is>
          <ns0:t>beq t3, s0, 0x000000E8</ns0:t>
        </ns0:is>
      </ns0:c>
      <ns0:c r="F41" s="15" t="inlineStr">
        <ns0:is>
          <ns0:t>1100011</ns0:t>
        </ns0:is>
      </ns0:c>
      <ns0:c r="G41" s="15" t="inlineStr">
        <ns0:is>
          <ns0:t>0000 0100 1000 1110 0000 1110 0110 0011</ns0:t>
        </ns0:is>
      </ns0:c>
      <ns0:c r="H41" t="inlineStr">
        <ns0:is>
          <ns0:t>КОД</ns0:t>
        </ns0:is>
      </ns0:c>
      <ns0:c r="I41">
        <ns0:f>COUNTIF('ДАННЫЕ T3'!$F$6:$F$286,B41)</ns0:f>
        <ns0:v>0</ns0:v>
      </ns0:c>
      <ns0:c r="J41" t="str">
        <ns0:f>IF(I41&gt;0,"FETCH зарегистрирован","Нет FETCH в окне")</ns0:f>
        <ns0:v>Нет FETCH в окне</ns0:v>
      </ns0:c>
    </ns0:row>
    <ns0:row r="42">
      <ns0:c r="A42" t="n">
        <ns0:v>36</ns0:v>
      </ns0:c>
      <ns0:c r="B42" s="15" t="inlineStr">
        <ns0:is>
          <ns0:t>0x00000090</ns0:t>
        </ns0:is>
      </ns0:c>
      <ns0:c r="C42" s="15" t="inlineStr">
        <ns0:is>
          <ns0:t>0x03600413</ns0:t>
        </ns0:is>
      </ns0:c>
      <ns0:c r="D42" t="inlineStr">
        <ns0:is>
          <ns0:t>addi</ns0:t>
        </ns0:is>
      </ns0:c>
      <ns0:c r="E42" s="15" t="inlineStr">
        <ns0:is>
          <ns0:t>addi s0, zero, 54</ns0:t>
        </ns0:is>
      </ns0:c>
      <ns0:c r="F42" s="15" t="inlineStr">
        <ns0:is>
          <ns0:t>0010011</ns0:t>
        </ns0:is>
      </ns0:c>
      <ns0:c r="G42" s="15" t="inlineStr">
        <ns0:is>
          <ns0:t>0000 0011 0110 0000 0000 0100 0001 0011</ns0:t>
        </ns0:is>
      </ns0:c>
      <ns0:c r="H42" t="inlineStr">
        <ns0:is>
          <ns0:t>КОД</ns0:t>
        </ns0:is>
      </ns0:c>
      <ns0:c r="I42">
        <ns0:f>COUNTIF('ДАННЫЕ T3'!$F$6:$F$286,B42)</ns0:f>
        <ns0:v>0</ns0:v>
      </ns0:c>
      <ns0:c r="J42" t="str">
        <ns0:f>IF(I42&gt;0,"FETCH зарегистрирован","Нет FETCH в окне")</ns0:f>
        <ns0:v>Нет FETCH в окне</ns0:v>
      </ns0:c>
    </ns0:row>
    <ns0:row r="43">
      <ns0:c r="A43" t="n">
        <ns0:v>37</ns0:v>
      </ns0:c>
      <ns0:c r="B43" s="15" t="inlineStr">
        <ns0:is>
          <ns0:t>0x00000094</ns0:t>
        </ns0:is>
      </ns0:c>
      <ns0:c r="C43" s="15" t="inlineStr">
        <ns0:is>
          <ns0:t>0x068E0063</ns0:t>
        </ns0:is>
      </ns0:c>
      <ns0:c r="D43" t="inlineStr">
        <ns0:is>
          <ns0:t>beq</ns0:t>
        </ns0:is>
      </ns0:c>
      <ns0:c r="E43" s="15" t="inlineStr">
        <ns0:is>
          <ns0:t>beq t3, s0, 0x000000F4</ns0:t>
        </ns0:is>
      </ns0:c>
      <ns0:c r="F43" s="15" t="inlineStr">
        <ns0:is>
          <ns0:t>1100011</ns0:t>
        </ns0:is>
      </ns0:c>
      <ns0:c r="G43" s="15" t="inlineStr">
        <ns0:is>
          <ns0:t>0000 0110 1000 1110 0000 0000 0110 0011</ns0:t>
        </ns0:is>
      </ns0:c>
      <ns0:c r="H43" t="inlineStr">
        <ns0:is>
          <ns0:t>КОД</ns0:t>
        </ns0:is>
      </ns0:c>
      <ns0:c r="I43">
        <ns0:f>COUNTIF('ДАННЫЕ T3'!$F$6:$F$286,B43)</ns0:f>
        <ns0:v>0</ns0:v>
      </ns0:c>
      <ns0:c r="J43" t="str">
        <ns0:f>IF(I43&gt;0,"FETCH зарегистрирован","Нет FETCH в окне")</ns0:f>
        <ns0:v>Нет FETCH в окне</ns0:v>
      </ns0:c>
    </ns0:row>
    <ns0:row r="44">
      <ns0:c r="A44" t="n">
        <ns0:v>38</ns0:v>
      </ns0:c>
      <ns0:c r="B44" s="15" t="inlineStr">
        <ns0:is>
          <ns0:t>0x00000098</ns0:t>
        </ns0:is>
      </ns0:c>
      <ns0:c r="C44" s="15" t="inlineStr">
        <ns0:is>
          <ns0:t>0x00A00413</ns0:t>
        </ns0:is>
      </ns0:c>
      <ns0:c r="D44" t="inlineStr">
        <ns0:is>
          <ns0:t>addi</ns0:t>
        </ns0:is>
      </ns0:c>
      <ns0:c r="E44" s="15" t="inlineStr">
        <ns0:is>
          <ns0:t>addi s0, zero, 10</ns0:t>
        </ns0:is>
      </ns0:c>
      <ns0:c r="F44" s="15" t="inlineStr">
        <ns0:is>
          <ns0:t>0010011</ns0:t>
        </ns0:is>
      </ns0:c>
      <ns0:c r="G44" s="15" t="inlineStr">
        <ns0:is>
          <ns0:t>0000 0000 1010 0000 0000 0100 0001 0011</ns0:t>
        </ns0:is>
      </ns0:c>
      <ns0:c r="H44" t="inlineStr">
        <ns0:is>
          <ns0:t>КОД</ns0:t>
        </ns0:is>
      </ns0:c>
      <ns0:c r="I44">
        <ns0:f>COUNTIF('ДАННЫЕ T3'!$F$6:$F$286,B44)</ns0:f>
        <ns0:v>0</ns0:v>
      </ns0:c>
      <ns0:c r="J44" t="str">
        <ns0:f>IF(I44&gt;0,"FETCH зарегистрирован","Нет FETCH в окне")</ns0:f>
        <ns0:v>Нет FETCH в окне</ns0:v>
      </ns0:c>
    </ns0:row>
    <ns0:row r="45">
      <ns0:c r="A45" t="n">
        <ns0:v>39</ns0:v>
      </ns0:c>
      <ns0:c r="B45" s="15" t="inlineStr">
        <ns0:is>
          <ns0:t>0x0000009C</ns0:t>
        </ns0:is>
      </ns0:c>
      <ns0:c r="C45" s="15" t="inlineStr">
        <ns0:is>
          <ns0:t>0xF88E0EE3</ns0:t>
        </ns0:is>
      </ns0:c>
      <ns0:c r="D45" t="inlineStr">
        <ns0:is>
          <ns0:t>beq</ns0:t>
        </ns0:is>
      </ns0:c>
      <ns0:c r="E45" s="15" t="inlineStr">
        <ns0:is>
          <ns0:t>beq t3, s0, 0x00000038</ns0:t>
        </ns0:is>
      </ns0:c>
      <ns0:c r="F45" s="15" t="inlineStr">
        <ns0:is>
          <ns0:t>1100011</ns0:t>
        </ns0:is>
      </ns0:c>
      <ns0:c r="G45" s="15" t="inlineStr">
        <ns0:is>
          <ns0:t>1111 1000 1000 1110 0000 1110 1110 0011</ns0:t>
        </ns0:is>
      </ns0:c>
      <ns0:c r="H45" t="inlineStr">
        <ns0:is>
          <ns0:t>КОД</ns0:t>
        </ns0:is>
      </ns0:c>
      <ns0:c r="I45">
        <ns0:f>COUNTIF('ДАННЫЕ T3'!$F$6:$F$286,B45)</ns0:f>
        <ns0:v>0</ns0:v>
      </ns0:c>
      <ns0:c r="J45" t="str">
        <ns0:f>IF(I45&gt;0,"FETCH зарегистрирован","Нет FETCH в окне")</ns0:f>
        <ns0:v>Нет FETCH в окне</ns0:v>
      </ns0:c>
    </ns0:row>
    <ns0:row r="46">
      <ns0:c r="A46" t="n">
        <ns0:v>40</ns0:v>
      </ns0:c>
      <ns0:c r="B46" s="15" t="inlineStr">
        <ns0:is>
          <ns0:t>0x000000A0</ns0:t>
        </ns0:is>
      </ns0:c>
      <ns0:c r="C46" s="15" t="inlineStr">
        <ns0:is>
          <ns0:t>0x00D00413</ns0:t>
        </ns0:is>
      </ns0:c>
      <ns0:c r="D46" t="inlineStr">
        <ns0:is>
          <ns0:t>addi</ns0:t>
        </ns0:is>
      </ns0:c>
      <ns0:c r="E46" s="15" t="inlineStr">
        <ns0:is>
          <ns0:t>addi s0, zero, 13</ns0:t>
        </ns0:is>
      </ns0:c>
      <ns0:c r="F46" s="15" t="inlineStr">
        <ns0:is>
          <ns0:t>0010011</ns0:t>
        </ns0:is>
      </ns0:c>
      <ns0:c r="G46" s="15" t="inlineStr">
        <ns0:is>
          <ns0:t>0000 0000 1101 0000 0000 0100 0001 0011</ns0:t>
        </ns0:is>
      </ns0:c>
      <ns0:c r="H46" t="inlineStr">
        <ns0:is>
          <ns0:t>КОД</ns0:t>
        </ns0:is>
      </ns0:c>
      <ns0:c r="I46">
        <ns0:f>COUNTIF('ДАННЫЕ T3'!$F$6:$F$286,B46)</ns0:f>
        <ns0:v>0</ns0:v>
      </ns0:c>
      <ns0:c r="J46" t="str">
        <ns0:f>IF(I46&gt;0,"FETCH зарегистрирован","Нет FETCH в окне")</ns0:f>
        <ns0:v>Нет FETCH в окне</ns0:v>
      </ns0:c>
    </ns0:row>
    <ns0:row r="47">
      <ns0:c r="A47" t="n">
        <ns0:v>41</ns0:v>
      </ns0:c>
      <ns0:c r="B47" s="15" t="inlineStr">
        <ns0:is>
          <ns0:t>0x000000A4</ns0:t>
        </ns0:is>
      </ns0:c>
      <ns0:c r="C47" s="15" t="inlineStr">
        <ns0:is>
          <ns0:t>0xF88E0AE3</ns0:t>
        </ns0:is>
      </ns0:c>
      <ns0:c r="D47" t="inlineStr">
        <ns0:is>
          <ns0:t>beq</ns0:t>
        </ns0:is>
      </ns0:c>
      <ns0:c r="E47" s="15" t="inlineStr">
        <ns0:is>
          <ns0:t>beq t3, s0, 0x00000038</ns0:t>
        </ns0:is>
      </ns0:c>
      <ns0:c r="F47" s="15" t="inlineStr">
        <ns0:is>
          <ns0:t>1100011</ns0:t>
        </ns0:is>
      </ns0:c>
      <ns0:c r="G47" s="15" t="inlineStr">
        <ns0:is>
          <ns0:t>1111 1000 1000 1110 0000 1010 1110 0011</ns0:t>
        </ns0:is>
      </ns0:c>
      <ns0:c r="H47" t="inlineStr">
        <ns0:is>
          <ns0:t>КОД</ns0:t>
        </ns0:is>
      </ns0:c>
      <ns0:c r="I47">
        <ns0:f>COUNTIF('ДАННЫЕ T3'!$F$6:$F$286,B47)</ns0:f>
        <ns0:v>0</ns0:v>
      </ns0:c>
      <ns0:c r="J47" t="str">
        <ns0:f>IF(I47&gt;0,"FETCH зарегистрирован","Нет FETCH в окне")</ns0:f>
        <ns0:v>Нет FETCH в окне</ns0:v>
      </ns0:c>
    </ns0:row>
    <ns0:row r="48">
      <ns0:c r="A48" t="n">
        <ns0:v>42</ns0:v>
      </ns0:c>
      <ns0:c r="B48" s="15" t="inlineStr">
        <ns0:is>
          <ns0:t>0x000000A8</ns0:t>
        </ns0:is>
      </ns0:c>
      <ns0:c r="C48" s="15" t="inlineStr">
        <ns0:is>
          <ns0:t>0x1040006F</ns0:t>
        </ns0:is>
      </ns0:c>
      <ns0:c r="D48" t="inlineStr">
        <ns0:is>
          <ns0:t>jal</ns0:t>
        </ns0:is>
      </ns0:c>
      <ns0:c r="E48" s="15" t="inlineStr">
        <ns0:is>
          <ns0:t>jal zero, 0x000001AC</ns0:t>
        </ns0:is>
      </ns0:c>
      <ns0:c r="F48" s="15" t="inlineStr">
        <ns0:is>
          <ns0:t>1101111</ns0:t>
        </ns0:is>
      </ns0:c>
      <ns0:c r="G48" s="15" t="inlineStr">
        <ns0:is>
          <ns0:t>0001 0000 0100 0000 0000 0000 0110 1111</ns0:t>
        </ns0:is>
      </ns0:c>
      <ns0:c r="H48" t="inlineStr">
        <ns0:is>
          <ns0:t>КОД</ns0:t>
        </ns0:is>
      </ns0:c>
      <ns0:c r="I48">
        <ns0:f>COUNTIF('ДАННЫЕ T3'!$F$6:$F$286,B48)</ns0:f>
        <ns0:v>0</ns0:v>
      </ns0:c>
      <ns0:c r="J48" t="str">
        <ns0:f>IF(I48&gt;0,"FETCH зарегистрирован","Нет FETCH в окне")</ns0:f>
        <ns0:v>Нет FETCH в окне</ns0:v>
      </ns0:c>
    </ns0:row>
    <ns0:row r="49">
      <ns0:c r="A49" t="n">
        <ns0:v>43</ns0:v>
      </ns0:c>
      <ns0:c r="B49" s="15" t="inlineStr">
        <ns0:is>
          <ns0:t>0x000000AC</ns0:t>
        </ns0:is>
      </ns0:c>
      <ns0:c r="C49" s="15" t="inlineStr">
        <ns0:is>
          <ns0:t>0x00000E93</ns0:t>
        </ns0:is>
      </ns0:c>
      <ns0:c r="D49" t="inlineStr">
        <ns0:is>
          <ns0:t>addi</ns0:t>
        </ns0:is>
      </ns0:c>
      <ns0:c r="E49" s="15" t="inlineStr">
        <ns0:is>
          <ns0:t>addi t4, zero, 0</ns0:t>
        </ns0:is>
      </ns0:c>
      <ns0:c r="F49" s="15" t="inlineStr">
        <ns0:is>
          <ns0:t>0010011</ns0:t>
        </ns0:is>
      </ns0:c>
      <ns0:c r="G49" s="15" t="inlineStr">
        <ns0:is>
          <ns0:t>0000 0000 0000 0000 0000 1110 1001 0011</ns0:t>
        </ns0:is>
      </ns0:c>
      <ns0:c r="H49" t="inlineStr">
        <ns0:is>
          <ns0:t>КОД</ns0:t>
        </ns0:is>
      </ns0:c>
      <ns0:c r="I49" s="20">
        <ns0:f>COUNTIF('ДАННЫЕ T3'!$F$6:$F$286,B49)</ns0:f>
        <ns0:v>6</ns0:v>
      </ns0:c>
      <ns0:c r="J49" t="str">
        <ns0:f>IF(I49&gt;0,"FETCH зарегистрирован","Нет FETCH в окне")</ns0:f>
        <ns0:v>FETCH зарегистрирован</ns0:v>
      </ns0:c>
    </ns0:row>
    <ns0:row r="50">
      <ns0:c r="A50" t="n">
        <ns0:v>44</ns0:v>
      </ns0:c>
      <ns0:c r="B50" s="15" t="inlineStr">
        <ns0:is>
          <ns0:t>0x000000B0</ns0:t>
        </ns0:is>
      </ns0:c>
      <ns0:c r="C50" s="15" t="inlineStr">
        <ns0:is>
          <ns0:t>0x03000F13</ns0:t>
        </ns0:is>
      </ns0:c>
      <ns0:c r="D50" t="inlineStr">
        <ns0:is>
          <ns0:t>addi</ns0:t>
        </ns0:is>
      </ns0:c>
      <ns0:c r="E50" s="15" t="inlineStr">
        <ns0:is>
          <ns0:t>addi t5, zero, 48</ns0:t>
        </ns0:is>
      </ns0:c>
      <ns0:c r="F50" s="15" t="inlineStr">
        <ns0:is>
          <ns0:t>0010011</ns0:t>
        </ns0:is>
      </ns0:c>
      <ns0:c r="G50" s="15" t="inlineStr">
        <ns0:is>
          <ns0:t>0000 0011 0000 0000 0000 1111 0001 0011</ns0:t>
        </ns0:is>
      </ns0:c>
      <ns0:c r="H50" t="inlineStr">
        <ns0:is>
          <ns0:t>КОД</ns0:t>
        </ns0:is>
      </ns0:c>
      <ns0:c r="I50" s="20">
        <ns0:f>COUNTIF('ДАННЫЕ T3'!$F$6:$F$286,B50)</ns0:f>
        <ns0:v>6</ns0:v>
      </ns0:c>
      <ns0:c r="J50" t="str">
        <ns0:f>IF(I50&gt;0,"FETCH зарегистрирован","Нет FETCH в окне")</ns0:f>
        <ns0:v>FETCH зарегистрирован</ns0:v>
      </ns0:c>
    </ns0:row>
    <ns0:row r="51">
      <ns0:c r="A51" t="n">
        <ns0:v>45</ns0:v>
      </ns0:c>
      <ns0:c r="B51" s="15" t="inlineStr">
        <ns0:is>
          <ns0:t>0x000000B4</ns0:t>
        </ns0:is>
      </ns0:c>
      <ns0:c r="C51" s="15" t="inlineStr">
        <ns0:is>
          <ns0:t>0x04C0006F</ns0:t>
        </ns0:is>
      </ns0:c>
      <ns0:c r="D51" t="inlineStr">
        <ns0:is>
          <ns0:t>jal</ns0:t>
        </ns0:is>
      </ns0:c>
      <ns0:c r="E51" s="15" t="inlineStr">
        <ns0:is>
          <ns0:t>jal zero, 0x00000100</ns0:t>
        </ns0:is>
      </ns0:c>
      <ns0:c r="F51" s="15" t="inlineStr">
        <ns0:is>
          <ns0:t>1101111</ns0:t>
        </ns0:is>
      </ns0:c>
      <ns0:c r="G51" s="15" t="inlineStr">
        <ns0:is>
          <ns0:t>0000 0100 1100 0000 0000 0000 0110 1111</ns0:t>
        </ns0:is>
      </ns0:c>
      <ns0:c r="H51" t="inlineStr">
        <ns0:is>
          <ns0:t>КОД</ns0:t>
        </ns0:is>
      </ns0:c>
      <ns0:c r="I51" s="20">
        <ns0:f>COUNTIF('ДАННЫЕ T3'!$F$6:$F$286,B51)</ns0:f>
        <ns0:v>6</ns0:v>
      </ns0:c>
      <ns0:c r="J51" t="str">
        <ns0:f>IF(I51&gt;0,"FETCH зарегистрирован","Нет FETCH в окне")</ns0:f>
        <ns0:v>FETCH зарегистрирован</ns0:v>
      </ns0:c>
    </ns0:row>
    <ns0:row r="52">
      <ns0:c r="A52" t="n">
        <ns0:v>46</ns0:v>
      </ns0:c>
      <ns0:c r="B52" s="15" t="inlineStr">
        <ns0:is>
          <ns0:t>0x000000B8</ns0:t>
        </ns0:is>
      </ns0:c>
      <ns0:c r="C52" s="15" t="inlineStr">
        <ns0:is>
          <ns0:t>0x00100E93</ns0:t>
        </ns0:is>
      </ns0:c>
      <ns0:c r="D52" t="inlineStr">
        <ns0:is>
          <ns0:t>addi</ns0:t>
        </ns0:is>
      </ns0:c>
      <ns0:c r="E52" s="15" t="inlineStr">
        <ns0:is>
          <ns0:t>addi t4, zero, 1</ns0:t>
        </ns0:is>
      </ns0:c>
      <ns0:c r="F52" s="15" t="inlineStr">
        <ns0:is>
          <ns0:t>0010011</ns0:t>
        </ns0:is>
      </ns0:c>
      <ns0:c r="G52" s="15" t="inlineStr">
        <ns0:is>
          <ns0:t>0000 0000 0001 0000 0000 1110 1001 0011</ns0:t>
        </ns0:is>
      </ns0:c>
      <ns0:c r="H52" t="inlineStr">
        <ns0:is>
          <ns0:t>КОД</ns0:t>
        </ns0:is>
      </ns0:c>
      <ns0:c r="I52">
        <ns0:f>COUNTIF('ДАННЫЕ T3'!$F$6:$F$286,B52)</ns0:f>
        <ns0:v>0</ns0:v>
      </ns0:c>
      <ns0:c r="J52" t="str">
        <ns0:f>IF(I52&gt;0,"FETCH зарегистрирован","Нет FETCH в окне")</ns0:f>
        <ns0:v>Нет FETCH в окне</ns0:v>
      </ns0:c>
    </ns0:row>
    <ns0:row r="53">
      <ns0:c r="A53" t="n">
        <ns0:v>47</ns0:v>
      </ns0:c>
      <ns0:c r="B53" s="15" t="inlineStr">
        <ns0:is>
          <ns0:t>0x000000BC</ns0:t>
        </ns0:is>
      </ns0:c>
      <ns0:c r="C53" s="15" t="inlineStr">
        <ns0:is>
          <ns0:t>0x03100F13</ns0:t>
        </ns0:is>
      </ns0:c>
      <ns0:c r="D53" t="inlineStr">
        <ns0:is>
          <ns0:t>addi</ns0:t>
        </ns0:is>
      </ns0:c>
      <ns0:c r="E53" s="15" t="inlineStr">
        <ns0:is>
          <ns0:t>addi t5, zero, 49</ns0:t>
        </ns0:is>
      </ns0:c>
      <ns0:c r="F53" s="15" t="inlineStr">
        <ns0:is>
          <ns0:t>0010011</ns0:t>
        </ns0:is>
      </ns0:c>
      <ns0:c r="G53" s="15" t="inlineStr">
        <ns0:is>
          <ns0:t>0000 0011 0001 0000 0000 1111 0001 0011</ns0:t>
        </ns0:is>
      </ns0:c>
      <ns0:c r="H53" t="inlineStr">
        <ns0:is>
          <ns0:t>КОД</ns0:t>
        </ns0:is>
      </ns0:c>
      <ns0:c r="I53">
        <ns0:f>COUNTIF('ДАННЫЕ T3'!$F$6:$F$286,B53)</ns0:f>
        <ns0:v>0</ns0:v>
      </ns0:c>
      <ns0:c r="J53" t="str">
        <ns0:f>IF(I53&gt;0,"FETCH зарегистрирован","Нет FETCH в окне")</ns0:f>
        <ns0:v>Нет FETCH в окне</ns0:v>
      </ns0:c>
    </ns0:row>
    <ns0:row r="54">
      <ns0:c r="A54" t="n">
        <ns0:v>48</ns0:v>
      </ns0:c>
      <ns0:c r="B54" s="15" t="inlineStr">
        <ns0:is>
          <ns0:t>0x000000C0</ns0:t>
        </ns0:is>
      </ns0:c>
      <ns0:c r="C54" s="15" t="inlineStr">
        <ns0:is>
          <ns0:t>0x0400006F</ns0:t>
        </ns0:is>
      </ns0:c>
      <ns0:c r="D54" t="inlineStr">
        <ns0:is>
          <ns0:t>jal</ns0:t>
        </ns0:is>
      </ns0:c>
      <ns0:c r="E54" s="15" t="inlineStr">
        <ns0:is>
          <ns0:t>jal zero, 0x00000100</ns0:t>
        </ns0:is>
      </ns0:c>
      <ns0:c r="F54" s="15" t="inlineStr">
        <ns0:is>
          <ns0:t>1101111</ns0:t>
        </ns0:is>
      </ns0:c>
      <ns0:c r="G54" s="15" t="inlineStr">
        <ns0:is>
          <ns0:t>0000 0100 0000 0000 0000 0000 0110 1111</ns0:t>
        </ns0:is>
      </ns0:c>
      <ns0:c r="H54" t="inlineStr">
        <ns0:is>
          <ns0:t>КОД</ns0:t>
        </ns0:is>
      </ns0:c>
      <ns0:c r="I54">
        <ns0:f>COUNTIF('ДАННЫЕ T3'!$F$6:$F$286,B54)</ns0:f>
        <ns0:v>0</ns0:v>
      </ns0:c>
      <ns0:c r="J54" t="str">
        <ns0:f>IF(I54&gt;0,"FETCH зарегистрирован","Нет FETCH в окне")</ns0:f>
        <ns0:v>Нет FETCH в окне</ns0:v>
      </ns0:c>
    </ns0:row>
    <ns0:row r="55">
      <ns0:c r="A55" t="n">
        <ns0:v>49</ns0:v>
      </ns0:c>
      <ns0:c r="B55" s="15" t="inlineStr">
        <ns0:is>
          <ns0:t>0x000000C4</ns0:t>
        </ns0:is>
      </ns0:c>
      <ns0:c r="C55" s="15" t="inlineStr">
        <ns0:is>
          <ns0:t>0x00200E93</ns0:t>
        </ns0:is>
      </ns0:c>
      <ns0:c r="D55" t="inlineStr">
        <ns0:is>
          <ns0:t>addi</ns0:t>
        </ns0:is>
      </ns0:c>
      <ns0:c r="E55" s="15" t="inlineStr">
        <ns0:is>
          <ns0:t>addi t4, zero, 2</ns0:t>
        </ns0:is>
      </ns0:c>
      <ns0:c r="F55" s="15" t="inlineStr">
        <ns0:is>
          <ns0:t>0010011</ns0:t>
        </ns0:is>
      </ns0:c>
      <ns0:c r="G55" s="15" t="inlineStr">
        <ns0:is>
          <ns0:t>0000 0000 0010 0000 0000 1110 1001 0011</ns0:t>
        </ns0:is>
      </ns0:c>
      <ns0:c r="H55" t="inlineStr">
        <ns0:is>
          <ns0:t>КОД</ns0:t>
        </ns0:is>
      </ns0:c>
      <ns0:c r="I55">
        <ns0:f>COUNTIF('ДАННЫЕ T3'!$F$6:$F$286,B55)</ns0:f>
        <ns0:v>0</ns0:v>
      </ns0:c>
      <ns0:c r="J55" t="str">
        <ns0:f>IF(I55&gt;0,"FETCH зарегистрирован","Нет FETCH в окне")</ns0:f>
        <ns0:v>Нет FETCH в окне</ns0:v>
      </ns0:c>
    </ns0:row>
    <ns0:row r="56">
      <ns0:c r="A56" t="n">
        <ns0:v>50</ns0:v>
      </ns0:c>
      <ns0:c r="B56" s="15" t="inlineStr">
        <ns0:is>
          <ns0:t>0x000000C8</ns0:t>
        </ns0:is>
      </ns0:c>
      <ns0:c r="C56" s="15" t="inlineStr">
        <ns0:is>
          <ns0:t>0x03200F13</ns0:t>
        </ns0:is>
      </ns0:c>
      <ns0:c r="D56" t="inlineStr">
        <ns0:is>
          <ns0:t>addi</ns0:t>
        </ns0:is>
      </ns0:c>
      <ns0:c r="E56" s="15" t="inlineStr">
        <ns0:is>
          <ns0:t>addi t5, zero, 50</ns0:t>
        </ns0:is>
      </ns0:c>
      <ns0:c r="F56" s="15" t="inlineStr">
        <ns0:is>
          <ns0:t>0010011</ns0:t>
        </ns0:is>
      </ns0:c>
      <ns0:c r="G56" s="15" t="inlineStr">
        <ns0:is>
          <ns0:t>0000 0011 0010 0000 0000 1111 0001 0011</ns0:t>
        </ns0:is>
      </ns0:c>
      <ns0:c r="H56" t="inlineStr">
        <ns0:is>
          <ns0:t>КОД</ns0:t>
        </ns0:is>
      </ns0:c>
      <ns0:c r="I56">
        <ns0:f>COUNTIF('ДАННЫЕ T3'!$F$6:$F$286,B56)</ns0:f>
        <ns0:v>0</ns0:v>
      </ns0:c>
      <ns0:c r="J56" t="str">
        <ns0:f>IF(I56&gt;0,"FETCH зарегистрирован","Нет FETCH в окне")</ns0:f>
        <ns0:v>Нет FETCH в окне</ns0:v>
      </ns0:c>
    </ns0:row>
    <ns0:row r="57">
      <ns0:c r="A57" t="n">
        <ns0:v>51</ns0:v>
      </ns0:c>
      <ns0:c r="B57" s="15" t="inlineStr">
        <ns0:is>
          <ns0:t>0x000000CC</ns0:t>
        </ns0:is>
      </ns0:c>
      <ns0:c r="C57" s="15" t="inlineStr">
        <ns0:is>
          <ns0:t>0x0340006F</ns0:t>
        </ns0:is>
      </ns0:c>
      <ns0:c r="D57" t="inlineStr">
        <ns0:is>
          <ns0:t>jal</ns0:t>
        </ns0:is>
      </ns0:c>
      <ns0:c r="E57" s="15" t="inlineStr">
        <ns0:is>
          <ns0:t>jal zero, 0x00000100</ns0:t>
        </ns0:is>
      </ns0:c>
      <ns0:c r="F57" s="15" t="inlineStr">
        <ns0:is>
          <ns0:t>1101111</ns0:t>
        </ns0:is>
      </ns0:c>
      <ns0:c r="G57" s="15" t="inlineStr">
        <ns0:is>
          <ns0:t>0000 0011 0100 0000 0000 0000 0110 1111</ns0:t>
        </ns0:is>
      </ns0:c>
      <ns0:c r="H57" t="inlineStr">
        <ns0:is>
          <ns0:t>КОД</ns0:t>
        </ns0:is>
      </ns0:c>
      <ns0:c r="I57">
        <ns0:f>COUNTIF('ДАННЫЕ T3'!$F$6:$F$286,B57)</ns0:f>
        <ns0:v>0</ns0:v>
      </ns0:c>
      <ns0:c r="J57" t="str">
        <ns0:f>IF(I57&gt;0,"FETCH зарегистрирован","Нет FETCH в окне")</ns0:f>
        <ns0:v>Нет FETCH в окне</ns0:v>
      </ns0:c>
    </ns0:row>
    <ns0:row r="58">
      <ns0:c r="A58" t="n">
        <ns0:v>52</ns0:v>
      </ns0:c>
      <ns0:c r="B58" s="15" t="inlineStr">
        <ns0:is>
          <ns0:t>0x000000D0</ns0:t>
        </ns0:is>
      </ns0:c>
      <ns0:c r="C58" s="15" t="inlineStr">
        <ns0:is>
          <ns0:t>0x00400E93</ns0:t>
        </ns0:is>
      </ns0:c>
      <ns0:c r="D58" t="inlineStr">
        <ns0:is>
          <ns0:t>addi</ns0:t>
        </ns0:is>
      </ns0:c>
      <ns0:c r="E58" s="15" t="inlineStr">
        <ns0:is>
          <ns0:t>addi t4, zero, 4</ns0:t>
        </ns0:is>
      </ns0:c>
      <ns0:c r="F58" s="15" t="inlineStr">
        <ns0:is>
          <ns0:t>0010011</ns0:t>
        </ns0:is>
      </ns0:c>
      <ns0:c r="G58" s="15" t="inlineStr">
        <ns0:is>
          <ns0:t>0000 0000 0100 0000 0000 1110 1001 0011</ns0:t>
        </ns0:is>
      </ns0:c>
      <ns0:c r="H58" t="inlineStr">
        <ns0:is>
          <ns0:t>КОД</ns0:t>
        </ns0:is>
      </ns0:c>
      <ns0:c r="I58">
        <ns0:f>COUNTIF('ДАННЫЕ T3'!$F$6:$F$286,B58)</ns0:f>
        <ns0:v>0</ns0:v>
      </ns0:c>
      <ns0:c r="J58" t="str">
        <ns0:f>IF(I58&gt;0,"FETCH зарегистрирован","Нет FETCH в окне")</ns0:f>
        <ns0:v>Нет FETCH в окне</ns0:v>
      </ns0:c>
    </ns0:row>
    <ns0:row r="59">
      <ns0:c r="A59" t="n">
        <ns0:v>53</ns0:v>
      </ns0:c>
      <ns0:c r="B59" s="15" t="inlineStr">
        <ns0:is>
          <ns0:t>0x000000D4</ns0:t>
        </ns0:is>
      </ns0:c>
      <ns0:c r="C59" s="15" t="inlineStr">
        <ns0:is>
          <ns0:t>0x03300F13</ns0:t>
        </ns0:is>
      </ns0:c>
      <ns0:c r="D59" t="inlineStr">
        <ns0:is>
          <ns0:t>addi</ns0:t>
        </ns0:is>
      </ns0:c>
      <ns0:c r="E59" s="15" t="inlineStr">
        <ns0:is>
          <ns0:t>addi t5, zero, 51</ns0:t>
        </ns0:is>
      </ns0:c>
      <ns0:c r="F59" s="15" t="inlineStr">
        <ns0:is>
          <ns0:t>0010011</ns0:t>
        </ns0:is>
      </ns0:c>
      <ns0:c r="G59" s="15" t="inlineStr">
        <ns0:is>
          <ns0:t>0000 0011 0011 0000 0000 1111 0001 0011</ns0:t>
        </ns0:is>
      </ns0:c>
      <ns0:c r="H59" t="inlineStr">
        <ns0:is>
          <ns0:t>КОД</ns0:t>
        </ns0:is>
      </ns0:c>
      <ns0:c r="I59">
        <ns0:f>COUNTIF('ДАННЫЕ T3'!$F$6:$F$286,B59)</ns0:f>
        <ns0:v>0</ns0:v>
      </ns0:c>
      <ns0:c r="J59" t="str">
        <ns0:f>IF(I59&gt;0,"FETCH зарегистрирован","Нет FETCH в окне")</ns0:f>
        <ns0:v>Нет FETCH в окне</ns0:v>
      </ns0:c>
    </ns0:row>
    <ns0:row r="60">
      <ns0:c r="A60" t="n">
        <ns0:v>54</ns0:v>
      </ns0:c>
      <ns0:c r="B60" s="15" t="inlineStr">
        <ns0:is>
          <ns0:t>0x000000D8</ns0:t>
        </ns0:is>
      </ns0:c>
      <ns0:c r="C60" s="15" t="inlineStr">
        <ns0:is>
          <ns0:t>0x0280006F</ns0:t>
        </ns0:is>
      </ns0:c>
      <ns0:c r="D60" t="inlineStr">
        <ns0:is>
          <ns0:t>jal</ns0:t>
        </ns0:is>
      </ns0:c>
      <ns0:c r="E60" s="15" t="inlineStr">
        <ns0:is>
          <ns0:t>jal zero, 0x00000100</ns0:t>
        </ns0:is>
      </ns0:c>
      <ns0:c r="F60" s="15" t="inlineStr">
        <ns0:is>
          <ns0:t>1101111</ns0:t>
        </ns0:is>
      </ns0:c>
      <ns0:c r="G60" s="15" t="inlineStr">
        <ns0:is>
          <ns0:t>0000 0010 1000 0000 0000 0000 0110 1111</ns0:t>
        </ns0:is>
      </ns0:c>
      <ns0:c r="H60" t="inlineStr">
        <ns0:is>
          <ns0:t>КОД</ns0:t>
        </ns0:is>
      </ns0:c>
      <ns0:c r="I60">
        <ns0:f>COUNTIF('ДАННЫЕ T3'!$F$6:$F$286,B60)</ns0:f>
        <ns0:v>0</ns0:v>
      </ns0:c>
      <ns0:c r="J60" t="str">
        <ns0:f>IF(I60&gt;0,"FETCH зарегистрирован","Нет FETCH в окне")</ns0:f>
        <ns0:v>Нет FETCH в окне</ns0:v>
      </ns0:c>
    </ns0:row>
    <ns0:row r="61">
      <ns0:c r="A61" t="n">
        <ns0:v>55</ns0:v>
      </ns0:c>
      <ns0:c r="B61" s="15" t="inlineStr">
        <ns0:is>
          <ns0:t>0x000000DC</ns0:t>
        </ns0:is>
      </ns0:c>
      <ns0:c r="C61" s="15" t="inlineStr">
        <ns0:is>
          <ns0:t>0x00800E93</ns0:t>
        </ns0:is>
      </ns0:c>
      <ns0:c r="D61" t="inlineStr">
        <ns0:is>
          <ns0:t>addi</ns0:t>
        </ns0:is>
      </ns0:c>
      <ns0:c r="E61" s="15" t="inlineStr">
        <ns0:is>
          <ns0:t>addi t4, zero, 8</ns0:t>
        </ns0:is>
      </ns0:c>
      <ns0:c r="F61" s="15" t="inlineStr">
        <ns0:is>
          <ns0:t>0010011</ns0:t>
        </ns0:is>
      </ns0:c>
      <ns0:c r="G61" s="15" t="inlineStr">
        <ns0:is>
          <ns0:t>0000 0000 1000 0000 0000 1110 1001 0011</ns0:t>
        </ns0:is>
      </ns0:c>
      <ns0:c r="H61" t="inlineStr">
        <ns0:is>
          <ns0:t>КОД</ns0:t>
        </ns0:is>
      </ns0:c>
      <ns0:c r="I61" s="20">
        <ns0:f>COUNTIF('ДАННЫЕ T3'!$F$6:$F$286,B61)</ns0:f>
        <ns0:v>6</ns0:v>
      </ns0:c>
      <ns0:c r="J61" t="str">
        <ns0:f>IF(I61&gt;0,"FETCH зарегистрирован","Нет FETCH в окне")</ns0:f>
        <ns0:v>FETCH зарегистрирован</ns0:v>
      </ns0:c>
    </ns0:row>
    <ns0:row r="62">
      <ns0:c r="A62" t="n">
        <ns0:v>56</ns0:v>
      </ns0:c>
      <ns0:c r="B62" s="15" t="inlineStr">
        <ns0:is>
          <ns0:t>0x000000E0</ns0:t>
        </ns0:is>
      </ns0:c>
      <ns0:c r="C62" s="15" t="inlineStr">
        <ns0:is>
          <ns0:t>0x03400F13</ns0:t>
        </ns0:is>
      </ns0:c>
      <ns0:c r="D62" t="inlineStr">
        <ns0:is>
          <ns0:t>addi</ns0:t>
        </ns0:is>
      </ns0:c>
      <ns0:c r="E62" s="15" t="inlineStr">
        <ns0:is>
          <ns0:t>addi t5, zero, 52</ns0:t>
        </ns0:is>
      </ns0:c>
      <ns0:c r="F62" s="15" t="inlineStr">
        <ns0:is>
          <ns0:t>0010011</ns0:t>
        </ns0:is>
      </ns0:c>
      <ns0:c r="G62" s="15" t="inlineStr">
        <ns0:is>
          <ns0:t>0000 0011 0100 0000 0000 1111 0001 0011</ns0:t>
        </ns0:is>
      </ns0:c>
      <ns0:c r="H62" t="inlineStr">
        <ns0:is>
          <ns0:t>КОД</ns0:t>
        </ns0:is>
      </ns0:c>
      <ns0:c r="I62" s="20">
        <ns0:f>COUNTIF('ДАННЫЕ T3'!$F$6:$F$286,B62)</ns0:f>
        <ns0:v>6</ns0:v>
      </ns0:c>
      <ns0:c r="J62" t="str">
        <ns0:f>IF(I62&gt;0,"FETCH зарегистрирован","Нет FETCH в окне")</ns0:f>
        <ns0:v>FETCH зарегистрирован</ns0:v>
      </ns0:c>
    </ns0:row>
    <ns0:row r="63">
      <ns0:c r="A63" t="n">
        <ns0:v>57</ns0:v>
      </ns0:c>
      <ns0:c r="B63" s="15" t="inlineStr">
        <ns0:is>
          <ns0:t>0x000000E4</ns0:t>
        </ns0:is>
      </ns0:c>
      <ns0:c r="C63" s="15" t="inlineStr">
        <ns0:is>
          <ns0:t>0x01C0006F</ns0:t>
        </ns0:is>
      </ns0:c>
      <ns0:c r="D63" t="inlineStr">
        <ns0:is>
          <ns0:t>jal</ns0:t>
        </ns0:is>
      </ns0:c>
      <ns0:c r="E63" s="15" t="inlineStr">
        <ns0:is>
          <ns0:t>jal zero, 0x00000100</ns0:t>
        </ns0:is>
      </ns0:c>
      <ns0:c r="F63" s="15" t="inlineStr">
        <ns0:is>
          <ns0:t>1101111</ns0:t>
        </ns0:is>
      </ns0:c>
      <ns0:c r="G63" s="15" t="inlineStr">
        <ns0:is>
          <ns0:t>0000 0001 1100 0000 0000 0000 0110 1111</ns0:t>
        </ns0:is>
      </ns0:c>
      <ns0:c r="H63" t="inlineStr">
        <ns0:is>
          <ns0:t>КОД</ns0:t>
        </ns0:is>
      </ns0:c>
      <ns0:c r="I63" s="20">
        <ns0:f>COUNTIF('ДАННЫЕ T3'!$F$6:$F$286,B63)</ns0:f>
        <ns0:v>6</ns0:v>
      </ns0:c>
      <ns0:c r="J63" t="str">
        <ns0:f>IF(I63&gt;0,"FETCH зарегистрирован","Нет FETCH в окне")</ns0:f>
        <ns0:v>FETCH зарегистрирован</ns0:v>
      </ns0:c>
    </ns0:row>
    <ns0:row r="64">
      <ns0:c r="A64" t="n">
        <ns0:v>58</ns0:v>
      </ns0:c>
      <ns0:c r="B64" s="15" t="inlineStr">
        <ns0:is>
          <ns0:t>0x000000E8</ns0:t>
        </ns0:is>
      </ns0:c>
      <ns0:c r="C64" s="15" t="inlineStr">
        <ns0:is>
          <ns0:t>0x01000E93</ns0:t>
        </ns0:is>
      </ns0:c>
      <ns0:c r="D64" t="inlineStr">
        <ns0:is>
          <ns0:t>addi</ns0:t>
        </ns0:is>
      </ns0:c>
      <ns0:c r="E64" s="15" t="inlineStr">
        <ns0:is>
          <ns0:t>addi t4, zero, 16</ns0:t>
        </ns0:is>
      </ns0:c>
      <ns0:c r="F64" s="15" t="inlineStr">
        <ns0:is>
          <ns0:t>0010011</ns0:t>
        </ns0:is>
      </ns0:c>
      <ns0:c r="G64" s="15" t="inlineStr">
        <ns0:is>
          <ns0:t>0000 0001 0000 0000 0000 1110 1001 0011</ns0:t>
        </ns0:is>
      </ns0:c>
      <ns0:c r="H64" t="inlineStr">
        <ns0:is>
          <ns0:t>КОД</ns0:t>
        </ns0:is>
      </ns0:c>
      <ns0:c r="I64">
        <ns0:f>COUNTIF('ДАННЫЕ T3'!$F$6:$F$286,B64)</ns0:f>
        <ns0:v>0</ns0:v>
      </ns0:c>
      <ns0:c r="J64" t="str">
        <ns0:f>IF(I64&gt;0,"FETCH зарегистрирован","Нет FETCH в окне")</ns0:f>
        <ns0:v>Нет FETCH в окне</ns0:v>
      </ns0:c>
    </ns0:row>
    <ns0:row r="65">
      <ns0:c r="A65" t="n">
        <ns0:v>59</ns0:v>
      </ns0:c>
      <ns0:c r="B65" s="15" t="inlineStr">
        <ns0:is>
          <ns0:t>0x000000EC</ns0:t>
        </ns0:is>
      </ns0:c>
      <ns0:c r="C65" s="15" t="inlineStr">
        <ns0:is>
          <ns0:t>0x03500F13</ns0:t>
        </ns0:is>
      </ns0:c>
      <ns0:c r="D65" t="inlineStr">
        <ns0:is>
          <ns0:t>addi</ns0:t>
        </ns0:is>
      </ns0:c>
      <ns0:c r="E65" s="15" t="inlineStr">
        <ns0:is>
          <ns0:t>addi t5, zero, 53</ns0:t>
        </ns0:is>
      </ns0:c>
      <ns0:c r="F65" s="15" t="inlineStr">
        <ns0:is>
          <ns0:t>0010011</ns0:t>
        </ns0:is>
      </ns0:c>
      <ns0:c r="G65" s="15" t="inlineStr">
        <ns0:is>
          <ns0:t>0000 0011 0101 0000 0000 1111 0001 0011</ns0:t>
        </ns0:is>
      </ns0:c>
      <ns0:c r="H65" t="inlineStr">
        <ns0:is>
          <ns0:t>КОД</ns0:t>
        </ns0:is>
      </ns0:c>
      <ns0:c r="I65">
        <ns0:f>COUNTIF('ДАННЫЕ T3'!$F$6:$F$286,B65)</ns0:f>
        <ns0:v>0</ns0:v>
      </ns0:c>
      <ns0:c r="J65" t="str">
        <ns0:f>IF(I65&gt;0,"FETCH зарегистрирован","Нет FETCH в окне")</ns0:f>
        <ns0:v>Нет FETCH в окне</ns0:v>
      </ns0:c>
    </ns0:row>
    <ns0:row r="66">
      <ns0:c r="A66" t="n">
        <ns0:v>60</ns0:v>
      </ns0:c>
      <ns0:c r="B66" s="15" t="inlineStr">
        <ns0:is>
          <ns0:t>0x000000F0</ns0:t>
        </ns0:is>
      </ns0:c>
      <ns0:c r="C66" s="15" t="inlineStr">
        <ns0:is>
          <ns0:t>0x0100006F</ns0:t>
        </ns0:is>
      </ns0:c>
      <ns0:c r="D66" t="inlineStr">
        <ns0:is>
          <ns0:t>jal</ns0:t>
        </ns0:is>
      </ns0:c>
      <ns0:c r="E66" s="15" t="inlineStr">
        <ns0:is>
          <ns0:t>jal zero, 0x00000100</ns0:t>
        </ns0:is>
      </ns0:c>
      <ns0:c r="F66" s="15" t="inlineStr">
        <ns0:is>
          <ns0:t>1101111</ns0:t>
        </ns0:is>
      </ns0:c>
      <ns0:c r="G66" s="15" t="inlineStr">
        <ns0:is>
          <ns0:t>0000 0001 0000 0000 0000 0000 0110 1111</ns0:t>
        </ns0:is>
      </ns0:c>
      <ns0:c r="H66" t="inlineStr">
        <ns0:is>
          <ns0:t>КОД</ns0:t>
        </ns0:is>
      </ns0:c>
      <ns0:c r="I66">
        <ns0:f>COUNTIF('ДАННЫЕ T3'!$F$6:$F$286,B66)</ns0:f>
        <ns0:v>0</ns0:v>
      </ns0:c>
      <ns0:c r="J66" t="str">
        <ns0:f>IF(I66&gt;0,"FETCH зарегистрирован","Нет FETCH в окне")</ns0:f>
        <ns0:v>Нет FETCH в окне</ns0:v>
      </ns0:c>
    </ns0:row>
    <ns0:row r="67">
      <ns0:c r="A67" t="n">
        <ns0:v>61</ns0:v>
      </ns0:c>
      <ns0:c r="B67" s="15" t="inlineStr">
        <ns0:is>
          <ns0:t>0x000000F4</ns0:t>
        </ns0:is>
      </ns0:c>
      <ns0:c r="C67" s="15" t="inlineStr">
        <ns0:is>
          <ns0:t>0x02000E93</ns0:t>
        </ns0:is>
      </ns0:c>
      <ns0:c r="D67" t="inlineStr">
        <ns0:is>
          <ns0:t>addi</ns0:t>
        </ns0:is>
      </ns0:c>
      <ns0:c r="E67" s="15" t="inlineStr">
        <ns0:is>
          <ns0:t>addi t4, zero, 32</ns0:t>
        </ns0:is>
      </ns0:c>
      <ns0:c r="F67" s="15" t="inlineStr">
        <ns0:is>
          <ns0:t>0010011</ns0:t>
        </ns0:is>
      </ns0:c>
      <ns0:c r="G67" s="15" t="inlineStr">
        <ns0:is>
          <ns0:t>0000 0010 0000 0000 0000 1110 1001 0011</ns0:t>
        </ns0:is>
      </ns0:c>
      <ns0:c r="H67" t="inlineStr">
        <ns0:is>
          <ns0:t>КОД</ns0:t>
        </ns0:is>
      </ns0:c>
      <ns0:c r="I67">
        <ns0:f>COUNTIF('ДАННЫЕ T3'!$F$6:$F$286,B67)</ns0:f>
        <ns0:v>0</ns0:v>
      </ns0:c>
      <ns0:c r="J67" t="str">
        <ns0:f>IF(I67&gt;0,"FETCH зарегистрирован","Нет FETCH в окне")</ns0:f>
        <ns0:v>Нет FETCH в окне</ns0:v>
      </ns0:c>
    </ns0:row>
    <ns0:row r="68">
      <ns0:c r="A68" t="n">
        <ns0:v>62</ns0:v>
      </ns0:c>
      <ns0:c r="B68" s="15" t="inlineStr">
        <ns0:is>
          <ns0:t>0x000000F8</ns0:t>
        </ns0:is>
      </ns0:c>
      <ns0:c r="C68" s="15" t="inlineStr">
        <ns0:is>
          <ns0:t>0x03600F13</ns0:t>
        </ns0:is>
      </ns0:c>
      <ns0:c r="D68" t="inlineStr">
        <ns0:is>
          <ns0:t>addi</ns0:t>
        </ns0:is>
      </ns0:c>
      <ns0:c r="E68" s="15" t="inlineStr">
        <ns0:is>
          <ns0:t>addi t5, zero, 54</ns0:t>
        </ns0:is>
      </ns0:c>
      <ns0:c r="F68" s="15" t="inlineStr">
        <ns0:is>
          <ns0:t>0010011</ns0:t>
        </ns0:is>
      </ns0:c>
      <ns0:c r="G68" s="15" t="inlineStr">
        <ns0:is>
          <ns0:t>0000 0011 0110 0000 0000 1111 0001 0011</ns0:t>
        </ns0:is>
      </ns0:c>
      <ns0:c r="H68" t="inlineStr">
        <ns0:is>
          <ns0:t>КОД</ns0:t>
        </ns0:is>
      </ns0:c>
      <ns0:c r="I68">
        <ns0:f>COUNTIF('ДАННЫЕ T3'!$F$6:$F$286,B68)</ns0:f>
        <ns0:v>0</ns0:v>
      </ns0:c>
      <ns0:c r="J68" t="str">
        <ns0:f>IF(I68&gt;0,"FETCH зарегистрирован","Нет FETCH в окне")</ns0:f>
        <ns0:v>Нет FETCH в окне</ns0:v>
      </ns0:c>
    </ns0:row>
    <ns0:row r="69">
      <ns0:c r="A69" t="n">
        <ns0:v>63</ns0:v>
      </ns0:c>
      <ns0:c r="B69" s="15" t="inlineStr">
        <ns0:is>
          <ns0:t>0x000000FC</ns0:t>
        </ns0:is>
      </ns0:c>
      <ns0:c r="C69" s="15" t="inlineStr">
        <ns0:is>
          <ns0:t>0x0040006F</ns0:t>
        </ns0:is>
      </ns0:c>
      <ns0:c r="D69" t="inlineStr">
        <ns0:is>
          <ns0:t>jal</ns0:t>
        </ns0:is>
      </ns0:c>
      <ns0:c r="E69" s="15" t="inlineStr">
        <ns0:is>
          <ns0:t>jal zero, 0x00000100</ns0:t>
        </ns0:is>
      </ns0:c>
      <ns0:c r="F69" s="15" t="inlineStr">
        <ns0:is>
          <ns0:t>1101111</ns0:t>
        </ns0:is>
      </ns0:c>
      <ns0:c r="G69" s="15" t="inlineStr">
        <ns0:is>
          <ns0:t>0000 0000 0100 0000 0000 0000 0110 1111</ns0:t>
        </ns0:is>
      </ns0:c>
      <ns0:c r="H69" t="inlineStr">
        <ns0:is>
          <ns0:t>КОД</ns0:t>
        </ns0:is>
      </ns0:c>
      <ns0:c r="I69">
        <ns0:f>COUNTIF('ДАННЫЕ T3'!$F$6:$F$286,B69)</ns0:f>
        <ns0:v>0</ns0:v>
      </ns0:c>
      <ns0:c r="J69" t="str">
        <ns0:f>IF(I69&gt;0,"FETCH зарегистрирован","Нет FETCH в окне")</ns0:f>
        <ns0:v>Нет FETCH в окне</ns0:v>
      </ns0:c>
    </ns0:row>
    <ns0:row r="70">
      <ns0:c r="A70" t="n">
        <ns0:v>64</ns0:v>
      </ns0:c>
      <ns0:c r="B70" s="15" t="inlineStr">
        <ns0:is>
          <ns0:t>0x00000100</ns0:t>
        </ns0:is>
      </ns0:c>
      <ns0:c r="C70" s="15" t="inlineStr">
        <ns0:is>
          <ns0:t>0x01D2A023</ns0:t>
        </ns0:is>
      </ns0:c>
      <ns0:c r="D70" t="inlineStr">
        <ns0:is>
          <ns0:t>sw</ns0:t>
        </ns0:is>
      </ns0:c>
      <ns0:c r="E70" s="15" t="inlineStr">
        <ns0:is>
          <ns0:t>sw t4, 0(t0)</ns0:t>
        </ns0:is>
      </ns0:c>
      <ns0:c r="F70" s="15" t="inlineStr">
        <ns0:is>
          <ns0:t>0100011</ns0:t>
        </ns0:is>
      </ns0:c>
      <ns0:c r="G70" s="15" t="inlineStr">
        <ns0:is>
          <ns0:t>0000 0001 1101 0010 1010 0000 0010 0011</ns0:t>
        </ns0:is>
      </ns0:c>
      <ns0:c r="H70" t="inlineStr">
        <ns0:is>
          <ns0:t>КОД</ns0:t>
        </ns0:is>
      </ns0:c>
      <ns0:c r="I70" s="20">
        <ns0:f>COUNTIF('ДАННЫЕ T3'!$F$6:$F$286,B70)</ns0:f>
        <ns0:v>12</ns0:v>
      </ns0:c>
      <ns0:c r="J70" t="str">
        <ns0:f>IF(I70&gt;0,"FETCH зарегистрирован","Нет FETCH в окне")</ns0:f>
        <ns0:v>FETCH зарегистрирован</ns0:v>
      </ns0:c>
    </ns0:row>
    <ns0:row r="71">
      <ns0:c r="A71" t="n">
        <ns0:v>65</ns0:v>
      </ns0:c>
      <ns0:c r="B71" s="15" t="inlineStr">
        <ns0:is>
          <ns0:t>0x00000104</ns0:t>
        </ns0:is>
      </ns0:c>
      <ns0:c r="C71" s="15" t="inlineStr">
        <ns0:is>
          <ns0:t>0x0002AF83</ns0:t>
        </ns0:is>
      </ns0:c>
      <ns0:c r="D71" t="inlineStr">
        <ns0:is>
          <ns0:t>lw</ns0:t>
        </ns0:is>
      </ns0:c>
      <ns0:c r="E71" s="15" t="inlineStr">
        <ns0:is>
          <ns0:t>lw t6, 0(t0)</ns0:t>
        </ns0:is>
      </ns0:c>
      <ns0:c r="F71" s="15" t="inlineStr">
        <ns0:is>
          <ns0:t>0000011</ns0:t>
        </ns0:is>
      </ns0:c>
      <ns0:c r="G71" s="15" t="inlineStr">
        <ns0:is>
          <ns0:t>0000 0000 0000 0010 1010 1111 1000 0011</ns0:t>
        </ns0:is>
      </ns0:c>
      <ns0:c r="H71" t="inlineStr">
        <ns0:is>
          <ns0:t>КОД</ns0:t>
        </ns0:is>
      </ns0:c>
      <ns0:c r="I71" s="20">
        <ns0:f>COUNTIF('ДАННЫЕ T3'!$F$6:$F$286,B71)</ns0:f>
        <ns0:v>12</ns0:v>
      </ns0:c>
      <ns0:c r="J71" t="str">
        <ns0:f>IF(I71&gt;0,"FETCH зарегистрирован","Нет FETCH в окне")</ns0:f>
        <ns0:v>FETCH зарегистрирован</ns0:v>
      </ns0:c>
    </ns0:row>
    <ns0:row r="72">
      <ns0:c r="A72" t="n">
        <ns0:v>66</ns0:v>
      </ns0:c>
      <ns0:c r="B72" s="15" t="inlineStr">
        <ns0:is>
          <ns0:t>0x00000108</ns0:t>
        </ns0:is>
      </ns0:c>
      <ns0:c r="C72" s="15" t="inlineStr">
        <ns0:is>
          <ns0:t>0x0BDF9C63</ns0:t>
        </ns0:is>
      </ns0:c>
      <ns0:c r="D72" t="inlineStr">
        <ns0:is>
          <ns0:t>bne</ns0:t>
        </ns0:is>
      </ns0:c>
      <ns0:c r="E72" s="15" t="inlineStr">
        <ns0:is>
          <ns0:t>bne t6, t4, 0x000001C0</ns0:t>
        </ns0:is>
      </ns0:c>
      <ns0:c r="F72" s="15" t="inlineStr">
        <ns0:is>
          <ns0:t>1100011</ns0:t>
        </ns0:is>
      </ns0:c>
      <ns0:c r="G72" s="15" t="inlineStr">
        <ns0:is>
          <ns0:t>0000 1011 1101 1111 1001 1100 0110 0011</ns0:t>
        </ns0:is>
      </ns0:c>
      <ns0:c r="H72" t="inlineStr">
        <ns0:is>
          <ns0:t>КОД</ns0:t>
        </ns0:is>
      </ns0:c>
      <ns0:c r="I72">
        <ns0:f>COUNTIF('ДАННЫЕ T3'!$F$6:$F$286,B72)</ns0:f>
        <ns0:v>0</ns0:v>
      </ns0:c>
      <ns0:c r="J72" t="str">
        <ns0:f>IF(I72&gt;0,"FETCH зарегистрирован","Нет FETCH в окне")</ns0:f>
        <ns0:v>Нет FETCH в окне</ns0:v>
      </ns0:c>
    </ns0:row>
    <ns0:row r="73">
      <ns0:c r="A73" t="n">
        <ns0:v>67</ns0:v>
      </ns0:c>
      <ns0:c r="B73" s="15" t="inlineStr">
        <ns0:is>
          <ns0:t>0x0000010C</ns0:t>
        </ns0:is>
      </ns0:c>
      <ns0:c r="C73" s="15" t="inlineStr">
        <ns0:is>
          <ns0:t>0x07C0006F</ns0:t>
        </ns0:is>
      </ns0:c>
      <ns0:c r="D73" t="inlineStr">
        <ns0:is>
          <ns0:t>jal</ns0:t>
        </ns0:is>
      </ns0:c>
      <ns0:c r="E73" s="15" t="inlineStr">
        <ns0:is>
          <ns0:t>jal zero, 0x00000188</ns0:t>
        </ns0:is>
      </ns0:c>
      <ns0:c r="F73" s="15" t="inlineStr">
        <ns0:is>
          <ns0:t>1101111</ns0:t>
        </ns0:is>
      </ns0:c>
      <ns0:c r="G73" s="15" t="inlineStr">
        <ns0:is>
          <ns0:t>0000 0111 1100 0000 0000 0000 0110 1111</ns0:t>
        </ns0:is>
      </ns0:c>
      <ns0:c r="H73" t="inlineStr">
        <ns0:is>
          <ns0:t>КОД</ns0:t>
        </ns0:is>
      </ns0:c>
      <ns0:c r="I73">
        <ns0:f>COUNTIF('ДАННЫЕ T3'!$F$6:$F$286,B73)</ns0:f>
        <ns0:v>0</ns0:v>
      </ns0:c>
      <ns0:c r="J73" t="str">
        <ns0:f>IF(I73&gt;0,"FETCH зарегистрирован","Нет FETCH в окне")</ns0:f>
        <ns0:v>Нет FETCH в окне</ns0:v>
      </ns0:c>
    </ns0:row>
    <ns0:row r="74">
      <ns0:c r="A74" t="n">
        <ns0:v>68</ns0:v>
      </ns0:c>
      <ns0:c r="B74" s="15" t="inlineStr">
        <ns0:is>
          <ns0:t>0x00000110</ns0:t>
        </ns0:is>
      </ns0:c>
      <ns0:c r="C74" s="15" t="inlineStr">
        <ns0:is>
          <ns0:t>0x0002AF83</ns0:t>
        </ns0:is>
      </ns0:c>
      <ns0:c r="D74" t="inlineStr">
        <ns0:is>
          <ns0:t>lw</ns0:t>
        </ns0:is>
      </ns0:c>
      <ns0:c r="E74" s="15" t="inlineStr">
        <ns0:is>
          <ns0:t>lw t6, 0(t0)</ns0:t>
        </ns0:is>
      </ns0:c>
      <ns0:c r="F74" s="15" t="inlineStr">
        <ns0:is>
          <ns0:t>0000011</ns0:t>
        </ns0:is>
      </ns0:c>
      <ns0:c r="G74" s="15" t="inlineStr">
        <ns0:is>
          <ns0:t>0000 0000 0000 0010 1010 1111 1000 0011</ns0:t>
        </ns0:is>
      </ns0:c>
      <ns0:c r="H74" t="inlineStr">
        <ns0:is>
          <ns0:t>КОД</ns0:t>
        </ns0:is>
      </ns0:c>
      <ns0:c r="I74">
        <ns0:f>COUNTIF('ДАННЫЕ T3'!$F$6:$F$286,B74)</ns0:f>
        <ns0:v>0</ns0:v>
      </ns0:c>
      <ns0:c r="J74" t="str">
        <ns0:f>IF(I74&gt;0,"FETCH зарегистрирован","Нет FETCH в окне")</ns0:f>
        <ns0:v>Нет FETCH в окне</ns0:v>
      </ns0:c>
    </ns0:row>
    <ns0:row r="75">
      <ns0:c r="A75" t="n">
        <ns0:v>69</ns0:v>
      </ns0:c>
      <ns0:c r="B75" s="15" t="inlineStr">
        <ns0:is>
          <ns0:t>0x00000114</ns0:t>
        </ns0:is>
      </ns0:c>
      <ns0:c r="C75" s="15" t="inlineStr">
        <ns0:is>
          <ns0:t>0x00000413</ns0:t>
        </ns0:is>
      </ns0:c>
      <ns0:c r="D75" t="inlineStr">
        <ns0:is>
          <ns0:t>addi</ns0:t>
        </ns0:is>
      </ns0:c>
      <ns0:c r="E75" s="15" t="inlineStr">
        <ns0:is>
          <ns0:t>addi s0, zero, 0</ns0:t>
        </ns0:is>
      </ns0:c>
      <ns0:c r="F75" s="15" t="inlineStr">
        <ns0:is>
          <ns0:t>0010011</ns0:t>
        </ns0:is>
      </ns0:c>
      <ns0:c r="G75" s="15" t="inlineStr">
        <ns0:is>
          <ns0:t>0000 0000 0000 0000 0000 0100 0001 0011</ns0:t>
        </ns0:is>
      </ns0:c>
      <ns0:c r="H75" t="inlineStr">
        <ns0:is>
          <ns0:t>КОД</ns0:t>
        </ns0:is>
      </ns0:c>
      <ns0:c r="I75">
        <ns0:f>COUNTIF('ДАННЫЕ T3'!$F$6:$F$286,B75)</ns0:f>
        <ns0:v>0</ns0:v>
      </ns0:c>
      <ns0:c r="J75" t="str">
        <ns0:f>IF(I75&gt;0,"FETCH зарегистрирован","Нет FETCH в окне")</ns0:f>
        <ns0:v>Нет FETCH в окне</ns0:v>
      </ns0:c>
    </ns0:row>
    <ns0:row r="76">
      <ns0:c r="A76" t="n">
        <ns0:v>70</ns0:v>
      </ns0:c>
      <ns0:c r="B76" s="15" t="inlineStr">
        <ns0:is>
          <ns0:t>0x00000118</ns0:t>
        </ns0:is>
      </ns0:c>
      <ns0:c r="C76" s="15" t="inlineStr">
        <ns0:is>
          <ns0:t>0x028F8C63</ns0:t>
        </ns0:is>
      </ns0:c>
      <ns0:c r="D76" t="inlineStr">
        <ns0:is>
          <ns0:t>beq</ns0:t>
        </ns0:is>
      </ns0:c>
      <ns0:c r="E76" s="15" t="inlineStr">
        <ns0:is>
          <ns0:t>beq t6, s0, 0x00000150</ns0:t>
        </ns0:is>
      </ns0:c>
      <ns0:c r="F76" s="15" t="inlineStr">
        <ns0:is>
          <ns0:t>1100011</ns0:t>
        </ns0:is>
      </ns0:c>
      <ns0:c r="G76" s="15" t="inlineStr">
        <ns0:is>
          <ns0:t>0000 0010 1000 1111 1000 1100 0110 0011</ns0:t>
        </ns0:is>
      </ns0:c>
      <ns0:c r="H76" t="inlineStr">
        <ns0:is>
          <ns0:t>КОД</ns0:t>
        </ns0:is>
      </ns0:c>
      <ns0:c r="I76">
        <ns0:f>COUNTIF('ДАННЫЕ T3'!$F$6:$F$286,B76)</ns0:f>
        <ns0:v>0</ns0:v>
      </ns0:c>
      <ns0:c r="J76" t="str">
        <ns0:f>IF(I76&gt;0,"FETCH зарегистрирован","Нет FETCH в окне")</ns0:f>
        <ns0:v>Нет FETCH в окне</ns0:v>
      </ns0:c>
    </ns0:row>
    <ns0:row r="77">
      <ns0:c r="A77" t="n">
        <ns0:v>71</ns0:v>
      </ns0:c>
      <ns0:c r="B77" s="15" t="inlineStr">
        <ns0:is>
          <ns0:t>0x0000011C</ns0:t>
        </ns0:is>
      </ns0:c>
      <ns0:c r="C77" s="15" t="inlineStr">
        <ns0:is>
          <ns0:t>0x00100413</ns0:t>
        </ns0:is>
      </ns0:c>
      <ns0:c r="D77" t="inlineStr">
        <ns0:is>
          <ns0:t>addi</ns0:t>
        </ns0:is>
      </ns0:c>
      <ns0:c r="E77" s="15" t="inlineStr">
        <ns0:is>
          <ns0:t>addi s0, zero, 1</ns0:t>
        </ns0:is>
      </ns0:c>
      <ns0:c r="F77" s="15" t="inlineStr">
        <ns0:is>
          <ns0:t>0010011</ns0:t>
        </ns0:is>
      </ns0:c>
      <ns0:c r="G77" s="15" t="inlineStr">
        <ns0:is>
          <ns0:t>0000 0000 0001 0000 0000 0100 0001 0011</ns0:t>
        </ns0:is>
      </ns0:c>
      <ns0:c r="H77" t="inlineStr">
        <ns0:is>
          <ns0:t>КОД</ns0:t>
        </ns0:is>
      </ns0:c>
      <ns0:c r="I77">
        <ns0:f>COUNTIF('ДАННЫЕ T3'!$F$6:$F$286,B77)</ns0:f>
        <ns0:v>0</ns0:v>
      </ns0:c>
      <ns0:c r="J77" t="str">
        <ns0:f>IF(I77&gt;0,"FETCH зарегистрирован","Нет FETCH в окне")</ns0:f>
        <ns0:v>Нет FETCH в окне</ns0:v>
      </ns0:c>
    </ns0:row>
    <ns0:row r="78">
      <ns0:c r="A78" t="n">
        <ns0:v>72</ns0:v>
      </ns0:c>
      <ns0:c r="B78" s="15" t="inlineStr">
        <ns0:is>
          <ns0:t>0x00000120</ns0:t>
        </ns0:is>
      </ns0:c>
      <ns0:c r="C78" s="15" t="inlineStr">
        <ns0:is>
          <ns0:t>0x028F8C63</ns0:t>
        </ns0:is>
      </ns0:c>
      <ns0:c r="D78" t="inlineStr">
        <ns0:is>
          <ns0:t>beq</ns0:t>
        </ns0:is>
      </ns0:c>
      <ns0:c r="E78" s="15" t="inlineStr">
        <ns0:is>
          <ns0:t>beq t6, s0, 0x00000158</ns0:t>
        </ns0:is>
      </ns0:c>
      <ns0:c r="F78" s="15" t="inlineStr">
        <ns0:is>
          <ns0:t>1100011</ns0:t>
        </ns0:is>
      </ns0:c>
      <ns0:c r="G78" s="15" t="inlineStr">
        <ns0:is>
          <ns0:t>0000 0010 1000 1111 1000 1100 0110 0011</ns0:t>
        </ns0:is>
      </ns0:c>
      <ns0:c r="H78" t="inlineStr">
        <ns0:is>
          <ns0:t>КОД</ns0:t>
        </ns0:is>
      </ns0:c>
      <ns0:c r="I78">
        <ns0:f>COUNTIF('ДАННЫЕ T3'!$F$6:$F$286,B78)</ns0:f>
        <ns0:v>0</ns0:v>
      </ns0:c>
      <ns0:c r="J78" t="str">
        <ns0:f>IF(I78&gt;0,"FETCH зарегистрирован","Нет FETCH в окне")</ns0:f>
        <ns0:v>Нет FETCH в окне</ns0:v>
      </ns0:c>
    </ns0:row>
    <ns0:row r="79">
      <ns0:c r="A79" t="n">
        <ns0:v>73</ns0:v>
      </ns0:c>
      <ns0:c r="B79" s="15" t="inlineStr">
        <ns0:is>
          <ns0:t>0x00000124</ns0:t>
        </ns0:is>
      </ns0:c>
      <ns0:c r="C79" s="15" t="inlineStr">
        <ns0:is>
          <ns0:t>0x00200413</ns0:t>
        </ns0:is>
      </ns0:c>
      <ns0:c r="D79" t="inlineStr">
        <ns0:is>
          <ns0:t>addi</ns0:t>
        </ns0:is>
      </ns0:c>
      <ns0:c r="E79" s="15" t="inlineStr">
        <ns0:is>
          <ns0:t>addi s0, zero, 2</ns0:t>
        </ns0:is>
      </ns0:c>
      <ns0:c r="F79" s="15" t="inlineStr">
        <ns0:is>
          <ns0:t>0010011</ns0:t>
        </ns0:is>
      </ns0:c>
      <ns0:c r="G79" s="15" t="inlineStr">
        <ns0:is>
          <ns0:t>0000 0000 0010 0000 0000 0100 0001 0011</ns0:t>
        </ns0:is>
      </ns0:c>
      <ns0:c r="H79" t="inlineStr">
        <ns0:is>
          <ns0:t>КОД</ns0:t>
        </ns0:is>
      </ns0:c>
      <ns0:c r="I79">
        <ns0:f>COUNTIF('ДАННЫЕ T3'!$F$6:$F$286,B79)</ns0:f>
        <ns0:v>0</ns0:v>
      </ns0:c>
      <ns0:c r="J79" t="str">
        <ns0:f>IF(I79&gt;0,"FETCH зарегистрирован","Нет FETCH в окне")</ns0:f>
        <ns0:v>Нет FETCH в окне</ns0:v>
      </ns0:c>
    </ns0:row>
    <ns0:row r="80">
      <ns0:c r="A80" t="n">
        <ns0:v>74</ns0:v>
      </ns0:c>
      <ns0:c r="B80" s="15" t="inlineStr">
        <ns0:is>
          <ns0:t>0x00000128</ns0:t>
        </ns0:is>
      </ns0:c>
      <ns0:c r="C80" s="15" t="inlineStr">
        <ns0:is>
          <ns0:t>0x028F8C63</ns0:t>
        </ns0:is>
      </ns0:c>
      <ns0:c r="D80" t="inlineStr">
        <ns0:is>
          <ns0:t>beq</ns0:t>
        </ns0:is>
      </ns0:c>
      <ns0:c r="E80" s="15" t="inlineStr">
        <ns0:is>
          <ns0:t>beq t6, s0, 0x00000160</ns0:t>
        </ns0:is>
      </ns0:c>
      <ns0:c r="F80" s="15" t="inlineStr">
        <ns0:is>
          <ns0:t>1100011</ns0:t>
        </ns0:is>
      </ns0:c>
      <ns0:c r="G80" s="15" t="inlineStr">
        <ns0:is>
          <ns0:t>0000 0010 1000 1111 1000 1100 0110 0011</ns0:t>
        </ns0:is>
      </ns0:c>
      <ns0:c r="H80" t="inlineStr">
        <ns0:is>
          <ns0:t>КОД</ns0:t>
        </ns0:is>
      </ns0:c>
      <ns0:c r="I80">
        <ns0:f>COUNTIF('ДАННЫЕ T3'!$F$6:$F$286,B80)</ns0:f>
        <ns0:v>0</ns0:v>
      </ns0:c>
      <ns0:c r="J80" t="str">
        <ns0:f>IF(I80&gt;0,"FETCH зарегистрирован","Нет FETCH в окне")</ns0:f>
        <ns0:v>Нет FETCH в окне</ns0:v>
      </ns0:c>
    </ns0:row>
    <ns0:row r="81">
      <ns0:c r="A81" t="n">
        <ns0:v>75</ns0:v>
      </ns0:c>
      <ns0:c r="B81" s="15" t="inlineStr">
        <ns0:is>
          <ns0:t>0x0000012C</ns0:t>
        </ns0:is>
      </ns0:c>
      <ns0:c r="C81" s="15" t="inlineStr">
        <ns0:is>
          <ns0:t>0x00400413</ns0:t>
        </ns0:is>
      </ns0:c>
      <ns0:c r="D81" t="inlineStr">
        <ns0:is>
          <ns0:t>addi</ns0:t>
        </ns0:is>
      </ns0:c>
      <ns0:c r="E81" s="15" t="inlineStr">
        <ns0:is>
          <ns0:t>addi s0, zero, 4</ns0:t>
        </ns0:is>
      </ns0:c>
      <ns0:c r="F81" s="15" t="inlineStr">
        <ns0:is>
          <ns0:t>0010011</ns0:t>
        </ns0:is>
      </ns0:c>
      <ns0:c r="G81" s="15" t="inlineStr">
        <ns0:is>
          <ns0:t>0000 0000 0100 0000 0000 0100 0001 0011</ns0:t>
        </ns0:is>
      </ns0:c>
      <ns0:c r="H81" t="inlineStr">
        <ns0:is>
          <ns0:t>КОД</ns0:t>
        </ns0:is>
      </ns0:c>
      <ns0:c r="I81">
        <ns0:f>COUNTIF('ДАННЫЕ T3'!$F$6:$F$286,B81)</ns0:f>
        <ns0:v>0</ns0:v>
      </ns0:c>
      <ns0:c r="J81" t="str">
        <ns0:f>IF(I81&gt;0,"FETCH зарегистрирован","Нет FETCH в окне")</ns0:f>
        <ns0:v>Нет FETCH в окне</ns0:v>
      </ns0:c>
    </ns0:row>
    <ns0:row r="82">
      <ns0:c r="A82" t="n">
        <ns0:v>76</ns0:v>
      </ns0:c>
      <ns0:c r="B82" s="15" t="inlineStr">
        <ns0:is>
          <ns0:t>0x00000130</ns0:t>
        </ns0:is>
      </ns0:c>
      <ns0:c r="C82" s="15" t="inlineStr">
        <ns0:is>
          <ns0:t>0x028F8C63</ns0:t>
        </ns0:is>
      </ns0:c>
      <ns0:c r="D82" t="inlineStr">
        <ns0:is>
          <ns0:t>beq</ns0:t>
        </ns0:is>
      </ns0:c>
      <ns0:c r="E82" s="15" t="inlineStr">
        <ns0:is>
          <ns0:t>beq t6, s0, 0x00000168</ns0:t>
        </ns0:is>
      </ns0:c>
      <ns0:c r="F82" s="15" t="inlineStr">
        <ns0:is>
          <ns0:t>1100011</ns0:t>
        </ns0:is>
      </ns0:c>
      <ns0:c r="G82" s="15" t="inlineStr">
        <ns0:is>
          <ns0:t>0000 0010 1000 1111 1000 1100 0110 0011</ns0:t>
        </ns0:is>
      </ns0:c>
      <ns0:c r="H82" t="inlineStr">
        <ns0:is>
          <ns0:t>КОД</ns0:t>
        </ns0:is>
      </ns0:c>
      <ns0:c r="I82">
        <ns0:f>COUNTIF('ДАННЫЕ T3'!$F$6:$F$286,B82)</ns0:f>
        <ns0:v>0</ns0:v>
      </ns0:c>
      <ns0:c r="J82" t="str">
        <ns0:f>IF(I82&gt;0,"FETCH зарегистрирован","Нет FETCH в окне")</ns0:f>
        <ns0:v>Нет FETCH в окне</ns0:v>
      </ns0:c>
    </ns0:row>
    <ns0:row r="83">
      <ns0:c r="A83" t="n">
        <ns0:v>77</ns0:v>
      </ns0:c>
      <ns0:c r="B83" s="15" t="inlineStr">
        <ns0:is>
          <ns0:t>0x00000134</ns0:t>
        </ns0:is>
      </ns0:c>
      <ns0:c r="C83" s="15" t="inlineStr">
        <ns0:is>
          <ns0:t>0x00800413</ns0:t>
        </ns0:is>
      </ns0:c>
      <ns0:c r="D83" t="inlineStr">
        <ns0:is>
          <ns0:t>addi</ns0:t>
        </ns0:is>
      </ns0:c>
      <ns0:c r="E83" s="15" t="inlineStr">
        <ns0:is>
          <ns0:t>addi s0, zero, 8</ns0:t>
        </ns0:is>
      </ns0:c>
      <ns0:c r="F83" s="15" t="inlineStr">
        <ns0:is>
          <ns0:t>0010011</ns0:t>
        </ns0:is>
      </ns0:c>
      <ns0:c r="G83" s="15" t="inlineStr">
        <ns0:is>
          <ns0:t>0000 0000 1000 0000 0000 0100 0001 0011</ns0:t>
        </ns0:is>
      </ns0:c>
      <ns0:c r="H83" t="inlineStr">
        <ns0:is>
          <ns0:t>КОД</ns0:t>
        </ns0:is>
      </ns0:c>
      <ns0:c r="I83">
        <ns0:f>COUNTIF('ДАННЫЕ T3'!$F$6:$F$286,B83)</ns0:f>
        <ns0:v>0</ns0:v>
      </ns0:c>
      <ns0:c r="J83" t="str">
        <ns0:f>IF(I83&gt;0,"FETCH зарегистрирован","Нет FETCH в окне")</ns0:f>
        <ns0:v>Нет FETCH в окне</ns0:v>
      </ns0:c>
    </ns0:row>
    <ns0:row r="84">
      <ns0:c r="A84" t="n">
        <ns0:v>78</ns0:v>
      </ns0:c>
      <ns0:c r="B84" s="15" t="inlineStr">
        <ns0:is>
          <ns0:t>0x00000138</ns0:t>
        </ns0:is>
      </ns0:c>
      <ns0:c r="C84" s="15" t="inlineStr">
        <ns0:is>
          <ns0:t>0x028F8C63</ns0:t>
        </ns0:is>
      </ns0:c>
      <ns0:c r="D84" t="inlineStr">
        <ns0:is>
          <ns0:t>beq</ns0:t>
        </ns0:is>
      </ns0:c>
      <ns0:c r="E84" s="15" t="inlineStr">
        <ns0:is>
          <ns0:t>beq t6, s0, 0x00000170</ns0:t>
        </ns0:is>
      </ns0:c>
      <ns0:c r="F84" s="15" t="inlineStr">
        <ns0:is>
          <ns0:t>1100011</ns0:t>
        </ns0:is>
      </ns0:c>
      <ns0:c r="G84" s="15" t="inlineStr">
        <ns0:is>
          <ns0:t>0000 0010 1000 1111 1000 1100 0110 0011</ns0:t>
        </ns0:is>
      </ns0:c>
      <ns0:c r="H84" t="inlineStr">
        <ns0:is>
          <ns0:t>КОД</ns0:t>
        </ns0:is>
      </ns0:c>
      <ns0:c r="I84">
        <ns0:f>COUNTIF('ДАННЫЕ T3'!$F$6:$F$286,B84)</ns0:f>
        <ns0:v>0</ns0:v>
      </ns0:c>
      <ns0:c r="J84" t="str">
        <ns0:f>IF(I84&gt;0,"FETCH зарегистрирован","Нет FETCH в окне")</ns0:f>
        <ns0:v>Нет FETCH в окне</ns0:v>
      </ns0:c>
    </ns0:row>
    <ns0:row r="85">
      <ns0:c r="A85" t="n">
        <ns0:v>79</ns0:v>
      </ns0:c>
      <ns0:c r="B85" s="15" t="inlineStr">
        <ns0:is>
          <ns0:t>0x0000013C</ns0:t>
        </ns0:is>
      </ns0:c>
      <ns0:c r="C85" s="15" t="inlineStr">
        <ns0:is>
          <ns0:t>0x01000413</ns0:t>
        </ns0:is>
      </ns0:c>
      <ns0:c r="D85" t="inlineStr">
        <ns0:is>
          <ns0:t>addi</ns0:t>
        </ns0:is>
      </ns0:c>
      <ns0:c r="E85" s="15" t="inlineStr">
        <ns0:is>
          <ns0:t>addi s0, zero, 16</ns0:t>
        </ns0:is>
      </ns0:c>
      <ns0:c r="F85" s="15" t="inlineStr">
        <ns0:is>
          <ns0:t>0010011</ns0:t>
        </ns0:is>
      </ns0:c>
      <ns0:c r="G85" s="15" t="inlineStr">
        <ns0:is>
          <ns0:t>0000 0001 0000 0000 0000 0100 0001 0011</ns0:t>
        </ns0:is>
      </ns0:c>
      <ns0:c r="H85" t="inlineStr">
        <ns0:is>
          <ns0:t>КОД</ns0:t>
        </ns0:is>
      </ns0:c>
      <ns0:c r="I85">
        <ns0:f>COUNTIF('ДАННЫЕ T3'!$F$6:$F$286,B85)</ns0:f>
        <ns0:v>0</ns0:v>
      </ns0:c>
      <ns0:c r="J85" t="str">
        <ns0:f>IF(I85&gt;0,"FETCH зарегистрирован","Нет FETCH в окне")</ns0:f>
        <ns0:v>Нет FETCH в окне</ns0:v>
      </ns0:c>
    </ns0:row>
    <ns0:row r="86">
      <ns0:c r="A86" t="n">
        <ns0:v>80</ns0:v>
      </ns0:c>
      <ns0:c r="B86" s="15" t="inlineStr">
        <ns0:is>
          <ns0:t>0x00000140</ns0:t>
        </ns0:is>
      </ns0:c>
      <ns0:c r="C86" s="15" t="inlineStr">
        <ns0:is>
          <ns0:t>0x028F8C63</ns0:t>
        </ns0:is>
      </ns0:c>
      <ns0:c r="D86" t="inlineStr">
        <ns0:is>
          <ns0:t>beq</ns0:t>
        </ns0:is>
      </ns0:c>
      <ns0:c r="E86" s="15" t="inlineStr">
        <ns0:is>
          <ns0:t>beq t6, s0, 0x00000178</ns0:t>
        </ns0:is>
      </ns0:c>
      <ns0:c r="F86" s="15" t="inlineStr">
        <ns0:is>
          <ns0:t>1100011</ns0:t>
        </ns0:is>
      </ns0:c>
      <ns0:c r="G86" s="15" t="inlineStr">
        <ns0:is>
          <ns0:t>0000 0010 1000 1111 1000 1100 0110 0011</ns0:t>
        </ns0:is>
      </ns0:c>
      <ns0:c r="H86" t="inlineStr">
        <ns0:is>
          <ns0:t>КОД</ns0:t>
        </ns0:is>
      </ns0:c>
      <ns0:c r="I86">
        <ns0:f>COUNTIF('ДАННЫЕ T3'!$F$6:$F$286,B86)</ns0:f>
        <ns0:v>0</ns0:v>
      </ns0:c>
      <ns0:c r="J86" t="str">
        <ns0:f>IF(I86&gt;0,"FETCH зарегистрирован","Нет FETCH в окне")</ns0:f>
        <ns0:v>Нет FETCH в окне</ns0:v>
      </ns0:c>
    </ns0:row>
    <ns0:row r="87">
      <ns0:c r="A87" t="n">
        <ns0:v>81</ns0:v>
      </ns0:c>
      <ns0:c r="B87" s="15" t="inlineStr">
        <ns0:is>
          <ns0:t>0x00000144</ns0:t>
        </ns0:is>
      </ns0:c>
      <ns0:c r="C87" s="15" t="inlineStr">
        <ns0:is>
          <ns0:t>0x02000413</ns0:t>
        </ns0:is>
      </ns0:c>
      <ns0:c r="D87" t="inlineStr">
        <ns0:is>
          <ns0:t>addi</ns0:t>
        </ns0:is>
      </ns0:c>
      <ns0:c r="E87" s="15" t="inlineStr">
        <ns0:is>
          <ns0:t>addi s0, zero, 32</ns0:t>
        </ns0:is>
      </ns0:c>
      <ns0:c r="F87" s="15" t="inlineStr">
        <ns0:is>
          <ns0:t>0010011</ns0:t>
        </ns0:is>
      </ns0:c>
      <ns0:c r="G87" s="15" t="inlineStr">
        <ns0:is>
          <ns0:t>0000 0010 0000 0000 0000 0100 0001 0011</ns0:t>
        </ns0:is>
      </ns0:c>
      <ns0:c r="H87" t="inlineStr">
        <ns0:is>
          <ns0:t>КОД</ns0:t>
        </ns0:is>
      </ns0:c>
      <ns0:c r="I87">
        <ns0:f>COUNTIF('ДАННЫЕ T3'!$F$6:$F$286,B87)</ns0:f>
        <ns0:v>0</ns0:v>
      </ns0:c>
      <ns0:c r="J87" t="str">
        <ns0:f>IF(I87&gt;0,"FETCH зарегистрирован","Нет FETCH в окне")</ns0:f>
        <ns0:v>Нет FETCH в окне</ns0:v>
      </ns0:c>
    </ns0:row>
    <ns0:row r="88">
      <ns0:c r="A88" t="n">
        <ns0:v>82</ns0:v>
      </ns0:c>
      <ns0:c r="B88" s="15" t="inlineStr">
        <ns0:is>
          <ns0:t>0x00000148</ns0:t>
        </ns0:is>
      </ns0:c>
      <ns0:c r="C88" s="15" t="inlineStr">
        <ns0:is>
          <ns0:t>0x028F8C63</ns0:t>
        </ns0:is>
      </ns0:c>
      <ns0:c r="D88" t="inlineStr">
        <ns0:is>
          <ns0:t>beq</ns0:t>
        </ns0:is>
      </ns0:c>
      <ns0:c r="E88" s="15" t="inlineStr">
        <ns0:is>
          <ns0:t>beq t6, s0, 0x00000180</ns0:t>
        </ns0:is>
      </ns0:c>
      <ns0:c r="F88" s="15" t="inlineStr">
        <ns0:is>
          <ns0:t>1100011</ns0:t>
        </ns0:is>
      </ns0:c>
      <ns0:c r="G88" s="15" t="inlineStr">
        <ns0:is>
          <ns0:t>0000 0010 1000 1111 1000 1100 0110 0011</ns0:t>
        </ns0:is>
      </ns0:c>
      <ns0:c r="H88" t="inlineStr">
        <ns0:is>
          <ns0:t>КОД</ns0:t>
        </ns0:is>
      </ns0:c>
      <ns0:c r="I88">
        <ns0:f>COUNTIF('ДАННЫЕ T3'!$F$6:$F$286,B88)</ns0:f>
        <ns0:v>0</ns0:v>
      </ns0:c>
      <ns0:c r="J88" t="str">
        <ns0:f>IF(I88&gt;0,"FETCH зарегистрирован","Нет FETCH в окне")</ns0:f>
        <ns0:v>Нет FETCH в окне</ns0:v>
      </ns0:c>
    </ns0:row>
    <ns0:row r="89">
      <ns0:c r="A89" t="n">
        <ns0:v>83</ns0:v>
      </ns0:c>
      <ns0:c r="B89" s="15" t="inlineStr">
        <ns0:is>
          <ns0:t>0x0000014C</ns0:t>
        </ns0:is>
      </ns0:c>
      <ns0:c r="C89" s="15" t="inlineStr">
        <ns0:is>
          <ns0:t>0x0740006F</ns0:t>
        </ns0:is>
      </ns0:c>
      <ns0:c r="D89" t="inlineStr">
        <ns0:is>
          <ns0:t>jal</ns0:t>
        </ns0:is>
      </ns0:c>
      <ns0:c r="E89" s="15" t="inlineStr">
        <ns0:is>
          <ns0:t>jal zero, 0x000001C0</ns0:t>
        </ns0:is>
      </ns0:c>
      <ns0:c r="F89" s="15" t="inlineStr">
        <ns0:is>
          <ns0:t>1101111</ns0:t>
        </ns0:is>
      </ns0:c>
      <ns0:c r="G89" s="15" t="inlineStr">
        <ns0:is>
          <ns0:t>0000 0111 0100 0000 0000 0000 0110 1111</ns0:t>
        </ns0:is>
      </ns0:c>
      <ns0:c r="H89" t="inlineStr">
        <ns0:is>
          <ns0:t>КОД</ns0:t>
        </ns0:is>
      </ns0:c>
      <ns0:c r="I89">
        <ns0:f>COUNTIF('ДАННЫЕ T3'!$F$6:$F$286,B89)</ns0:f>
        <ns0:v>0</ns0:v>
      </ns0:c>
      <ns0:c r="J89" t="str">
        <ns0:f>IF(I89&gt;0,"FETCH зарегистрирован","Нет FETCH в окне")</ns0:f>
        <ns0:v>Нет FETCH в окне</ns0:v>
      </ns0:c>
    </ns0:row>
    <ns0:row r="90">
      <ns0:c r="A90" t="n">
        <ns0:v>84</ns0:v>
      </ns0:c>
      <ns0:c r="B90" s="15" t="inlineStr">
        <ns0:is>
          <ns0:t>0x00000150</ns0:t>
        </ns0:is>
      </ns0:c>
      <ns0:c r="C90" s="15" t="inlineStr">
        <ns0:is>
          <ns0:t>0x03000F13</ns0:t>
        </ns0:is>
      </ns0:c>
      <ns0:c r="D90" t="inlineStr">
        <ns0:is>
          <ns0:t>addi</ns0:t>
        </ns0:is>
      </ns0:c>
      <ns0:c r="E90" s="15" t="inlineStr">
        <ns0:is>
          <ns0:t>addi t5, zero, 48</ns0:t>
        </ns0:is>
      </ns0:c>
      <ns0:c r="F90" s="15" t="inlineStr">
        <ns0:is>
          <ns0:t>0010011</ns0:t>
        </ns0:is>
      </ns0:c>
      <ns0:c r="G90" s="15" t="inlineStr">
        <ns0:is>
          <ns0:t>0000 0011 0000 0000 0000 1111 0001 0011</ns0:t>
        </ns0:is>
      </ns0:c>
      <ns0:c r="H90" t="inlineStr">
        <ns0:is>
          <ns0:t>КОД</ns0:t>
        </ns0:is>
      </ns0:c>
      <ns0:c r="I90">
        <ns0:f>COUNTIF('ДАННЫЕ T3'!$F$6:$F$286,B90)</ns0:f>
        <ns0:v>0</ns0:v>
      </ns0:c>
      <ns0:c r="J90" t="str">
        <ns0:f>IF(I90&gt;0,"FETCH зарегистрирован","Нет FETCH в окне")</ns0:f>
        <ns0:v>Нет FETCH в окне</ns0:v>
      </ns0:c>
    </ns0:row>
    <ns0:row r="91">
      <ns0:c r="A91" t="n">
        <ns0:v>85</ns0:v>
      </ns0:c>
      <ns0:c r="B91" s="15" t="inlineStr">
        <ns0:is>
          <ns0:t>0x00000154</ns0:t>
        </ns0:is>
      </ns0:c>
      <ns0:c r="C91" s="15" t="inlineStr">
        <ns0:is>
          <ns0:t>0x0340006F</ns0:t>
        </ns0:is>
      </ns0:c>
      <ns0:c r="D91" t="inlineStr">
        <ns0:is>
          <ns0:t>jal</ns0:t>
        </ns0:is>
      </ns0:c>
      <ns0:c r="E91" s="15" t="inlineStr">
        <ns0:is>
          <ns0:t>jal zero, 0x00000188</ns0:t>
        </ns0:is>
      </ns0:c>
      <ns0:c r="F91" s="15" t="inlineStr">
        <ns0:is>
          <ns0:t>1101111</ns0:t>
        </ns0:is>
      </ns0:c>
      <ns0:c r="G91" s="15" t="inlineStr">
        <ns0:is>
          <ns0:t>0000 0011 0100 0000 0000 0000 0110 1111</ns0:t>
        </ns0:is>
      </ns0:c>
      <ns0:c r="H91" t="inlineStr">
        <ns0:is>
          <ns0:t>КОД</ns0:t>
        </ns0:is>
      </ns0:c>
      <ns0:c r="I91">
        <ns0:f>COUNTIF('ДАННЫЕ T3'!$F$6:$F$286,B91)</ns0:f>
        <ns0:v>0</ns0:v>
      </ns0:c>
      <ns0:c r="J91" t="str">
        <ns0:f>IF(I91&gt;0,"FETCH зарегистрирован","Нет FETCH в окне")</ns0:f>
        <ns0:v>Нет FETCH в окне</ns0:v>
      </ns0:c>
    </ns0:row>
    <ns0:row r="92">
      <ns0:c r="A92" t="n">
        <ns0:v>86</ns0:v>
      </ns0:c>
      <ns0:c r="B92" s="15" t="inlineStr">
        <ns0:is>
          <ns0:t>0x00000158</ns0:t>
        </ns0:is>
      </ns0:c>
      <ns0:c r="C92" s="15" t="inlineStr">
        <ns0:is>
          <ns0:t>0x03100F13</ns0:t>
        </ns0:is>
      </ns0:c>
      <ns0:c r="D92" t="inlineStr">
        <ns0:is>
          <ns0:t>addi</ns0:t>
        </ns0:is>
      </ns0:c>
      <ns0:c r="E92" s="15" t="inlineStr">
        <ns0:is>
          <ns0:t>addi t5, zero, 49</ns0:t>
        </ns0:is>
      </ns0:c>
      <ns0:c r="F92" s="15" t="inlineStr">
        <ns0:is>
          <ns0:t>0010011</ns0:t>
        </ns0:is>
      </ns0:c>
      <ns0:c r="G92" s="15" t="inlineStr">
        <ns0:is>
          <ns0:t>0000 0011 0001 0000 0000 1111 0001 0011</ns0:t>
        </ns0:is>
      </ns0:c>
      <ns0:c r="H92" t="inlineStr">
        <ns0:is>
          <ns0:t>КОД</ns0:t>
        </ns0:is>
      </ns0:c>
      <ns0:c r="I92">
        <ns0:f>COUNTIF('ДАННЫЕ T3'!$F$6:$F$286,B92)</ns0:f>
        <ns0:v>0</ns0:v>
      </ns0:c>
      <ns0:c r="J92" t="str">
        <ns0:f>IF(I92&gt;0,"FETCH зарегистрирован","Нет FETCH в окне")</ns0:f>
        <ns0:v>Нет FETCH в окне</ns0:v>
      </ns0:c>
    </ns0:row>
    <ns0:row r="93">
      <ns0:c r="A93" t="n">
        <ns0:v>87</ns0:v>
      </ns0:c>
      <ns0:c r="B93" s="15" t="inlineStr">
        <ns0:is>
          <ns0:t>0x0000015C</ns0:t>
        </ns0:is>
      </ns0:c>
      <ns0:c r="C93" s="15" t="inlineStr">
        <ns0:is>
          <ns0:t>0x02C0006F</ns0:t>
        </ns0:is>
      </ns0:c>
      <ns0:c r="D93" t="inlineStr">
        <ns0:is>
          <ns0:t>jal</ns0:t>
        </ns0:is>
      </ns0:c>
      <ns0:c r="E93" s="15" t="inlineStr">
        <ns0:is>
          <ns0:t>jal zero, 0x00000188</ns0:t>
        </ns0:is>
      </ns0:c>
      <ns0:c r="F93" s="15" t="inlineStr">
        <ns0:is>
          <ns0:t>1101111</ns0:t>
        </ns0:is>
      </ns0:c>
      <ns0:c r="G93" s="15" t="inlineStr">
        <ns0:is>
          <ns0:t>0000 0010 1100 0000 0000 0000 0110 1111</ns0:t>
        </ns0:is>
      </ns0:c>
      <ns0:c r="H93" t="inlineStr">
        <ns0:is>
          <ns0:t>КОД</ns0:t>
        </ns0:is>
      </ns0:c>
      <ns0:c r="I93">
        <ns0:f>COUNTIF('ДАННЫЕ T3'!$F$6:$F$286,B93)</ns0:f>
        <ns0:v>0</ns0:v>
      </ns0:c>
      <ns0:c r="J93" t="str">
        <ns0:f>IF(I93&gt;0,"FETCH зарегистрирован","Нет FETCH в окне")</ns0:f>
        <ns0:v>Нет FETCH в окне</ns0:v>
      </ns0:c>
    </ns0:row>
    <ns0:row r="94">
      <ns0:c r="A94" t="n">
        <ns0:v>88</ns0:v>
      </ns0:c>
      <ns0:c r="B94" s="15" t="inlineStr">
        <ns0:is>
          <ns0:t>0x00000160</ns0:t>
        </ns0:is>
      </ns0:c>
      <ns0:c r="C94" s="15" t="inlineStr">
        <ns0:is>
          <ns0:t>0x03200F13</ns0:t>
        </ns0:is>
      </ns0:c>
      <ns0:c r="D94" t="inlineStr">
        <ns0:is>
          <ns0:t>addi</ns0:t>
        </ns0:is>
      </ns0:c>
      <ns0:c r="E94" s="15" t="inlineStr">
        <ns0:is>
          <ns0:t>addi t5, zero, 50</ns0:t>
        </ns0:is>
      </ns0:c>
      <ns0:c r="F94" s="15" t="inlineStr">
        <ns0:is>
          <ns0:t>0010011</ns0:t>
        </ns0:is>
      </ns0:c>
      <ns0:c r="G94" s="15" t="inlineStr">
        <ns0:is>
          <ns0:t>0000 0011 0010 0000 0000 1111 0001 0011</ns0:t>
        </ns0:is>
      </ns0:c>
      <ns0:c r="H94" t="inlineStr">
        <ns0:is>
          <ns0:t>КОД</ns0:t>
        </ns0:is>
      </ns0:c>
      <ns0:c r="I94">
        <ns0:f>COUNTIF('ДАННЫЕ T3'!$F$6:$F$286,B94)</ns0:f>
        <ns0:v>0</ns0:v>
      </ns0:c>
      <ns0:c r="J94" t="str">
        <ns0:f>IF(I94&gt;0,"FETCH зарегистрирован","Нет FETCH в окне")</ns0:f>
        <ns0:v>Нет FETCH в окне</ns0:v>
      </ns0:c>
    </ns0:row>
    <ns0:row r="95">
      <ns0:c r="A95" t="n">
        <ns0:v>89</ns0:v>
      </ns0:c>
      <ns0:c r="B95" s="15" t="inlineStr">
        <ns0:is>
          <ns0:t>0x00000164</ns0:t>
        </ns0:is>
      </ns0:c>
      <ns0:c r="C95" s="15" t="inlineStr">
        <ns0:is>
          <ns0:t>0x0240006F</ns0:t>
        </ns0:is>
      </ns0:c>
      <ns0:c r="D95" t="inlineStr">
        <ns0:is>
          <ns0:t>jal</ns0:t>
        </ns0:is>
      </ns0:c>
      <ns0:c r="E95" s="15" t="inlineStr">
        <ns0:is>
          <ns0:t>jal zero, 0x00000188</ns0:t>
        </ns0:is>
      </ns0:c>
      <ns0:c r="F95" s="15" t="inlineStr">
        <ns0:is>
          <ns0:t>1101111</ns0:t>
        </ns0:is>
      </ns0:c>
      <ns0:c r="G95" s="15" t="inlineStr">
        <ns0:is>
          <ns0:t>0000 0010 0100 0000 0000 0000 0110 1111</ns0:t>
        </ns0:is>
      </ns0:c>
      <ns0:c r="H95" t="inlineStr">
        <ns0:is>
          <ns0:t>КОД</ns0:t>
        </ns0:is>
      </ns0:c>
      <ns0:c r="I95">
        <ns0:f>COUNTIF('ДАННЫЕ T3'!$F$6:$F$286,B95)</ns0:f>
        <ns0:v>0</ns0:v>
      </ns0:c>
      <ns0:c r="J95" t="str">
        <ns0:f>IF(I95&gt;0,"FETCH зарегистрирован","Нет FETCH в окне")</ns0:f>
        <ns0:v>Нет FETCH в окне</ns0:v>
      </ns0:c>
    </ns0:row>
    <ns0:row r="96">
      <ns0:c r="A96" t="n">
        <ns0:v>90</ns0:v>
      </ns0:c>
      <ns0:c r="B96" s="15" t="inlineStr">
        <ns0:is>
          <ns0:t>0x00000168</ns0:t>
        </ns0:is>
      </ns0:c>
      <ns0:c r="C96" s="15" t="inlineStr">
        <ns0:is>
          <ns0:t>0x03300F13</ns0:t>
        </ns0:is>
      </ns0:c>
      <ns0:c r="D96" t="inlineStr">
        <ns0:is>
          <ns0:t>addi</ns0:t>
        </ns0:is>
      </ns0:c>
      <ns0:c r="E96" s="15" t="inlineStr">
        <ns0:is>
          <ns0:t>addi t5, zero, 51</ns0:t>
        </ns0:is>
      </ns0:c>
      <ns0:c r="F96" s="15" t="inlineStr">
        <ns0:is>
          <ns0:t>0010011</ns0:t>
        </ns0:is>
      </ns0:c>
      <ns0:c r="G96" s="15" t="inlineStr">
        <ns0:is>
          <ns0:t>0000 0011 0011 0000 0000 1111 0001 0011</ns0:t>
        </ns0:is>
      </ns0:c>
      <ns0:c r="H96" t="inlineStr">
        <ns0:is>
          <ns0:t>КОД</ns0:t>
        </ns0:is>
      </ns0:c>
      <ns0:c r="I96">
        <ns0:f>COUNTIF('ДАННЫЕ T3'!$F$6:$F$286,B96)</ns0:f>
        <ns0:v>0</ns0:v>
      </ns0:c>
      <ns0:c r="J96" t="str">
        <ns0:f>IF(I96&gt;0,"FETCH зарегистрирован","Нет FETCH в окне")</ns0:f>
        <ns0:v>Нет FETCH в окне</ns0:v>
      </ns0:c>
    </ns0:row>
    <ns0:row r="97">
      <ns0:c r="A97" t="n">
        <ns0:v>91</ns0:v>
      </ns0:c>
      <ns0:c r="B97" s="15" t="inlineStr">
        <ns0:is>
          <ns0:t>0x0000016C</ns0:t>
        </ns0:is>
      </ns0:c>
      <ns0:c r="C97" s="15" t="inlineStr">
        <ns0:is>
          <ns0:t>0x01C0006F</ns0:t>
        </ns0:is>
      </ns0:c>
      <ns0:c r="D97" t="inlineStr">
        <ns0:is>
          <ns0:t>jal</ns0:t>
        </ns0:is>
      </ns0:c>
      <ns0:c r="E97" s="15" t="inlineStr">
        <ns0:is>
          <ns0:t>jal zero, 0x00000188</ns0:t>
        </ns0:is>
      </ns0:c>
      <ns0:c r="F97" s="15" t="inlineStr">
        <ns0:is>
          <ns0:t>1101111</ns0:t>
        </ns0:is>
      </ns0:c>
      <ns0:c r="G97" s="15" t="inlineStr">
        <ns0:is>
          <ns0:t>0000 0001 1100 0000 0000 0000 0110 1111</ns0:t>
        </ns0:is>
      </ns0:c>
      <ns0:c r="H97" t="inlineStr">
        <ns0:is>
          <ns0:t>КОД</ns0:t>
        </ns0:is>
      </ns0:c>
      <ns0:c r="I97">
        <ns0:f>COUNTIF('ДАННЫЕ T3'!$F$6:$F$286,B97)</ns0:f>
        <ns0:v>0</ns0:v>
      </ns0:c>
      <ns0:c r="J97" t="str">
        <ns0:f>IF(I97&gt;0,"FETCH зарегистрирован","Нет FETCH в окне")</ns0:f>
        <ns0:v>Нет FETCH в окне</ns0:v>
      </ns0:c>
    </ns0:row>
    <ns0:row r="98">
      <ns0:c r="A98" t="n">
        <ns0:v>92</ns0:v>
      </ns0:c>
      <ns0:c r="B98" s="15" t="inlineStr">
        <ns0:is>
          <ns0:t>0x00000170</ns0:t>
        </ns0:is>
      </ns0:c>
      <ns0:c r="C98" s="15" t="inlineStr">
        <ns0:is>
          <ns0:t>0x03400F13</ns0:t>
        </ns0:is>
      </ns0:c>
      <ns0:c r="D98" t="inlineStr">
        <ns0:is>
          <ns0:t>addi</ns0:t>
        </ns0:is>
      </ns0:c>
      <ns0:c r="E98" s="15" t="inlineStr">
        <ns0:is>
          <ns0:t>addi t5, zero, 52</ns0:t>
        </ns0:is>
      </ns0:c>
      <ns0:c r="F98" s="15" t="inlineStr">
        <ns0:is>
          <ns0:t>0010011</ns0:t>
        </ns0:is>
      </ns0:c>
      <ns0:c r="G98" s="15" t="inlineStr">
        <ns0:is>
          <ns0:t>0000 0011 0100 0000 0000 1111 0001 0011</ns0:t>
        </ns0:is>
      </ns0:c>
      <ns0:c r="H98" t="inlineStr">
        <ns0:is>
          <ns0:t>КОД</ns0:t>
        </ns0:is>
      </ns0:c>
      <ns0:c r="I98">
        <ns0:f>COUNTIF('ДАННЫЕ T3'!$F$6:$F$286,B98)</ns0:f>
        <ns0:v>0</ns0:v>
      </ns0:c>
      <ns0:c r="J98" t="str">
        <ns0:f>IF(I98&gt;0,"FETCH зарегистрирован","Нет FETCH в окне")</ns0:f>
        <ns0:v>Нет FETCH в окне</ns0:v>
      </ns0:c>
    </ns0:row>
    <ns0:row r="99">
      <ns0:c r="A99" t="n">
        <ns0:v>93</ns0:v>
      </ns0:c>
      <ns0:c r="B99" s="15" t="inlineStr">
        <ns0:is>
          <ns0:t>0x00000174</ns0:t>
        </ns0:is>
      </ns0:c>
      <ns0:c r="C99" s="15" t="inlineStr">
        <ns0:is>
          <ns0:t>0x0140006F</ns0:t>
        </ns0:is>
      </ns0:c>
      <ns0:c r="D99" t="inlineStr">
        <ns0:is>
          <ns0:t>jal</ns0:t>
        </ns0:is>
      </ns0:c>
      <ns0:c r="E99" s="15" t="inlineStr">
        <ns0:is>
          <ns0:t>jal zero, 0x00000188</ns0:t>
        </ns0:is>
      </ns0:c>
      <ns0:c r="F99" s="15" t="inlineStr">
        <ns0:is>
          <ns0:t>1101111</ns0:t>
        </ns0:is>
      </ns0:c>
      <ns0:c r="G99" s="15" t="inlineStr">
        <ns0:is>
          <ns0:t>0000 0001 0100 0000 0000 0000 0110 1111</ns0:t>
        </ns0:is>
      </ns0:c>
      <ns0:c r="H99" t="inlineStr">
        <ns0:is>
          <ns0:t>КОД</ns0:t>
        </ns0:is>
      </ns0:c>
      <ns0:c r="I99">
        <ns0:f>COUNTIF('ДАННЫЕ T3'!$F$6:$F$286,B99)</ns0:f>
        <ns0:v>0</ns0:v>
      </ns0:c>
      <ns0:c r="J99" t="str">
        <ns0:f>IF(I99&gt;0,"FETCH зарегистрирован","Нет FETCH в окне")</ns0:f>
        <ns0:v>Нет FETCH в окне</ns0:v>
      </ns0:c>
    </ns0:row>
    <ns0:row r="100">
      <ns0:c r="A100" t="n">
        <ns0:v>94</ns0:v>
      </ns0:c>
      <ns0:c r="B100" s="15" t="inlineStr">
        <ns0:is>
          <ns0:t>0x00000178</ns0:t>
        </ns0:is>
      </ns0:c>
      <ns0:c r="C100" s="15" t="inlineStr">
        <ns0:is>
          <ns0:t>0x03500F13</ns0:t>
        </ns0:is>
      </ns0:c>
      <ns0:c r="D100" t="inlineStr">
        <ns0:is>
          <ns0:t>addi</ns0:t>
        </ns0:is>
      </ns0:c>
      <ns0:c r="E100" s="15" t="inlineStr">
        <ns0:is>
          <ns0:t>addi t5, zero, 53</ns0:t>
        </ns0:is>
      </ns0:c>
      <ns0:c r="F100" s="15" t="inlineStr">
        <ns0:is>
          <ns0:t>0010011</ns0:t>
        </ns0:is>
      </ns0:c>
      <ns0:c r="G100" s="15" t="inlineStr">
        <ns0:is>
          <ns0:t>0000 0011 0101 0000 0000 1111 0001 0011</ns0:t>
        </ns0:is>
      </ns0:c>
      <ns0:c r="H100" t="inlineStr">
        <ns0:is>
          <ns0:t>КОД</ns0:t>
        </ns0:is>
      </ns0:c>
      <ns0:c r="I100">
        <ns0:f>COUNTIF('ДАННЫЕ T3'!$F$6:$F$286,B100)</ns0:f>
        <ns0:v>0</ns0:v>
      </ns0:c>
      <ns0:c r="J100" t="str">
        <ns0:f>IF(I100&gt;0,"FETCH зарегистрирован","Нет FETCH в окне")</ns0:f>
        <ns0:v>Нет FETCH в окне</ns0:v>
      </ns0:c>
    </ns0:row>
    <ns0:row r="101">
      <ns0:c r="A101" t="n">
        <ns0:v>95</ns0:v>
      </ns0:c>
      <ns0:c r="B101" s="15" t="inlineStr">
        <ns0:is>
          <ns0:t>0x0000017C</ns0:t>
        </ns0:is>
      </ns0:c>
      <ns0:c r="C101" s="15" t="inlineStr">
        <ns0:is>
          <ns0:t>0x00C0006F</ns0:t>
        </ns0:is>
      </ns0:c>
      <ns0:c r="D101" t="inlineStr">
        <ns0:is>
          <ns0:t>jal</ns0:t>
        </ns0:is>
      </ns0:c>
      <ns0:c r="E101" s="15" t="inlineStr">
        <ns0:is>
          <ns0:t>jal zero, 0x00000188</ns0:t>
        </ns0:is>
      </ns0:c>
      <ns0:c r="F101" s="15" t="inlineStr">
        <ns0:is>
          <ns0:t>1101111</ns0:t>
        </ns0:is>
      </ns0:c>
      <ns0:c r="G101" s="15" t="inlineStr">
        <ns0:is>
          <ns0:t>0000 0000 1100 0000 0000 0000 0110 1111</ns0:t>
        </ns0:is>
      </ns0:c>
      <ns0:c r="H101" t="inlineStr">
        <ns0:is>
          <ns0:t>КОД</ns0:t>
        </ns0:is>
      </ns0:c>
      <ns0:c r="I101">
        <ns0:f>COUNTIF('ДАННЫЕ T3'!$F$6:$F$286,B101)</ns0:f>
        <ns0:v>0</ns0:v>
      </ns0:c>
      <ns0:c r="J101" t="str">
        <ns0:f>IF(I101&gt;0,"FETCH зарегистрирован","Нет FETCH в окне")</ns0:f>
        <ns0:v>Нет FETCH в окне</ns0:v>
      </ns0:c>
    </ns0:row>
    <ns0:row r="102">
      <ns0:c r="A102" t="n">
        <ns0:v>96</ns0:v>
      </ns0:c>
      <ns0:c r="B102" s="15" t="inlineStr">
        <ns0:is>
          <ns0:t>0x00000180</ns0:t>
        </ns0:is>
      </ns0:c>
      <ns0:c r="C102" s="15" t="inlineStr">
        <ns0:is>
          <ns0:t>0x03600F13</ns0:t>
        </ns0:is>
      </ns0:c>
      <ns0:c r="D102" t="inlineStr">
        <ns0:is>
          <ns0:t>addi</ns0:t>
        </ns0:is>
      </ns0:c>
      <ns0:c r="E102" s="15" t="inlineStr">
        <ns0:is>
          <ns0:t>addi t5, zero, 54</ns0:t>
        </ns0:is>
      </ns0:c>
      <ns0:c r="F102" s="15" t="inlineStr">
        <ns0:is>
          <ns0:t>0010011</ns0:t>
        </ns0:is>
      </ns0:c>
      <ns0:c r="G102" s="15" t="inlineStr">
        <ns0:is>
          <ns0:t>0000 0011 0110 0000 0000 1111 0001 0011</ns0:t>
        </ns0:is>
      </ns0:c>
      <ns0:c r="H102" t="inlineStr">
        <ns0:is>
          <ns0:t>КОД</ns0:t>
        </ns0:is>
      </ns0:c>
      <ns0:c r="I102">
        <ns0:f>COUNTIF('ДАННЫЕ T3'!$F$6:$F$286,B102)</ns0:f>
        <ns0:v>0</ns0:v>
      </ns0:c>
      <ns0:c r="J102" t="str">
        <ns0:f>IF(I102&gt;0,"FETCH зарегистрирован","Нет FETCH в окне")</ns0:f>
        <ns0:v>Нет FETCH в окне</ns0:v>
      </ns0:c>
    </ns0:row>
    <ns0:row r="103">
      <ns0:c r="A103" t="n">
        <ns0:v>97</ns0:v>
      </ns0:c>
      <ns0:c r="B103" s="15" t="inlineStr">
        <ns0:is>
          <ns0:t>0x00000184</ns0:t>
        </ns0:is>
      </ns0:c>
      <ns0:c r="C103" s="15" t="inlineStr">
        <ns0:is>
          <ns0:t>0x0040006F</ns0:t>
        </ns0:is>
      </ns0:c>
      <ns0:c r="D103" t="inlineStr">
        <ns0:is>
          <ns0:t>jal</ns0:t>
        </ns0:is>
      </ns0:c>
      <ns0:c r="E103" s="15" t="inlineStr">
        <ns0:is>
          <ns0:t>jal zero, 0x00000188</ns0:t>
        </ns0:is>
      </ns0:c>
      <ns0:c r="F103" s="15" t="inlineStr">
        <ns0:is>
          <ns0:t>1101111</ns0:t>
        </ns0:is>
      </ns0:c>
      <ns0:c r="G103" s="15" t="inlineStr">
        <ns0:is>
          <ns0:t>0000 0000 0100 0000 0000 0000 0110 1111</ns0:t>
        </ns0:is>
      </ns0:c>
      <ns0:c r="H103" t="inlineStr">
        <ns0:is>
          <ns0:t>КОД</ns0:t>
        </ns0:is>
      </ns0:c>
      <ns0:c r="I103">
        <ns0:f>COUNTIF('ДАННЫЕ T3'!$F$6:$F$286,B103)</ns0:f>
        <ns0:v>0</ns0:v>
      </ns0:c>
      <ns0:c r="J103" t="str">
        <ns0:f>IF(I103&gt;0,"FETCH зарегистрирован","Нет FETCH в окне")</ns0:f>
        <ns0:v>Нет FETCH в окне</ns0:v>
      </ns0:c>
    </ns0:row>
    <ns0:row r="104">
      <ns0:c r="A104" t="n">
        <ns0:v>98</ns0:v>
      </ns0:c>
      <ns0:c r="B104" s="15" t="inlineStr">
        <ns0:is>
          <ns0:t>0x00000188</ns0:t>
        </ns0:is>
      </ns0:c>
      <ns0:c r="C104" s="15" t="inlineStr">
        <ns0:is>
          <ns0:t>0x04C00313</ns0:t>
        </ns0:is>
      </ns0:c>
      <ns0:c r="D104" t="inlineStr">
        <ns0:is>
          <ns0:t>addi</ns0:t>
        </ns0:is>
      </ns0:c>
      <ns0:c r="E104" s="15" t="inlineStr">
        <ns0:is>
          <ns0:t>addi t1, zero, 76</ns0:t>
        </ns0:is>
      </ns0:c>
      <ns0:c r="F104" s="15" t="inlineStr">
        <ns0:is>
          <ns0:t>0010011</ns0:t>
        </ns0:is>
      </ns0:c>
      <ns0:c r="G104" s="15" t="inlineStr">
        <ns0:is>
          <ns0:t>0000 0100 1100 0000 0000 0011 0001 0011</ns0:t>
        </ns0:is>
      </ns0:c>
      <ns0:c r="H104" t="inlineStr">
        <ns0:is>
          <ns0:t>КОД</ns0:t>
        </ns0:is>
      </ns0:c>
      <ns0:c r="I104">
        <ns0:f>COUNTIF('ДАННЫЕ T3'!$F$6:$F$286,B104)</ns0:f>
        <ns0:v>0</ns0:v>
      </ns0:c>
      <ns0:c r="J104" t="str">
        <ns0:f>IF(I104&gt;0,"FETCH зарегистрирован","Нет FETCH в окне")</ns0:f>
        <ns0:v>Нет FETCH в окне</ns0:v>
      </ns0:c>
    </ns0:row>
    <ns0:row r="105">
      <ns0:c r="A105" t="n">
        <ns0:v>99</ns0:v>
      </ns0:c>
      <ns0:c r="B105" s="15" t="inlineStr">
        <ns0:is>
          <ns0:t>0x0000018C</ns0:t>
        </ns0:is>
      </ns0:c>
      <ns0:c r="C105" s="15" t="inlineStr">
        <ns0:is>
          <ns0:t>0x188000EF</ns0:t>
        </ns0:is>
      </ns0:c>
      <ns0:c r="D105" t="inlineStr">
        <ns0:is>
          <ns0:t>jal</ns0:t>
        </ns0:is>
      </ns0:c>
      <ns0:c r="E105" s="15" t="inlineStr">
        <ns0:is>
          <ns0:t>jal ra, 0x00000314</ns0:t>
        </ns0:is>
      </ns0:c>
      <ns0:c r="F105" s="15" t="inlineStr">
        <ns0:is>
          <ns0:t>1101111</ns0:t>
        </ns0:is>
      </ns0:c>
      <ns0:c r="G105" s="15" t="inlineStr">
        <ns0:is>
          <ns0:t>0001 1000 1000 0000 0000 0000 1110 1111</ns0:t>
        </ns0:is>
      </ns0:c>
      <ns0:c r="H105" t="inlineStr">
        <ns0:is>
          <ns0:t>КОД</ns0:t>
        </ns0:is>
      </ns0:c>
      <ns0:c r="I105">
        <ns0:f>COUNTIF('ДАННЫЕ T3'!$F$6:$F$286,B105)</ns0:f>
        <ns0:v>0</ns0:v>
      </ns0:c>
      <ns0:c r="J105" t="str">
        <ns0:f>IF(I105&gt;0,"FETCH зарегистрирован","Нет FETCH в окне")</ns0:f>
        <ns0:v>Нет FETCH в окне</ns0:v>
      </ns0:c>
    </ns0:row>
    <ns0:row r="106">
      <ns0:c r="A106" t="n">
        <ns0:v>100</ns0:v>
      </ns0:c>
      <ns0:c r="B106" s="15" t="inlineStr">
        <ns0:is>
          <ns0:t>0x00000190</ns0:t>
        </ns0:is>
      </ns0:c>
      <ns0:c r="C106" s="15" t="inlineStr">
        <ns0:is>
          <ns0:t>0x03D00313</ns0:t>
        </ns0:is>
      </ns0:c>
      <ns0:c r="D106" t="inlineStr">
        <ns0:is>
          <ns0:t>addi</ns0:t>
        </ns0:is>
      </ns0:c>
      <ns0:c r="E106" s="15" t="inlineStr">
        <ns0:is>
          <ns0:t>addi t1, zero, 61</ns0:t>
        </ns0:is>
      </ns0:c>
      <ns0:c r="F106" s="15" t="inlineStr">
        <ns0:is>
          <ns0:t>0010011</ns0:t>
        </ns0:is>
      </ns0:c>
      <ns0:c r="G106" s="15" t="inlineStr">
        <ns0:is>
          <ns0:t>0000 0011 1101 0000 0000 0011 0001 0011</ns0:t>
        </ns0:is>
      </ns0:c>
      <ns0:c r="H106" t="inlineStr">
        <ns0:is>
          <ns0:t>КОД</ns0:t>
        </ns0:is>
      </ns0:c>
      <ns0:c r="I106">
        <ns0:f>COUNTIF('ДАННЫЕ T3'!$F$6:$F$286,B106)</ns0:f>
        <ns0:v>0</ns0:v>
      </ns0:c>
      <ns0:c r="J106" t="str">
        <ns0:f>IF(I106&gt;0,"FETCH зарегистрирован","Нет FETCH в окне")</ns0:f>
        <ns0:v>Нет FETCH в окне</ns0:v>
      </ns0:c>
    </ns0:row>
    <ns0:row r="107">
      <ns0:c r="A107" t="n">
        <ns0:v>101</ns0:v>
      </ns0:c>
      <ns0:c r="B107" s="15" t="inlineStr">
        <ns0:is>
          <ns0:t>0x00000194</ns0:t>
        </ns0:is>
      </ns0:c>
      <ns0:c r="C107" s="15" t="inlineStr">
        <ns0:is>
          <ns0:t>0x180000EF</ns0:t>
        </ns0:is>
      </ns0:c>
      <ns0:c r="D107" t="inlineStr">
        <ns0:is>
          <ns0:t>jal</ns0:t>
        </ns0:is>
      </ns0:c>
      <ns0:c r="E107" s="15" t="inlineStr">
        <ns0:is>
          <ns0:t>jal ra, 0x00000314</ns0:t>
        </ns0:is>
      </ns0:c>
      <ns0:c r="F107" s="15" t="inlineStr">
        <ns0:is>
          <ns0:t>1101111</ns0:t>
        </ns0:is>
      </ns0:c>
      <ns0:c r="G107" s="15" t="inlineStr">
        <ns0:is>
          <ns0:t>0001 1000 0000 0000 0000 0000 1110 1111</ns0:t>
        </ns0:is>
      </ns0:c>
      <ns0:c r="H107" t="inlineStr">
        <ns0:is>
          <ns0:t>КОД</ns0:t>
        </ns0:is>
      </ns0:c>
      <ns0:c r="I107">
        <ns0:f>COUNTIF('ДАННЫЕ T3'!$F$6:$F$286,B107)</ns0:f>
        <ns0:v>0</ns0:v>
      </ns0:c>
      <ns0:c r="J107" t="str">
        <ns0:f>IF(I107&gt;0,"FETCH зарегистрирован","Нет FETCH в окне")</ns0:f>
        <ns0:v>Нет FETCH в окне</ns0:v>
      </ns0:c>
    </ns0:row>
    <ns0:row r="108">
      <ns0:c r="A108" t="n">
        <ns0:v>102</ns0:v>
      </ns0:c>
      <ns0:c r="B108" s="15" t="inlineStr">
        <ns0:is>
          <ns0:t>0x00000198</ns0:t>
        </ns0:is>
      </ns0:c>
      <ns0:c r="C108" s="15" t="inlineStr">
        <ns0:is>
          <ns0:t>0x000F0313</ns0:t>
        </ns0:is>
      </ns0:c>
      <ns0:c r="D108" t="inlineStr">
        <ns0:is>
          <ns0:t>addi</ns0:t>
        </ns0:is>
      </ns0:c>
      <ns0:c r="E108" s="15" t="inlineStr">
        <ns0:is>
          <ns0:t>addi t1, t5, 0</ns0:t>
        </ns0:is>
      </ns0:c>
      <ns0:c r="F108" s="15" t="inlineStr">
        <ns0:is>
          <ns0:t>0010011</ns0:t>
        </ns0:is>
      </ns0:c>
      <ns0:c r="G108" s="15" t="inlineStr">
        <ns0:is>
          <ns0:t>0000 0000 0000 1111 0000 0011 0001 0011</ns0:t>
        </ns0:is>
      </ns0:c>
      <ns0:c r="H108" t="inlineStr">
        <ns0:is>
          <ns0:t>КОД</ns0:t>
        </ns0:is>
      </ns0:c>
      <ns0:c r="I108">
        <ns0:f>COUNTIF('ДАННЫЕ T3'!$F$6:$F$286,B108)</ns0:f>
        <ns0:v>0</ns0:v>
      </ns0:c>
      <ns0:c r="J108" t="str">
        <ns0:f>IF(I108&gt;0,"FETCH зарегистрирован","Нет FETCH в окне")</ns0:f>
        <ns0:v>Нет FETCH в окне</ns0:v>
      </ns0:c>
    </ns0:row>
    <ns0:row r="109">
      <ns0:c r="A109" t="n">
        <ns0:v>103</ns0:v>
      </ns0:c>
      <ns0:c r="B109" s="15" t="inlineStr">
        <ns0:is>
          <ns0:t>0x0000019C</ns0:t>
        </ns0:is>
      </ns0:c>
      <ns0:c r="C109" s="15" t="inlineStr">
        <ns0:is>
          <ns0:t>0x178000EF</ns0:t>
        </ns0:is>
      </ns0:c>
      <ns0:c r="D109" t="inlineStr">
        <ns0:is>
          <ns0:t>jal</ns0:t>
        </ns0:is>
      </ns0:c>
      <ns0:c r="E109" s="15" t="inlineStr">
        <ns0:is>
          <ns0:t>jal ra, 0x00000314</ns0:t>
        </ns0:is>
      </ns0:c>
      <ns0:c r="F109" s="15" t="inlineStr">
        <ns0:is>
          <ns0:t>1101111</ns0:t>
        </ns0:is>
      </ns0:c>
      <ns0:c r="G109" s="15" t="inlineStr">
        <ns0:is>
          <ns0:t>0001 0111 1000 0000 0000 0000 1110 1111</ns0:t>
        </ns0:is>
      </ns0:c>
      <ns0:c r="H109" t="inlineStr">
        <ns0:is>
          <ns0:t>КОД</ns0:t>
        </ns0:is>
      </ns0:c>
      <ns0:c r="I109">
        <ns0:f>COUNTIF('ДАННЫЕ T3'!$F$6:$F$286,B109)</ns0:f>
        <ns0:v>0</ns0:v>
      </ns0:c>
      <ns0:c r="J109" t="str">
        <ns0:f>IF(I109&gt;0,"FETCH зарегистрирован","Нет FETCH в окне")</ns0:f>
        <ns0:v>Нет FETCH в окне</ns0:v>
      </ns0:c>
    </ns0:row>
    <ns0:row r="110">
      <ns0:c r="A110" t="n">
        <ns0:v>104</ns0:v>
      </ns0:c>
      <ns0:c r="B110" s="15" t="inlineStr">
        <ns0:is>
          <ns0:t>0x000001A0</ns0:t>
        </ns0:is>
      </ns0:c>
      <ns0:c r="C110" s="15" t="inlineStr">
        <ns0:is>
          <ns0:t>0x00A00313</ns0:t>
        </ns0:is>
      </ns0:c>
      <ns0:c r="D110" t="inlineStr">
        <ns0:is>
          <ns0:t>addi</ns0:t>
        </ns0:is>
      </ns0:c>
      <ns0:c r="E110" s="15" t="inlineStr">
        <ns0:is>
          <ns0:t>addi t1, zero, 10</ns0:t>
        </ns0:is>
      </ns0:c>
      <ns0:c r="F110" s="15" t="inlineStr">
        <ns0:is>
          <ns0:t>0010011</ns0:t>
        </ns0:is>
      </ns0:c>
      <ns0:c r="G110" s="15" t="inlineStr">
        <ns0:is>
          <ns0:t>0000 0000 1010 0000 0000 0011 0001 0011</ns0:t>
        </ns0:is>
      </ns0:c>
      <ns0:c r="H110" t="inlineStr">
        <ns0:is>
          <ns0:t>КОД</ns0:t>
        </ns0:is>
      </ns0:c>
      <ns0:c r="I110">
        <ns0:f>COUNTIF('ДАННЫЕ T3'!$F$6:$F$286,B110)</ns0:f>
        <ns0:v>0</ns0:v>
      </ns0:c>
      <ns0:c r="J110" t="str">
        <ns0:f>IF(I110&gt;0,"FETCH зарегистрирован","Нет FETCH в окне")</ns0:f>
        <ns0:v>Нет FETCH в окне</ns0:v>
      </ns0:c>
    </ns0:row>
    <ns0:row r="111">
      <ns0:c r="A111" t="n">
        <ns0:v>105</ns0:v>
      </ns0:c>
      <ns0:c r="B111" s="15" t="inlineStr">
        <ns0:is>
          <ns0:t>0x000001A4</ns0:t>
        </ns0:is>
      </ns0:c>
      <ns0:c r="C111" s="15" t="inlineStr">
        <ns0:is>
          <ns0:t>0x170000EF</ns0:t>
        </ns0:is>
      </ns0:c>
      <ns0:c r="D111" t="inlineStr">
        <ns0:is>
          <ns0:t>jal</ns0:t>
        </ns0:is>
      </ns0:c>
      <ns0:c r="E111" s="15" t="inlineStr">
        <ns0:is>
          <ns0:t>jal ra, 0x00000314</ns0:t>
        </ns0:is>
      </ns0:c>
      <ns0:c r="F111" s="15" t="inlineStr">
        <ns0:is>
          <ns0:t>1101111</ns0:t>
        </ns0:is>
      </ns0:c>
      <ns0:c r="G111" s="15" t="inlineStr">
        <ns0:is>
          <ns0:t>0001 0111 0000 0000 0000 0000 1110 1111</ns0:t>
        </ns0:is>
      </ns0:c>
      <ns0:c r="H111" t="inlineStr">
        <ns0:is>
          <ns0:t>КОД</ns0:t>
        </ns0:is>
      </ns0:c>
      <ns0:c r="I111">
        <ns0:f>COUNTIF('ДАННЫЕ T3'!$F$6:$F$286,B111)</ns0:f>
        <ns0:v>0</ns0:v>
      </ns0:c>
      <ns0:c r="J111" t="str">
        <ns0:f>IF(I111&gt;0,"FETCH зарегистрирован","Нет FETCH в окне")</ns0:f>
        <ns0:v>Нет FETCH в окне</ns0:v>
      </ns0:c>
    </ns0:row>
    <ns0:row r="112">
      <ns0:c r="A112" t="n">
        <ns0:v>106</ns0:v>
      </ns0:c>
      <ns0:c r="B112" s="15" t="inlineStr">
        <ns0:is>
          <ns0:t>0x000001A8</ns0:t>
        </ns0:is>
      </ns0:c>
      <ns0:c r="C112" s="15" t="inlineStr">
        <ns0:is>
          <ns0:t>0xE91FF06F</ns0:t>
        </ns0:is>
      </ns0:c>
      <ns0:c r="D112" t="inlineStr">
        <ns0:is>
          <ns0:t>jal</ns0:t>
        </ns0:is>
      </ns0:c>
      <ns0:c r="E112" s="15" t="inlineStr">
        <ns0:is>
          <ns0:t>jal zero, 0x00000038</ns0:t>
        </ns0:is>
      </ns0:c>
      <ns0:c r="F112" s="15" t="inlineStr">
        <ns0:is>
          <ns0:t>1101111</ns0:t>
        </ns0:is>
      </ns0:c>
      <ns0:c r="G112" s="15" t="inlineStr">
        <ns0:is>
          <ns0:t>1110 1001 0001 1111 1111 0000 0110 1111</ns0:t>
        </ns0:is>
      </ns0:c>
      <ns0:c r="H112" t="inlineStr">
        <ns0:is>
          <ns0:t>КОД</ns0:t>
        </ns0:is>
      </ns0:c>
      <ns0:c r="I112">
        <ns0:f>COUNTIF('ДАННЫЕ T3'!$F$6:$F$286,B112)</ns0:f>
        <ns0:v>0</ns0:v>
      </ns0:c>
      <ns0:c r="J112" t="str">
        <ns0:f>IF(I112&gt;0,"FETCH зарегистрирован","Нет FETCH в окне")</ns0:f>
        <ns0:v>Нет FETCH в окне</ns0:v>
      </ns0:c>
    </ns0:row>
    <ns0:row r="113">
      <ns0:c r="A113" t="n">
        <ns0:v>107</ns0:v>
      </ns0:c>
      <ns0:c r="B113" s="15" t="inlineStr">
        <ns0:is>
          <ns0:t>0x000001AC</ns0:t>
        </ns0:is>
      </ns0:c>
      <ns0:c r="C113" s="15" t="inlineStr">
        <ns0:is>
          <ns0:t>0x04500313</ns0:t>
        </ns0:is>
      </ns0:c>
      <ns0:c r="D113" t="inlineStr">
        <ns0:is>
          <ns0:t>addi</ns0:t>
        </ns0:is>
      </ns0:c>
      <ns0:c r="E113" s="15" t="inlineStr">
        <ns0:is>
          <ns0:t>addi t1, zero, 69</ns0:t>
        </ns0:is>
      </ns0:c>
      <ns0:c r="F113" s="15" t="inlineStr">
        <ns0:is>
          <ns0:t>0010011</ns0:t>
        </ns0:is>
      </ns0:c>
      <ns0:c r="G113" s="15" t="inlineStr">
        <ns0:is>
          <ns0:t>0000 0100 0101 0000 0000 0011 0001 0011</ns0:t>
        </ns0:is>
      </ns0:c>
      <ns0:c r="H113" t="inlineStr">
        <ns0:is>
          <ns0:t>КОД</ns0:t>
        </ns0:is>
      </ns0:c>
      <ns0:c r="I113">
        <ns0:f>COUNTIF('ДАННЫЕ T3'!$F$6:$F$286,B113)</ns0:f>
        <ns0:v>0</ns0:v>
      </ns0:c>
      <ns0:c r="J113" t="str">
        <ns0:f>IF(I113&gt;0,"FETCH зарегистрирован","Нет FETCH в окне")</ns0:f>
        <ns0:v>Нет FETCH в окне</ns0:v>
      </ns0:c>
    </ns0:row>
    <ns0:row r="114">
      <ns0:c r="A114" t="n">
        <ns0:v>108</ns0:v>
      </ns0:c>
      <ns0:c r="B114" s="15" t="inlineStr">
        <ns0:is>
          <ns0:t>0x000001B0</ns0:t>
        </ns0:is>
      </ns0:c>
      <ns0:c r="C114" s="15" t="inlineStr">
        <ns0:is>
          <ns0:t>0x164000EF</ns0:t>
        </ns0:is>
      </ns0:c>
      <ns0:c r="D114" t="inlineStr">
        <ns0:is>
          <ns0:t>jal</ns0:t>
        </ns0:is>
      </ns0:c>
      <ns0:c r="E114" s="15" t="inlineStr">
        <ns0:is>
          <ns0:t>jal ra, 0x00000314</ns0:t>
        </ns0:is>
      </ns0:c>
      <ns0:c r="F114" s="15" t="inlineStr">
        <ns0:is>
          <ns0:t>1101111</ns0:t>
        </ns0:is>
      </ns0:c>
      <ns0:c r="G114" s="15" t="inlineStr">
        <ns0:is>
          <ns0:t>0001 0110 0100 0000 0000 0000 1110 1111</ns0:t>
        </ns0:is>
      </ns0:c>
      <ns0:c r="H114" t="inlineStr">
        <ns0:is>
          <ns0:t>КОД</ns0:t>
        </ns0:is>
      </ns0:c>
      <ns0:c r="I114">
        <ns0:f>COUNTIF('ДАННЫЕ T3'!$F$6:$F$286,B114)</ns0:f>
        <ns0:v>0</ns0:v>
      </ns0:c>
      <ns0:c r="J114" t="str">
        <ns0:f>IF(I114&gt;0,"FETCH зарегистрирован","Нет FETCH в окне")</ns0:f>
        <ns0:v>Нет FETCH в окне</ns0:v>
      </ns0:c>
    </ns0:row>
    <ns0:row r="115">
      <ns0:c r="A115" t="n">
        <ns0:v>109</ns0:v>
      </ns0:c>
      <ns0:c r="B115" s="15" t="inlineStr">
        <ns0:is>
          <ns0:t>0x000001B4</ns0:t>
        </ns0:is>
      </ns0:c>
      <ns0:c r="C115" s="15" t="inlineStr">
        <ns0:is>
          <ns0:t>0x00A00313</ns0:t>
        </ns0:is>
      </ns0:c>
      <ns0:c r="D115" t="inlineStr">
        <ns0:is>
          <ns0:t>addi</ns0:t>
        </ns0:is>
      </ns0:c>
      <ns0:c r="E115" s="15" t="inlineStr">
        <ns0:is>
          <ns0:t>addi t1, zero, 10</ns0:t>
        </ns0:is>
      </ns0:c>
      <ns0:c r="F115" s="15" t="inlineStr">
        <ns0:is>
          <ns0:t>0010011</ns0:t>
        </ns0:is>
      </ns0:c>
      <ns0:c r="G115" s="15" t="inlineStr">
        <ns0:is>
          <ns0:t>0000 0000 1010 0000 0000 0011 0001 0011</ns0:t>
        </ns0:is>
      </ns0:c>
      <ns0:c r="H115" t="inlineStr">
        <ns0:is>
          <ns0:t>КОД</ns0:t>
        </ns0:is>
      </ns0:c>
      <ns0:c r="I115">
        <ns0:f>COUNTIF('ДАННЫЕ T3'!$F$6:$F$286,B115)</ns0:f>
        <ns0:v>0</ns0:v>
      </ns0:c>
      <ns0:c r="J115" t="str">
        <ns0:f>IF(I115&gt;0,"FETCH зарегистрирован","Нет FETCH в окне")</ns0:f>
        <ns0:v>Нет FETCH в окне</ns0:v>
      </ns0:c>
    </ns0:row>
    <ns0:row r="116">
      <ns0:c r="A116" t="n">
        <ns0:v>110</ns0:v>
      </ns0:c>
      <ns0:c r="B116" s="15" t="inlineStr">
        <ns0:is>
          <ns0:t>0x000001B8</ns0:t>
        </ns0:is>
      </ns0:c>
      <ns0:c r="C116" s="15" t="inlineStr">
        <ns0:is>
          <ns0:t>0x15C000EF</ns0:t>
        </ns0:is>
      </ns0:c>
      <ns0:c r="D116" t="inlineStr">
        <ns0:is>
          <ns0:t>jal</ns0:t>
        </ns0:is>
      </ns0:c>
      <ns0:c r="E116" s="15" t="inlineStr">
        <ns0:is>
          <ns0:t>jal ra, 0x00000314</ns0:t>
        </ns0:is>
      </ns0:c>
      <ns0:c r="F116" s="15" t="inlineStr">
        <ns0:is>
          <ns0:t>1101111</ns0:t>
        </ns0:is>
      </ns0:c>
      <ns0:c r="G116" s="15" t="inlineStr">
        <ns0:is>
          <ns0:t>0001 0101 1100 0000 0000 0000 1110 1111</ns0:t>
        </ns0:is>
      </ns0:c>
      <ns0:c r="H116" t="inlineStr">
        <ns0:is>
          <ns0:t>КОД</ns0:t>
        </ns0:is>
      </ns0:c>
      <ns0:c r="I116">
        <ns0:f>COUNTIF('ДАННЫЕ T3'!$F$6:$F$286,B116)</ns0:f>
        <ns0:v>0</ns0:v>
      </ns0:c>
      <ns0:c r="J116" t="str">
        <ns0:f>IF(I116&gt;0,"FETCH зарегистрирован","Нет FETCH в окне")</ns0:f>
        <ns0:v>Нет FETCH в окне</ns0:v>
      </ns0:c>
    </ns0:row>
    <ns0:row r="117">
      <ns0:c r="A117" t="n">
        <ns0:v>111</ns0:v>
      </ns0:c>
      <ns0:c r="B117" s="15" t="inlineStr">
        <ns0:is>
          <ns0:t>0x000001BC</ns0:t>
        </ns0:is>
      </ns0:c>
      <ns0:c r="C117" s="15" t="inlineStr">
        <ns0:is>
          <ns0:t>0xE7DFF06F</ns0:t>
        </ns0:is>
      </ns0:c>
      <ns0:c r="D117" t="inlineStr">
        <ns0:is>
          <ns0:t>jal</ns0:t>
        </ns0:is>
      </ns0:c>
      <ns0:c r="E117" s="15" t="inlineStr">
        <ns0:is>
          <ns0:t>jal zero, 0x00000038</ns0:t>
        </ns0:is>
      </ns0:c>
      <ns0:c r="F117" s="15" t="inlineStr">
        <ns0:is>
          <ns0:t>1101111</ns0:t>
        </ns0:is>
      </ns0:c>
      <ns0:c r="G117" s="15" t="inlineStr">
        <ns0:is>
          <ns0:t>1110 0111 1101 1111 1111 0000 0110 1111</ns0:t>
        </ns0:is>
      </ns0:c>
      <ns0:c r="H117" t="inlineStr">
        <ns0:is>
          <ns0:t>КОД</ns0:t>
        </ns0:is>
      </ns0:c>
      <ns0:c r="I117">
        <ns0:f>COUNTIF('ДАННЫЕ T3'!$F$6:$F$286,B117)</ns0:f>
        <ns0:v>0</ns0:v>
      </ns0:c>
      <ns0:c r="J117" t="str">
        <ns0:f>IF(I117&gt;0,"FETCH зарегистрирован","Нет FETCH в окне")</ns0:f>
        <ns0:v>Нет FETCH в окне</ns0:v>
      </ns0:c>
    </ns0:row>
    <ns0:row r="118">
      <ns0:c r="A118" t="n">
        <ns0:v>112</ns0:v>
      </ns0:c>
      <ns0:c r="B118" s="15" t="inlineStr">
        <ns0:is>
          <ns0:t>0x000001C0</ns0:t>
        </ns0:is>
      </ns0:c>
      <ns0:c r="C118" s="15" t="inlineStr">
        <ns0:is>
          <ns0:t>0x04600313</ns0:t>
        </ns0:is>
      </ns0:c>
      <ns0:c r="D118" t="inlineStr">
        <ns0:is>
          <ns0:t>addi</ns0:t>
        </ns0:is>
      </ns0:c>
      <ns0:c r="E118" s="15" t="inlineStr">
        <ns0:is>
          <ns0:t>addi t1, zero, 70</ns0:t>
        </ns0:is>
      </ns0:c>
      <ns0:c r="F118" s="15" t="inlineStr">
        <ns0:is>
          <ns0:t>0010011</ns0:t>
        </ns0:is>
      </ns0:c>
      <ns0:c r="G118" s="15" t="inlineStr">
        <ns0:is>
          <ns0:t>0000 0100 0110 0000 0000 0011 0001 0011</ns0:t>
        </ns0:is>
      </ns0:c>
      <ns0:c r="H118" t="inlineStr">
        <ns0:is>
          <ns0:t>КОД</ns0:t>
        </ns0:is>
      </ns0:c>
      <ns0:c r="I118">
        <ns0:f>COUNTIF('ДАННЫЕ T3'!$F$6:$F$286,B118)</ns0:f>
        <ns0:v>0</ns0:v>
      </ns0:c>
      <ns0:c r="J118" t="str">
        <ns0:f>IF(I118&gt;0,"FETCH зарегистрирован","Нет FETCH в окне")</ns0:f>
        <ns0:v>Нет FETCH в окне</ns0:v>
      </ns0:c>
    </ns0:row>
    <ns0:row r="119">
      <ns0:c r="A119" t="n">
        <ns0:v>113</ns0:v>
      </ns0:c>
      <ns0:c r="B119" s="15" t="inlineStr">
        <ns0:is>
          <ns0:t>0x000001C4</ns0:t>
        </ns0:is>
      </ns0:c>
      <ns0:c r="C119" s="15" t="inlineStr">
        <ns0:is>
          <ns0:t>0x150000EF</ns0:t>
        </ns0:is>
      </ns0:c>
      <ns0:c r="D119" t="inlineStr">
        <ns0:is>
          <ns0:t>jal</ns0:t>
        </ns0:is>
      </ns0:c>
      <ns0:c r="E119" s="15" t="inlineStr">
        <ns0:is>
          <ns0:t>jal ra, 0x00000314</ns0:t>
        </ns0:is>
      </ns0:c>
      <ns0:c r="F119" s="15" t="inlineStr">
        <ns0:is>
          <ns0:t>1101111</ns0:t>
        </ns0:is>
      </ns0:c>
      <ns0:c r="G119" s="15" t="inlineStr">
        <ns0:is>
          <ns0:t>0001 0101 0000 0000 0000 0000 1110 1111</ns0:t>
        </ns0:is>
      </ns0:c>
      <ns0:c r="H119" t="inlineStr">
        <ns0:is>
          <ns0:t>КОД</ns0:t>
        </ns0:is>
      </ns0:c>
      <ns0:c r="I119">
        <ns0:f>COUNTIF('ДАННЫЕ T3'!$F$6:$F$286,B119)</ns0:f>
        <ns0:v>0</ns0:v>
      </ns0:c>
      <ns0:c r="J119" t="str">
        <ns0:f>IF(I119&gt;0,"FETCH зарегистрирован","Нет FETCH в окне")</ns0:f>
        <ns0:v>Нет FETCH в окне</ns0:v>
      </ns0:c>
    </ns0:row>
    <ns0:row r="120">
      <ns0:c r="A120" t="n">
        <ns0:v>114</ns0:v>
      </ns0:c>
      <ns0:c r="B120" s="15" t="inlineStr">
        <ns0:is>
          <ns0:t>0x000001C8</ns0:t>
        </ns0:is>
      </ns0:c>
      <ns0:c r="C120" s="15" t="inlineStr">
        <ns0:is>
          <ns0:t>0x00A00313</ns0:t>
        </ns0:is>
      </ns0:c>
      <ns0:c r="D120" t="inlineStr">
        <ns0:is>
          <ns0:t>addi</ns0:t>
        </ns0:is>
      </ns0:c>
      <ns0:c r="E120" s="15" t="inlineStr">
        <ns0:is>
          <ns0:t>addi t1, zero, 10</ns0:t>
        </ns0:is>
      </ns0:c>
      <ns0:c r="F120" s="15" t="inlineStr">
        <ns0:is>
          <ns0:t>0010011</ns0:t>
        </ns0:is>
      </ns0:c>
      <ns0:c r="G120" s="15" t="inlineStr">
        <ns0:is>
          <ns0:t>0000 0000 1010 0000 0000 0011 0001 0011</ns0:t>
        </ns0:is>
      </ns0:c>
      <ns0:c r="H120" t="inlineStr">
        <ns0:is>
          <ns0:t>КОД</ns0:t>
        </ns0:is>
      </ns0:c>
      <ns0:c r="I120">
        <ns0:f>COUNTIF('ДАННЫЕ T3'!$F$6:$F$286,B120)</ns0:f>
        <ns0:v>0</ns0:v>
      </ns0:c>
      <ns0:c r="J120" t="str">
        <ns0:f>IF(I120&gt;0,"FETCH зарегистрирован","Нет FETCH в окне")</ns0:f>
        <ns0:v>Нет FETCH в окне</ns0:v>
      </ns0:c>
    </ns0:row>
    <ns0:row r="121">
      <ns0:c r="A121" t="n">
        <ns0:v>115</ns0:v>
      </ns0:c>
      <ns0:c r="B121" s="15" t="inlineStr">
        <ns0:is>
          <ns0:t>0x000001CC</ns0:t>
        </ns0:is>
      </ns0:c>
      <ns0:c r="C121" s="15" t="inlineStr">
        <ns0:is>
          <ns0:t>0x148000EF</ns0:t>
        </ns0:is>
      </ns0:c>
      <ns0:c r="D121" t="inlineStr">
        <ns0:is>
          <ns0:t>jal</ns0:t>
        </ns0:is>
      </ns0:c>
      <ns0:c r="E121" s="15" t="inlineStr">
        <ns0:is>
          <ns0:t>jal ra, 0x00000314</ns0:t>
        </ns0:is>
      </ns0:c>
      <ns0:c r="F121" s="15" t="inlineStr">
        <ns0:is>
          <ns0:t>1101111</ns0:t>
        </ns0:is>
      </ns0:c>
      <ns0:c r="G121" s="15" t="inlineStr">
        <ns0:is>
          <ns0:t>0001 0100 1000 0000 0000 0000 1110 1111</ns0:t>
        </ns0:is>
      </ns0:c>
      <ns0:c r="H121" t="inlineStr">
        <ns0:is>
          <ns0:t>КОД</ns0:t>
        </ns0:is>
      </ns0:c>
      <ns0:c r="I121">
        <ns0:f>COUNTIF('ДАННЫЕ T3'!$F$6:$F$286,B121)</ns0:f>
        <ns0:v>0</ns0:v>
      </ns0:c>
      <ns0:c r="J121" t="str">
        <ns0:f>IF(I121&gt;0,"FETCH зарегистрирован","Нет FETCH в окне")</ns0:f>
        <ns0:v>Нет FETCH в окне</ns0:v>
      </ns0:c>
    </ns0:row>
    <ns0:row r="122">
      <ns0:c r="A122" t="n">
        <ns0:v>116</ns0:v>
      </ns0:c>
      <ns0:c r="B122" s="15" t="inlineStr">
        <ns0:is>
          <ns0:t>0x000001D0</ns0:t>
        </ns0:is>
      </ns0:c>
      <ns0:c r="C122" s="15" t="inlineStr">
        <ns0:is>
          <ns0:t>0xE69FF06F</ns0:t>
        </ns0:is>
      </ns0:c>
      <ns0:c r="D122" t="inlineStr">
        <ns0:is>
          <ns0:t>jal</ns0:t>
        </ns0:is>
      </ns0:c>
      <ns0:c r="E122" s="15" t="inlineStr">
        <ns0:is>
          <ns0:t>jal zero, 0x00000038</ns0:t>
        </ns0:is>
      </ns0:c>
      <ns0:c r="F122" s="15" t="inlineStr">
        <ns0:is>
          <ns0:t>1101111</ns0:t>
        </ns0:is>
      </ns0:c>
      <ns0:c r="G122" s="15" t="inlineStr">
        <ns0:is>
          <ns0:t>1110 0110 1001 1111 1111 0000 0110 1111</ns0:t>
        </ns0:is>
      </ns0:c>
      <ns0:c r="H122" t="inlineStr">
        <ns0:is>
          <ns0:t>КОД</ns0:t>
        </ns0:is>
      </ns0:c>
      <ns0:c r="I122">
        <ns0:f>COUNTIF('ДАННЫЕ T3'!$F$6:$F$286,B122)</ns0:f>
        <ns0:v>0</ns0:v>
      </ns0:c>
      <ns0:c r="J122" t="str">
        <ns0:f>IF(I122&gt;0,"FETCH зарегистрирован","Нет FETCH в окне")</ns0:f>
        <ns0:v>Нет FETCH в окне</ns0:v>
      </ns0:c>
    </ns0:row>
    <ns0:row r="123">
      <ns0:c r="A123" t="n">
        <ns0:v>117</ns0:v>
      </ns0:c>
      <ns0:c r="B123" s="15" t="inlineStr">
        <ns0:is>
          <ns0:t>0x000001D4</ns0:t>
        </ns0:is>
      </ns0:c>
      <ns0:c r="C123" s="15" t="inlineStr">
        <ns0:is>
          <ns0:t>0x03C2AC23</ns0:t>
        </ns0:is>
      </ns0:c>
      <ns0:c r="D123" t="inlineStr">
        <ns0:is>
          <ns0:t>sw</ns0:t>
        </ns0:is>
      </ns0:c>
      <ns0:c r="E123" s="15" t="inlineStr">
        <ns0:is>
          <ns0:t>sw t3, 56(t0)</ns0:t>
        </ns0:is>
      </ns0:c>
      <ns0:c r="F123" s="15" t="inlineStr">
        <ns0:is>
          <ns0:t>0100011</ns0:t>
        </ns0:is>
      </ns0:c>
      <ns0:c r="G123" s="15" t="inlineStr">
        <ns0:is>
          <ns0:t>0000 0011 1100 0010 1010 1100 0010 0011</ns0:t>
        </ns0:is>
      </ns0:c>
      <ns0:c r="H123" t="inlineStr">
        <ns0:is>
          <ns0:t>КОД</ns0:t>
        </ns0:is>
      </ns0:c>
      <ns0:c r="I123">
        <ns0:f>COUNTIF('ДАННЫЕ T3'!$F$6:$F$286,B123)</ns0:f>
        <ns0:v>0</ns0:v>
      </ns0:c>
      <ns0:c r="J123" t="str">
        <ns0:f>IF(I123&gt;0,"FETCH зарегистрирован","Нет FETCH в окне")</ns0:f>
        <ns0:v>Нет FETCH в окне</ns0:v>
      </ns0:c>
    </ns0:row>
    <ns0:row r="124">
      <ns0:c r="A124" t="n">
        <ns0:v>118</ns0:v>
      </ns0:c>
      <ns0:c r="B124" s="15" t="inlineStr">
        <ns0:is>
          <ns0:t>0x000001D8</ns0:t>
        </ns0:is>
      </ns0:c>
      <ns0:c r="C124" s="15" t="inlineStr">
        <ns0:is>
          <ns0:t>0x04300313</ns0:t>
        </ns0:is>
      </ns0:c>
      <ns0:c r="D124" t="inlineStr">
        <ns0:is>
          <ns0:t>addi</ns0:t>
        </ns0:is>
      </ns0:c>
      <ns0:c r="E124" s="15" t="inlineStr">
        <ns0:is>
          <ns0:t>addi t1, zero, 67</ns0:t>
        </ns0:is>
      </ns0:c>
      <ns0:c r="F124" s="15" t="inlineStr">
        <ns0:is>
          <ns0:t>0010011</ns0:t>
        </ns0:is>
      </ns0:c>
      <ns0:c r="G124" s="15" t="inlineStr">
        <ns0:is>
          <ns0:t>0000 0100 0011 0000 0000 0011 0001 0011</ns0:t>
        </ns0:is>
      </ns0:c>
      <ns0:c r="H124" t="inlineStr">
        <ns0:is>
          <ns0:t>КОД</ns0:t>
        </ns0:is>
      </ns0:c>
      <ns0:c r="I124">
        <ns0:f>COUNTIF('ДАННЫЕ T3'!$F$6:$F$286,B124)</ns0:f>
        <ns0:v>0</ns0:v>
      </ns0:c>
      <ns0:c r="J124" t="str">
        <ns0:f>IF(I124&gt;0,"FETCH зарегистрирован","Нет FETCH в окне")</ns0:f>
        <ns0:v>Нет FETCH в окне</ns0:v>
      </ns0:c>
    </ns0:row>
    <ns0:row r="125">
      <ns0:c r="A125" t="n">
        <ns0:v>119</ns0:v>
      </ns0:c>
      <ns0:c r="B125" s="15" t="inlineStr">
        <ns0:is>
          <ns0:t>0x000001DC</ns0:t>
        </ns0:is>
      </ns0:c>
      <ns0:c r="C125" s="15" t="inlineStr">
        <ns0:is>
          <ns0:t>0x138000EF</ns0:t>
        </ns0:is>
      </ns0:c>
      <ns0:c r="D125" t="inlineStr">
        <ns0:is>
          <ns0:t>jal</ns0:t>
        </ns0:is>
      </ns0:c>
      <ns0:c r="E125" s="15" t="inlineStr">
        <ns0:is>
          <ns0:t>jal ra, 0x00000314</ns0:t>
        </ns0:is>
      </ns0:c>
      <ns0:c r="F125" s="15" t="inlineStr">
        <ns0:is>
          <ns0:t>1101111</ns0:t>
        </ns0:is>
      </ns0:c>
      <ns0:c r="G125" s="15" t="inlineStr">
        <ns0:is>
          <ns0:t>0001 0011 1000 0000 0000 0000 1110 1111</ns0:t>
        </ns0:is>
      </ns0:c>
      <ns0:c r="H125" t="inlineStr">
        <ns0:is>
          <ns0:t>КОД</ns0:t>
        </ns0:is>
      </ns0:c>
      <ns0:c r="I125">
        <ns0:f>COUNTIF('ДАННЫЕ T3'!$F$6:$F$286,B125)</ns0:f>
        <ns0:v>0</ns0:v>
      </ns0:c>
      <ns0:c r="J125" t="str">
        <ns0:f>IF(I125&gt;0,"FETCH зарегистрирован","Нет FETCH в окне")</ns0:f>
        <ns0:v>Нет FETCH в окне</ns0:v>
      </ns0:c>
    </ns0:row>
    <ns0:row r="126">
      <ns0:c r="A126" t="n">
        <ns0:v>120</ns0:v>
      </ns0:c>
      <ns0:c r="B126" s="15" t="inlineStr">
        <ns0:is>
          <ns0:t>0x000001E0</ns0:t>
        </ns0:is>
      </ns0:c>
      <ns0:c r="C126" s="15" t="inlineStr">
        <ns0:is>
          <ns0:t>0x00A00313</ns0:t>
        </ns0:is>
      </ns0:c>
      <ns0:c r="D126" t="inlineStr">
        <ns0:is>
          <ns0:t>addi</ns0:t>
        </ns0:is>
      </ns0:c>
      <ns0:c r="E126" s="15" t="inlineStr">
        <ns0:is>
          <ns0:t>addi t1, zero, 10</ns0:t>
        </ns0:is>
      </ns0:c>
      <ns0:c r="F126" s="15" t="inlineStr">
        <ns0:is>
          <ns0:t>0010011</ns0:t>
        </ns0:is>
      </ns0:c>
      <ns0:c r="G126" s="15" t="inlineStr">
        <ns0:is>
          <ns0:t>0000 0000 1010 0000 0000 0011 0001 0011</ns0:t>
        </ns0:is>
      </ns0:c>
      <ns0:c r="H126" t="inlineStr">
        <ns0:is>
          <ns0:t>КОД</ns0:t>
        </ns0:is>
      </ns0:c>
      <ns0:c r="I126">
        <ns0:f>COUNTIF('ДАННЫЕ T3'!$F$6:$F$286,B126)</ns0:f>
        <ns0:v>0</ns0:v>
      </ns0:c>
      <ns0:c r="J126" t="str">
        <ns0:f>IF(I126&gt;0,"FETCH зарегистрирован","Нет FETCH в окне")</ns0:f>
        <ns0:v>Нет FETCH в окне</ns0:v>
      </ns0:c>
    </ns0:row>
    <ns0:row r="127">
      <ns0:c r="A127" t="n">
        <ns0:v>121</ns0:v>
      </ns0:c>
      <ns0:c r="B127" s="15" t="inlineStr">
        <ns0:is>
          <ns0:t>0x000001E4</ns0:t>
        </ns0:is>
      </ns0:c>
      <ns0:c r="C127" s="15" t="inlineStr">
        <ns0:is>
          <ns0:t>0x130000EF</ns0:t>
        </ns0:is>
      </ns0:c>
      <ns0:c r="D127" t="inlineStr">
        <ns0:is>
          <ns0:t>jal</ns0:t>
        </ns0:is>
      </ns0:c>
      <ns0:c r="E127" s="15" t="inlineStr">
        <ns0:is>
          <ns0:t>jal ra, 0x00000314</ns0:t>
        </ns0:is>
      </ns0:c>
      <ns0:c r="F127" s="15" t="inlineStr">
        <ns0:is>
          <ns0:t>1101111</ns0:t>
        </ns0:is>
      </ns0:c>
      <ns0:c r="G127" s="15" t="inlineStr">
        <ns0:is>
          <ns0:t>0001 0011 0000 0000 0000 0000 1110 1111</ns0:t>
        </ns0:is>
      </ns0:c>
      <ns0:c r="H127" t="inlineStr">
        <ns0:is>
          <ns0:t>КОД</ns0:t>
        </ns0:is>
      </ns0:c>
      <ns0:c r="I127">
        <ns0:f>COUNTIF('ДАННЫЕ T3'!$F$6:$F$286,B127)</ns0:f>
        <ns0:v>0</ns0:v>
      </ns0:c>
      <ns0:c r="J127" t="str">
        <ns0:f>IF(I127&gt;0,"FETCH зарегистрирован","Нет FETCH в окне")</ns0:f>
        <ns0:v>Нет FETCH в окне</ns0:v>
      </ns0:c>
    </ns0:row>
    <ns0:row r="128">
      <ns0:c r="A128" t="n">
        <ns0:v>122</ns0:v>
      </ns0:c>
      <ns0:c r="B128" s="15" t="inlineStr">
        <ns0:is>
          <ns0:t>0x000001E8</ns0:t>
        </ns0:is>
      </ns0:c>
      <ns0:c r="C128" s="15" t="inlineStr">
        <ns0:is>
          <ns0:t>0xE51FF06F</ns0:t>
        </ns0:is>
      </ns0:c>
      <ns0:c r="D128" t="inlineStr">
        <ns0:is>
          <ns0:t>jal</ns0:t>
        </ns0:is>
      </ns0:c>
      <ns0:c r="E128" s="15" t="inlineStr">
        <ns0:is>
          <ns0:t>jal zero, 0x00000038</ns0:t>
        </ns0:is>
      </ns0:c>
      <ns0:c r="F128" s="15" t="inlineStr">
        <ns0:is>
          <ns0:t>1101111</ns0:t>
        </ns0:is>
      </ns0:c>
      <ns0:c r="G128" s="15" t="inlineStr">
        <ns0:is>
          <ns0:t>1110 0101 0001 1111 1111 0000 0110 1111</ns0:t>
        </ns0:is>
      </ns0:c>
      <ns0:c r="H128" t="inlineStr">
        <ns0:is>
          <ns0:t>КОД</ns0:t>
        </ns0:is>
      </ns0:c>
      <ns0:c r="I128">
        <ns0:f>COUNTIF('ДАННЫЕ T3'!$F$6:$F$286,B128)</ns0:f>
        <ns0:v>0</ns0:v>
      </ns0:c>
      <ns0:c r="J128" t="str">
        <ns0:f>IF(I128&gt;0,"FETCH зарегистрирован","Нет FETCH в окне")</ns0:f>
        <ns0:v>Нет FETCH в окне</ns0:v>
      </ns0:c>
    </ns0:row>
    <ns0:row r="129">
      <ns0:c r="A129" t="n">
        <ns0:v>123</ns0:v>
      </ns0:c>
      <ns0:c r="B129" s="15" t="inlineStr">
        <ns0:is>
          <ns0:t>0x000001EC</ns0:t>
        </ns0:is>
      </ns0:c>
      <ns0:c r="C129" s="15" t="inlineStr">
        <ns0:is>
          <ns0:t>0x05400313</ns0:t>
        </ns0:is>
      </ns0:c>
      <ns0:c r="D129" t="inlineStr">
        <ns0:is>
          <ns0:t>addi</ns0:t>
        </ns0:is>
      </ns0:c>
      <ns0:c r="E129" s="15" t="inlineStr">
        <ns0:is>
          <ns0:t>addi t1, zero, 84</ns0:t>
        </ns0:is>
      </ns0:c>
      <ns0:c r="F129" s="15" t="inlineStr">
        <ns0:is>
          <ns0:t>0010011</ns0:t>
        </ns0:is>
      </ns0:c>
      <ns0:c r="G129" s="15" t="inlineStr">
        <ns0:is>
          <ns0:t>0000 0101 0100 0000 0000 0011 0001 0011</ns0:t>
        </ns0:is>
      </ns0:c>
      <ns0:c r="H129" t="inlineStr">
        <ns0:is>
          <ns0:t>КОД</ns0:t>
        </ns0:is>
      </ns0:c>
      <ns0:c r="I129">
        <ns0:f>COUNTIF('ДАННЫЕ T3'!$F$6:$F$286,B129)</ns0:f>
        <ns0:v>0</ns0:v>
      </ns0:c>
      <ns0:c r="J129" t="str">
        <ns0:f>IF(I129&gt;0,"FETCH зарегистрирован","Нет FETCH в окне")</ns0:f>
        <ns0:v>Нет FETCH в окне</ns0:v>
      </ns0:c>
    </ns0:row>
    <ns0:row r="130">
      <ns0:c r="A130" t="n">
        <ns0:v>124</ns0:v>
      </ns0:c>
      <ns0:c r="B130" s="15" t="inlineStr">
        <ns0:is>
          <ns0:t>0x000001F0</ns0:t>
        </ns0:is>
      </ns0:c>
      <ns0:c r="C130" s="15" t="inlineStr">
        <ns0:is>
          <ns0:t>0x124000EF</ns0:t>
        </ns0:is>
      </ns0:c>
      <ns0:c r="D130" t="inlineStr">
        <ns0:is>
          <ns0:t>jal</ns0:t>
        </ns0:is>
      </ns0:c>
      <ns0:c r="E130" s="15" t="inlineStr">
        <ns0:is>
          <ns0:t>jal ra, 0x00000314</ns0:t>
        </ns0:is>
      </ns0:c>
      <ns0:c r="F130" s="15" t="inlineStr">
        <ns0:is>
          <ns0:t>1101111</ns0:t>
        </ns0:is>
      </ns0:c>
      <ns0:c r="G130" s="15" t="inlineStr">
        <ns0:is>
          <ns0:t>0001 0010 0100 0000 0000 0000 1110 1111</ns0:t>
        </ns0:is>
      </ns0:c>
      <ns0:c r="H130" t="inlineStr">
        <ns0:is>
          <ns0:t>КОД</ns0:t>
        </ns0:is>
      </ns0:c>
      <ns0:c r="I130">
        <ns0:f>COUNTIF('ДАННЫЕ T3'!$F$6:$F$286,B130)</ns0:f>
        <ns0:v>0</ns0:v>
      </ns0:c>
      <ns0:c r="J130" t="str">
        <ns0:f>IF(I130&gt;0,"FETCH зарегистрирован","Нет FETCH в окне")</ns0:f>
        <ns0:v>Нет FETCH в окне</ns0:v>
      </ns0:c>
    </ns0:row>
    <ns0:row r="131">
      <ns0:c r="A131" t="n">
        <ns0:v>125</ns0:v>
      </ns0:c>
      <ns0:c r="B131" s="15" t="inlineStr">
        <ns0:is>
          <ns0:t>0x000001F4</ns0:t>
        </ns0:is>
      </ns0:c>
      <ns0:c r="C131" s="15" t="inlineStr">
        <ns0:is>
          <ns0:t>0x03300313</ns0:t>
        </ns0:is>
      </ns0:c>
      <ns0:c r="D131" t="inlineStr">
        <ns0:is>
          <ns0:t>addi</ns0:t>
        </ns0:is>
      </ns0:c>
      <ns0:c r="E131" s="15" t="inlineStr">
        <ns0:is>
          <ns0:t>addi t1, zero, 51</ns0:t>
        </ns0:is>
      </ns0:c>
      <ns0:c r="F131" s="15" t="inlineStr">
        <ns0:is>
          <ns0:t>0010011</ns0:t>
        </ns0:is>
      </ns0:c>
      <ns0:c r="G131" s="15" t="inlineStr">
        <ns0:is>
          <ns0:t>0000 0011 0011 0000 0000 0011 0001 0011</ns0:t>
        </ns0:is>
      </ns0:c>
      <ns0:c r="H131" t="inlineStr">
        <ns0:is>
          <ns0:t>КОД</ns0:t>
        </ns0:is>
      </ns0:c>
      <ns0:c r="I131">
        <ns0:f>COUNTIF('ДАННЫЕ T3'!$F$6:$F$286,B131)</ns0:f>
        <ns0:v>0</ns0:v>
      </ns0:c>
      <ns0:c r="J131" t="str">
        <ns0:f>IF(I131&gt;0,"FETCH зарегистрирован","Нет FETCH в окне")</ns0:f>
        <ns0:v>Нет FETCH в окне</ns0:v>
      </ns0:c>
    </ns0:row>
    <ns0:row r="132">
      <ns0:c r="A132" t="n">
        <ns0:v>126</ns0:v>
      </ns0:c>
      <ns0:c r="B132" s="15" t="inlineStr">
        <ns0:is>
          <ns0:t>0x000001F8</ns0:t>
        </ns0:is>
      </ns0:c>
      <ns0:c r="C132" s="15" t="inlineStr">
        <ns0:is>
          <ns0:t>0x11C000EF</ns0:t>
        </ns0:is>
      </ns0:c>
      <ns0:c r="D132" t="inlineStr">
        <ns0:is>
          <ns0:t>jal</ns0:t>
        </ns0:is>
      </ns0:c>
      <ns0:c r="E132" s="15" t="inlineStr">
        <ns0:is>
          <ns0:t>jal ra, 0x00000314</ns0:t>
        </ns0:is>
      </ns0:c>
      <ns0:c r="F132" s="15" t="inlineStr">
        <ns0:is>
          <ns0:t>1101111</ns0:t>
        </ns0:is>
      </ns0:c>
      <ns0:c r="G132" s="15" t="inlineStr">
        <ns0:is>
          <ns0:t>0001 0001 1100 0000 0000 0000 1110 1111</ns0:t>
        </ns0:is>
      </ns0:c>
      <ns0:c r="H132" t="inlineStr">
        <ns0:is>
          <ns0:t>КОД</ns0:t>
        </ns0:is>
      </ns0:c>
      <ns0:c r="I132">
        <ns0:f>COUNTIF('ДАННЫЕ T3'!$F$6:$F$286,B132)</ns0:f>
        <ns0:v>0</ns0:v>
      </ns0:c>
      <ns0:c r="J132" t="str">
        <ns0:f>IF(I132&gt;0,"FETCH зарегистрирован","Нет FETCH в окне")</ns0:f>
        <ns0:v>Нет FETCH в окне</ns0:v>
      </ns0:c>
    </ns0:row>
    <ns0:row r="133">
      <ns0:c r="A133" t="n">
        <ns0:v>127</ns0:v>
      </ns0:c>
      <ns0:c r="B133" s="15" t="inlineStr">
        <ns0:is>
          <ns0:t>0x000001FC</ns0:t>
        </ns0:is>
      </ns0:c>
      <ns0:c r="C133" s="15" t="inlineStr">
        <ns0:is>
          <ns0:t>0x03A00313</ns0:t>
        </ns0:is>
      </ns0:c>
      <ns0:c r="D133" t="inlineStr">
        <ns0:is>
          <ns0:t>addi</ns0:t>
        </ns0:is>
      </ns0:c>
      <ns0:c r="E133" s="15" t="inlineStr">
        <ns0:is>
          <ns0:t>addi t1, zero, 58</ns0:t>
        </ns0:is>
      </ns0:c>
      <ns0:c r="F133" s="15" t="inlineStr">
        <ns0:is>
          <ns0:t>0010011</ns0:t>
        </ns0:is>
      </ns0:c>
      <ns0:c r="G133" s="15" t="inlineStr">
        <ns0:is>
          <ns0:t>0000 0011 1010 0000 0000 0011 0001 0011</ns0:t>
        </ns0:is>
      </ns0:c>
      <ns0:c r="H133" t="inlineStr">
        <ns0:is>
          <ns0:t>КОД</ns0:t>
        </ns0:is>
      </ns0:c>
      <ns0:c r="I133">
        <ns0:f>COUNTIF('ДАННЫЕ T3'!$F$6:$F$286,B133)</ns0:f>
        <ns0:v>0</ns0:v>
      </ns0:c>
      <ns0:c r="J133" t="str">
        <ns0:f>IF(I133&gt;0,"FETCH зарегистрирован","Нет FETCH в окне")</ns0:f>
        <ns0:v>Нет FETCH в окне</ns0:v>
      </ns0:c>
    </ns0:row>
    <ns0:row r="134">
      <ns0:c r="A134" t="n">
        <ns0:v>128</ns0:v>
      </ns0:c>
      <ns0:c r="B134" s="15" t="inlineStr">
        <ns0:is>
          <ns0:t>0x00000200</ns0:t>
        </ns0:is>
      </ns0:c>
      <ns0:c r="C134" s="15" t="inlineStr">
        <ns0:is>
          <ns0:t>0x114000EF</ns0:t>
        </ns0:is>
      </ns0:c>
      <ns0:c r="D134" t="inlineStr">
        <ns0:is>
          <ns0:t>jal</ns0:t>
        </ns0:is>
      </ns0:c>
      <ns0:c r="E134" s="15" t="inlineStr">
        <ns0:is>
          <ns0:t>jal ra, 0x00000314</ns0:t>
        </ns0:is>
      </ns0:c>
      <ns0:c r="F134" s="15" t="inlineStr">
        <ns0:is>
          <ns0:t>1101111</ns0:t>
        </ns0:is>
      </ns0:c>
      <ns0:c r="G134" s="15" t="inlineStr">
        <ns0:is>
          <ns0:t>0001 0001 0100 0000 0000 0000 1110 1111</ns0:t>
        </ns0:is>
      </ns0:c>
      <ns0:c r="H134" t="inlineStr">
        <ns0:is>
          <ns0:t>КОД</ns0:t>
        </ns0:is>
      </ns0:c>
      <ns0:c r="I134">
        <ns0:f>COUNTIF('ДАННЫЕ T3'!$F$6:$F$286,B134)</ns0:f>
        <ns0:v>0</ns0:v>
      </ns0:c>
      <ns0:c r="J134" t="str">
        <ns0:f>IF(I134&gt;0,"FETCH зарегистрирован","Нет FETCH в окне")</ns0:f>
        <ns0:v>Нет FETCH в окне</ns0:v>
      </ns0:c>
    </ns0:row>
    <ns0:row r="135">
      <ns0:c r="A135" t="n">
        <ns0:v>129</ns0:v>
      </ns0:c>
      <ns0:c r="B135" s="15" t="inlineStr">
        <ns0:is>
          <ns0:t>0x00000204</ns0:t>
        </ns0:is>
      </ns0:c>
      <ns0:c r="C135" s="15" t="inlineStr">
        <ns0:is>
          <ns0:t>0x0202A503</ns0:t>
        </ns0:is>
      </ns0:c>
      <ns0:c r="D135" t="inlineStr">
        <ns0:is>
          <ns0:t>lw</ns0:t>
        </ns0:is>
      </ns0:c>
      <ns0:c r="E135" s="15" t="inlineStr">
        <ns0:is>
          <ns0:t>lw a0, 32(t0)</ns0:t>
        </ns0:is>
      </ns0:c>
      <ns0:c r="F135" s="15" t="inlineStr">
        <ns0:is>
          <ns0:t>0000011</ns0:t>
        </ns0:is>
      </ns0:c>
      <ns0:c r="G135" s="15" t="inlineStr">
        <ns0:is>
          <ns0:t>0000 0010 0000 0010 1010 0101 0000 0011</ns0:t>
        </ns0:is>
      </ns0:c>
      <ns0:c r="H135" t="inlineStr">
        <ns0:is>
          <ns0:t>КОД</ns0:t>
        </ns0:is>
      </ns0:c>
      <ns0:c r="I135">
        <ns0:f>COUNTIF('ДАННЫЕ T3'!$F$6:$F$286,B135)</ns0:f>
        <ns0:v>0</ns0:v>
      </ns0:c>
      <ns0:c r="J135" t="str">
        <ns0:f>IF(I135&gt;0,"FETCH зарегистрирован","Нет FETCH в окне")</ns0:f>
        <ns0:v>Нет FETCH в окне</ns0:v>
      </ns0:c>
    </ns0:row>
    <ns0:row r="136">
      <ns0:c r="A136" t="n">
        <ns0:v>130</ns0:v>
      </ns0:c>
      <ns0:c r="B136" s="15" t="inlineStr">
        <ns0:is>
          <ns0:t>0x00000208</ns0:t>
        </ns0:is>
      </ns0:c>
      <ns0:c r="C136" s="15" t="inlineStr">
        <ns0:is>
          <ns0:t>0x0FF57913</ns0:t>
        </ns0:is>
      </ns0:c>
      <ns0:c r="D136" t="inlineStr">
        <ns0:is>
          <ns0:t>andi</ns0:t>
        </ns0:is>
      </ns0:c>
      <ns0:c r="E136" s="15" t="inlineStr">
        <ns0:is>
          <ns0:t>andi s2, a0, 255</ns0:t>
        </ns0:is>
      </ns0:c>
      <ns0:c r="F136" s="15" t="inlineStr">
        <ns0:is>
          <ns0:t>0010011</ns0:t>
        </ns0:is>
      </ns0:c>
      <ns0:c r="G136" s="15" t="inlineStr">
        <ns0:is>
          <ns0:t>0000 1111 1111 0101 0111 1001 0001 0011</ns0:t>
        </ns0:is>
      </ns0:c>
      <ns0:c r="H136" t="inlineStr">
        <ns0:is>
          <ns0:t>КОД</ns0:t>
        </ns0:is>
      </ns0:c>
      <ns0:c r="I136">
        <ns0:f>COUNTIF('ДАННЫЕ T3'!$F$6:$F$286,B136)</ns0:f>
        <ns0:v>0</ns0:v>
      </ns0:c>
      <ns0:c r="J136" t="str">
        <ns0:f>IF(I136&gt;0,"FETCH зарегистрирован","Нет FETCH в окне")</ns0:f>
        <ns0:v>Нет FETCH в окне</ns0:v>
      </ns0:c>
    </ns0:row>
    <ns0:row r="137">
      <ns0:c r="A137" t="n">
        <ns0:v>131</ns0:v>
      </ns0:c>
      <ns0:c r="B137" s="15" t="inlineStr">
        <ns0:is>
          <ns0:t>0x0000020C</ns0:t>
        </ns0:is>
      </ns0:c>
      <ns0:c r="C137" s="15" t="inlineStr">
        <ns0:is>
          <ns0:t>0x094000EF</ns0:t>
        </ns0:is>
      </ns0:c>
      <ns0:c r="D137" t="inlineStr">
        <ns0:is>
          <ns0:t>jal</ns0:t>
        </ns0:is>
      </ns0:c>
      <ns0:c r="E137" s="15" t="inlineStr">
        <ns0:is>
          <ns0:t>jal ra, 0x000002A0</ns0:t>
        </ns0:is>
      </ns0:c>
      <ns0:c r="F137" s="15" t="inlineStr">
        <ns0:is>
          <ns0:t>1101111</ns0:t>
        </ns0:is>
      </ns0:c>
      <ns0:c r="G137" s="15" t="inlineStr">
        <ns0:is>
          <ns0:t>0000 1001 0100 0000 0000 0000 1110 1111</ns0:t>
        </ns0:is>
      </ns0:c>
      <ns0:c r="H137" t="inlineStr">
        <ns0:is>
          <ns0:t>КОД</ns0:t>
        </ns0:is>
      </ns0:c>
      <ns0:c r="I137">
        <ns0:f>COUNTIF('ДАННЫЕ T3'!$F$6:$F$286,B137)</ns0:f>
        <ns0:v>0</ns0:v>
      </ns0:c>
      <ns0:c r="J137" t="str">
        <ns0:f>IF(I137&gt;0,"FETCH зарегистрирован","Нет FETCH в окне")</ns0:f>
        <ns0:v>Нет FETCH в окне</ns0:v>
      </ns0:c>
    </ns0:row>
    <ns0:row r="138">
      <ns0:c r="A138" t="n">
        <ns0:v>132</ns0:v>
      </ns0:c>
      <ns0:c r="B138" s="15" t="inlineStr">
        <ns0:is>
          <ns0:t>0x00000210</ns0:t>
        </ns0:is>
      </ns0:c>
      <ns0:c r="C138" s="15" t="inlineStr">
        <ns0:is>
          <ns0:t>0x03A00313</ns0:t>
        </ns0:is>
      </ns0:c>
      <ns0:c r="D138" t="inlineStr">
        <ns0:is>
          <ns0:t>addi</ns0:t>
        </ns0:is>
      </ns0:c>
      <ns0:c r="E138" s="15" t="inlineStr">
        <ns0:is>
          <ns0:t>addi t1, zero, 58</ns0:t>
        </ns0:is>
      </ns0:c>
      <ns0:c r="F138" s="15" t="inlineStr">
        <ns0:is>
          <ns0:t>0010011</ns0:t>
        </ns0:is>
      </ns0:c>
      <ns0:c r="G138" s="15" t="inlineStr">
        <ns0:is>
          <ns0:t>0000 0011 1010 0000 0000 0011 0001 0011</ns0:t>
        </ns0:is>
      </ns0:c>
      <ns0:c r="H138" t="inlineStr">
        <ns0:is>
          <ns0:t>КОД</ns0:t>
        </ns0:is>
      </ns0:c>
      <ns0:c r="I138">
        <ns0:f>COUNTIF('ДАННЫЕ T3'!$F$6:$F$286,B138)</ns0:f>
        <ns0:v>0</ns0:v>
      </ns0:c>
      <ns0:c r="J138" t="str">
        <ns0:f>IF(I138&gt;0,"FETCH зарегистрирован","Нет FETCH в окне")</ns0:f>
        <ns0:v>Нет FETCH в окне</ns0:v>
      </ns0:c>
    </ns0:row>
    <ns0:row r="139">
      <ns0:c r="A139" t="n">
        <ns0:v>133</ns0:v>
      </ns0:c>
      <ns0:c r="B139" s="15" t="inlineStr">
        <ns0:is>
          <ns0:t>0x00000214</ns0:t>
        </ns0:is>
      </ns0:c>
      <ns0:c r="C139" s="15" t="inlineStr">
        <ns0:is>
          <ns0:t>0x100000EF</ns0:t>
        </ns0:is>
      </ns0:c>
      <ns0:c r="D139" t="inlineStr">
        <ns0:is>
          <ns0:t>jal</ns0:t>
        </ns0:is>
      </ns0:c>
      <ns0:c r="E139" s="15" t="inlineStr">
        <ns0:is>
          <ns0:t>jal ra, 0x00000314</ns0:t>
        </ns0:is>
      </ns0:c>
      <ns0:c r="F139" s="15" t="inlineStr">
        <ns0:is>
          <ns0:t>1101111</ns0:t>
        </ns0:is>
      </ns0:c>
      <ns0:c r="G139" s="15" t="inlineStr">
        <ns0:is>
          <ns0:t>0001 0000 0000 0000 0000 0000 1110 1111</ns0:t>
        </ns0:is>
      </ns0:c>
      <ns0:c r="H139" t="inlineStr">
        <ns0:is>
          <ns0:t>КОД</ns0:t>
        </ns0:is>
      </ns0:c>
      <ns0:c r="I139">
        <ns0:f>COUNTIF('ДАННЫЕ T3'!$F$6:$F$286,B139)</ns0:f>
        <ns0:v>0</ns0:v>
      </ns0:c>
      <ns0:c r="J139" t="str">
        <ns0:f>IF(I139&gt;0,"FETCH зарегистрирован","Нет FETCH в окне")</ns0:f>
        <ns0:v>Нет FETCH в окне</ns0:v>
      </ns0:c>
    </ns0:row>
    <ns0:row r="140">
      <ns0:c r="A140" t="n">
        <ns0:v>134</ns0:v>
      </ns0:c>
      <ns0:c r="B140" s="15" t="inlineStr">
        <ns0:is>
          <ns0:t>0x00000218</ns0:t>
        </ns0:is>
      </ns0:c>
      <ns0:c r="C140" s="15" t="inlineStr">
        <ns0:is>
          <ns0:t>0x0242A503</ns0:t>
        </ns0:is>
      </ns0:c>
      <ns0:c r="D140" t="inlineStr">
        <ns0:is>
          <ns0:t>lw</ns0:t>
        </ns0:is>
      </ns0:c>
      <ns0:c r="E140" s="15" t="inlineStr">
        <ns0:is>
          <ns0:t>lw a0, 36(t0)</ns0:t>
        </ns0:is>
      </ns0:c>
      <ns0:c r="F140" s="15" t="inlineStr">
        <ns0:is>
          <ns0:t>0000011</ns0:t>
        </ns0:is>
      </ns0:c>
      <ns0:c r="G140" s="15" t="inlineStr">
        <ns0:is>
          <ns0:t>0000 0010 0100 0010 1010 0101 0000 0011</ns0:t>
        </ns0:is>
      </ns0:c>
      <ns0:c r="H140" t="inlineStr">
        <ns0:is>
          <ns0:t>КОД</ns0:t>
        </ns0:is>
      </ns0:c>
      <ns0:c r="I140">
        <ns0:f>COUNTIF('ДАННЫЕ T3'!$F$6:$F$286,B140)</ns0:f>
        <ns0:v>0</ns0:v>
      </ns0:c>
      <ns0:c r="J140" t="str">
        <ns0:f>IF(I140&gt;0,"FETCH зарегистрирован","Нет FETCH в окне")</ns0:f>
        <ns0:v>Нет FETCH в окне</ns0:v>
      </ns0:c>
    </ns0:row>
    <ns0:row r="141">
      <ns0:c r="A141" t="n">
        <ns0:v>135</ns0:v>
      </ns0:c>
      <ns0:c r="B141" s="15" t="inlineStr">
        <ns0:is>
          <ns0:t>0x0000021C</ns0:t>
        </ns0:is>
      </ns0:c>
      <ns0:c r="C141" s="15" t="inlineStr">
        <ns0:is>
          <ns0:t>0x084000EF</ns0:t>
        </ns0:is>
      </ns0:c>
      <ns0:c r="D141" t="inlineStr">
        <ns0:is>
          <ns0:t>jal</ns0:t>
        </ns0:is>
      </ns0:c>
      <ns0:c r="E141" s="15" t="inlineStr">
        <ns0:is>
          <ns0:t>jal ra, 0x000002A0</ns0:t>
        </ns0:is>
      </ns0:c>
      <ns0:c r="F141" s="15" t="inlineStr">
        <ns0:is>
          <ns0:t>1101111</ns0:t>
        </ns0:is>
      </ns0:c>
      <ns0:c r="G141" s="15" t="inlineStr">
        <ns0:is>
          <ns0:t>0000 1000 0100 0000 0000 0000 1110 1111</ns0:t>
        </ns0:is>
      </ns0:c>
      <ns0:c r="H141" t="inlineStr">
        <ns0:is>
          <ns0:t>КОД</ns0:t>
        </ns0:is>
      </ns0:c>
      <ns0:c r="I141">
        <ns0:f>COUNTIF('ДАННЫЕ T3'!$F$6:$F$286,B141)</ns0:f>
        <ns0:v>0</ns0:v>
      </ns0:c>
      <ns0:c r="J141" t="str">
        <ns0:f>IF(I141&gt;0,"FETCH зарегистрирован","Нет FETCH в окне")</ns0:f>
        <ns0:v>Нет FETCH в окне</ns0:v>
      </ns0:c>
    </ns0:row>
    <ns0:row r="142">
      <ns0:c r="A142" t="n">
        <ns0:v>136</ns0:v>
      </ns0:c>
      <ns0:c r="B142" s="15" t="inlineStr">
        <ns0:is>
          <ns0:t>0x00000220</ns0:t>
        </ns0:is>
      </ns0:c>
      <ns0:c r="C142" s="15" t="inlineStr">
        <ns0:is>
          <ns0:t>0x00A00313</ns0:t>
        </ns0:is>
      </ns0:c>
      <ns0:c r="D142" t="inlineStr">
        <ns0:is>
          <ns0:t>addi</ns0:t>
        </ns0:is>
      </ns0:c>
      <ns0:c r="E142" s="15" t="inlineStr">
        <ns0:is>
          <ns0:t>addi t1, zero, 10</ns0:t>
        </ns0:is>
      </ns0:c>
      <ns0:c r="F142" s="15" t="inlineStr">
        <ns0:is>
          <ns0:t>0010011</ns0:t>
        </ns0:is>
      </ns0:c>
      <ns0:c r="G142" s="15" t="inlineStr">
        <ns0:is>
          <ns0:t>0000 0000 1010 0000 0000 0011 0001 0011</ns0:t>
        </ns0:is>
      </ns0:c>
      <ns0:c r="H142" t="inlineStr">
        <ns0:is>
          <ns0:t>КОД</ns0:t>
        </ns0:is>
      </ns0:c>
      <ns0:c r="I142">
        <ns0:f>COUNTIF('ДАННЫЕ T3'!$F$6:$F$286,B142)</ns0:f>
        <ns0:v>0</ns0:v>
      </ns0:c>
      <ns0:c r="J142" t="str">
        <ns0:f>IF(I142&gt;0,"FETCH зарегистрирован","Нет FETCH в окне")</ns0:f>
        <ns0:v>Нет FETCH в окне</ns0:v>
      </ns0:c>
    </ns0:row>
    <ns0:row r="143">
      <ns0:c r="A143" t="n">
        <ns0:v>137</ns0:v>
      </ns0:c>
      <ns0:c r="B143" s="15" t="inlineStr">
        <ns0:is>
          <ns0:t>0x00000224</ns0:t>
        </ns0:is>
      </ns0:c>
      <ns0:c r="C143" s="15" t="inlineStr">
        <ns0:is>
          <ns0:t>0x0F0000EF</ns0:t>
        </ns0:is>
      </ns0:c>
      <ns0:c r="D143" t="inlineStr">
        <ns0:is>
          <ns0:t>jal</ns0:t>
        </ns0:is>
      </ns0:c>
      <ns0:c r="E143" s="15" t="inlineStr">
        <ns0:is>
          <ns0:t>jal ra, 0x00000314</ns0:t>
        </ns0:is>
      </ns0:c>
      <ns0:c r="F143" s="15" t="inlineStr">
        <ns0:is>
          <ns0:t>1101111</ns0:t>
        </ns0:is>
      </ns0:c>
      <ns0:c r="G143" s="15" t="inlineStr">
        <ns0:is>
          <ns0:t>0000 1111 0000 0000 0000 0000 1110 1111</ns0:t>
        </ns0:is>
      </ns0:c>
      <ns0:c r="H143" t="inlineStr">
        <ns0:is>
          <ns0:t>КОД</ns0:t>
        </ns0:is>
      </ns0:c>
      <ns0:c r="I143">
        <ns0:f>COUNTIF('ДАННЫЕ T3'!$F$6:$F$286,B143)</ns0:f>
        <ns0:v>0</ns0:v>
      </ns0:c>
      <ns0:c r="J143" t="str">
        <ns0:f>IF(I143&gt;0,"FETCH зарегистрирован","Нет FETCH в окне")</ns0:f>
        <ns0:v>Нет FETCH в окне</ns0:v>
      </ns0:c>
    </ns0:row>
    <ns0:row r="144">
      <ns0:c r="A144" t="n">
        <ns0:v>138</ns0:v>
      </ns0:c>
      <ns0:c r="B144" s="15" t="inlineStr">
        <ns0:is>
          <ns0:t>0x00000228</ns0:t>
        </ns0:is>
      </ns0:c>
      <ns0:c r="C144" s="15" t="inlineStr">
        <ns0:is>
          <ns0:t>0x00000493</ns0:t>
        </ns0:is>
      </ns0:c>
      <ns0:c r="D144" t="inlineStr">
        <ns0:is>
          <ns0:t>addi</ns0:t>
        </ns0:is>
      </ns0:c>
      <ns0:c r="E144" s="15" t="inlineStr">
        <ns0:is>
          <ns0:t>addi s1, zero, 0</ns0:t>
        </ns0:is>
      </ns0:c>
      <ns0:c r="F144" s="15" t="inlineStr">
        <ns0:is>
          <ns0:t>0010011</ns0:t>
        </ns0:is>
      </ns0:c>
      <ns0:c r="G144" s="15" t="inlineStr">
        <ns0:is>
          <ns0:t>0000 0000 0000 0000 0000 0100 1001 0011</ns0:t>
        </ns0:is>
      </ns0:c>
      <ns0:c r="H144" t="inlineStr">
        <ns0:is>
          <ns0:t>КОД</ns0:t>
        </ns0:is>
      </ns0:c>
      <ns0:c r="I144">
        <ns0:f>COUNTIF('ДАННЫЕ T3'!$F$6:$F$286,B144)</ns0:f>
        <ns0:v>0</ns0:v>
      </ns0:c>
      <ns0:c r="J144" t="str">
        <ns0:f>IF(I144&gt;0,"FETCH зарегистрирован","Нет FETCH в окне")</ns0:f>
        <ns0:v>Нет FETCH в окне</ns0:v>
      </ns0:c>
    </ns0:row>
    <ns0:row r="145">
      <ns0:c r="A145" t="n">
        <ns0:v>139</ns0:v>
      </ns0:c>
      <ns0:c r="B145" s="15" t="inlineStr">
        <ns0:is>
          <ns0:t>0x0000022C</ns0:t>
        </ns0:is>
      </ns0:c>
      <ns0:c r="C145" s="15" t="inlineStr">
        <ns0:is>
          <ns0:t>0x07248063</ns0:t>
        </ns0:is>
      </ns0:c>
      <ns0:c r="D145" t="inlineStr">
        <ns0:is>
          <ns0:t>beq</ns0:t>
        </ns0:is>
      </ns0:c>
      <ns0:c r="E145" s="15" t="inlineStr">
        <ns0:is>
          <ns0:t>beq s1, s2, 0x0000028C</ns0:t>
        </ns0:is>
      </ns0:c>
      <ns0:c r="F145" s="15" t="inlineStr">
        <ns0:is>
          <ns0:t>1100011</ns0:t>
        </ns0:is>
      </ns0:c>
      <ns0:c r="G145" s="15" t="inlineStr">
        <ns0:is>
          <ns0:t>0000 0111 0010 0100 1000 0000 0110 0011</ns0:t>
        </ns0:is>
      </ns0:c>
      <ns0:c r="H145" t="inlineStr">
        <ns0:is>
          <ns0:t>КОД</ns0:t>
        </ns0:is>
      </ns0:c>
      <ns0:c r="I145">
        <ns0:f>COUNTIF('ДАННЫЕ T3'!$F$6:$F$286,B145)</ns0:f>
        <ns0:v>0</ns0:v>
      </ns0:c>
      <ns0:c r="J145" t="str">
        <ns0:f>IF(I145&gt;0,"FETCH зарегистрирован","Нет FETCH в окне")</ns0:f>
        <ns0:v>Нет FETCH в окне</ns0:v>
      </ns0:c>
    </ns0:row>
    <ns0:row r="146">
      <ns0:c r="A146" t="n">
        <ns0:v>140</ns0:v>
      </ns0:c>
      <ns0:c r="B146" s="15" t="inlineStr">
        <ns0:is>
          <ns0:t>0x00000230</ns0:t>
        </ns0:is>
      </ns0:c>
      <ns0:c r="C146" s="15" t="inlineStr">
        <ns0:is>
          <ns0:t>0x0292A423</ns0:t>
        </ns0:is>
      </ns0:c>
      <ns0:c r="D146" t="inlineStr">
        <ns0:is>
          <ns0:t>sw</ns0:t>
        </ns0:is>
      </ns0:c>
      <ns0:c r="E146" s="15" t="inlineStr">
        <ns0:is>
          <ns0:t>sw s1, 40(t0)</ns0:t>
        </ns0:is>
      </ns0:c>
      <ns0:c r="F146" s="15" t="inlineStr">
        <ns0:is>
          <ns0:t>0100011</ns0:t>
        </ns0:is>
      </ns0:c>
      <ns0:c r="G146" s="15" t="inlineStr">
        <ns0:is>
          <ns0:t>0000 0010 1001 0010 1010 0100 0010 0011</ns0:t>
        </ns0:is>
      </ns0:c>
      <ns0:c r="H146" t="inlineStr">
        <ns0:is>
          <ns0:t>КОД</ns0:t>
        </ns0:is>
      </ns0:c>
      <ns0:c r="I146">
        <ns0:f>COUNTIF('ДАННЫЕ T3'!$F$6:$F$286,B146)</ns0:f>
        <ns0:v>0</ns0:v>
      </ns0:c>
      <ns0:c r="J146" t="str">
        <ns0:f>IF(I146&gt;0,"FETCH зарегистрирован","Нет FETCH в окне")</ns0:f>
        <ns0:v>Нет FETCH в окне</ns0:v>
      </ns0:c>
    </ns0:row>
    <ns0:row r="147">
      <ns0:c r="A147" t="n">
        <ns0:v>141</ns0:v>
      </ns0:c>
      <ns0:c r="B147" s="15" t="inlineStr">
        <ns0:is>
          <ns0:t>0x00000234</ns0:t>
        </ns0:is>
      </ns0:c>
      <ns0:c r="C147" s="15" t="inlineStr">
        <ns0:is>
          <ns0:t>0x04500313</ns0:t>
        </ns0:is>
      </ns0:c>
      <ns0:c r="D147" t="inlineStr">
        <ns0:is>
          <ns0:t>addi</ns0:t>
        </ns0:is>
      </ns0:c>
      <ns0:c r="E147" s="15" t="inlineStr">
        <ns0:is>
          <ns0:t>addi t1, zero, 69</ns0:t>
        </ns0:is>
      </ns0:c>
      <ns0:c r="F147" s="15" t="inlineStr">
        <ns0:is>
          <ns0:t>0010011</ns0:t>
        </ns0:is>
      </ns0:c>
      <ns0:c r="G147" s="15" t="inlineStr">
        <ns0:is>
          <ns0:t>0000 0100 0101 0000 0000 0011 0001 0011</ns0:t>
        </ns0:is>
      </ns0:c>
      <ns0:c r="H147" t="inlineStr">
        <ns0:is>
          <ns0:t>КОД</ns0:t>
        </ns0:is>
      </ns0:c>
      <ns0:c r="I147">
        <ns0:f>COUNTIF('ДАННЫЕ T3'!$F$6:$F$286,B147)</ns0:f>
        <ns0:v>0</ns0:v>
      </ns0:c>
      <ns0:c r="J147" t="str">
        <ns0:f>IF(I147&gt;0,"FETCH зарегистрирован","Нет FETCH в окне")</ns0:f>
        <ns0:v>Нет FETCH в окне</ns0:v>
      </ns0:c>
    </ns0:row>
    <ns0:row r="148">
      <ns0:c r="A148" t="n">
        <ns0:v>142</ns0:v>
      </ns0:c>
      <ns0:c r="B148" s="15" t="inlineStr">
        <ns0:is>
          <ns0:t>0x00000238</ns0:t>
        </ns0:is>
      </ns0:c>
      <ns0:c r="C148" s="15" t="inlineStr">
        <ns0:is>
          <ns0:t>0x0DC000EF</ns0:t>
        </ns0:is>
      </ns0:c>
      <ns0:c r="D148" t="inlineStr">
        <ns0:is>
          <ns0:t>jal</ns0:t>
        </ns0:is>
      </ns0:c>
      <ns0:c r="E148" s="15" t="inlineStr">
        <ns0:is>
          <ns0:t>jal ra, 0x00000314</ns0:t>
        </ns0:is>
      </ns0:c>
      <ns0:c r="F148" s="15" t="inlineStr">
        <ns0:is>
          <ns0:t>1101111</ns0:t>
        </ns0:is>
      </ns0:c>
      <ns0:c r="G148" s="15" t="inlineStr">
        <ns0:is>
          <ns0:t>0000 1101 1100 0000 0000 0000 1110 1111</ns0:t>
        </ns0:is>
      </ns0:c>
      <ns0:c r="H148" t="inlineStr">
        <ns0:is>
          <ns0:t>КОД</ns0:t>
        </ns0:is>
      </ns0:c>
      <ns0:c r="I148">
        <ns0:f>COUNTIF('ДАННЫЕ T3'!$F$6:$F$286,B148)</ns0:f>
        <ns0:v>0</ns0:v>
      </ns0:c>
      <ns0:c r="J148" t="str">
        <ns0:f>IF(I148&gt;0,"FETCH зарегистрирован","Нет FETCH в окне")</ns0:f>
        <ns0:v>Нет FETCH в окне</ns0:v>
      </ns0:c>
    </ns0:row>
    <ns0:row r="149">
      <ns0:c r="A149" t="n">
        <ns0:v>143</ns0:v>
      </ns0:c>
      <ns0:c r="B149" s="15" t="inlineStr">
        <ns0:is>
          <ns0:t>0x0000023C</ns0:t>
        </ns0:is>
      </ns0:c>
      <ns0:c r="C149" s="15" t="inlineStr">
        <ns0:is>
          <ns0:t>0x03A00313</ns0:t>
        </ns0:is>
      </ns0:c>
      <ns0:c r="D149" t="inlineStr">
        <ns0:is>
          <ns0:t>addi</ns0:t>
        </ns0:is>
      </ns0:c>
      <ns0:c r="E149" s="15" t="inlineStr">
        <ns0:is>
          <ns0:t>addi t1, zero, 58</ns0:t>
        </ns0:is>
      </ns0:c>
      <ns0:c r="F149" s="15" t="inlineStr">
        <ns0:is>
          <ns0:t>0010011</ns0:t>
        </ns0:is>
      </ns0:c>
      <ns0:c r="G149" s="15" t="inlineStr">
        <ns0:is>
          <ns0:t>0000 0011 1010 0000 0000 0011 0001 0011</ns0:t>
        </ns0:is>
      </ns0:c>
      <ns0:c r="H149" t="inlineStr">
        <ns0:is>
          <ns0:t>КОД</ns0:t>
        </ns0:is>
      </ns0:c>
      <ns0:c r="I149">
        <ns0:f>COUNTIF('ДАННЫЕ T3'!$F$6:$F$286,B149)</ns0:f>
        <ns0:v>0</ns0:v>
      </ns0:c>
      <ns0:c r="J149" t="str">
        <ns0:f>IF(I149&gt;0,"FETCH зарегистрирован","Нет FETCH в окне")</ns0:f>
        <ns0:v>Нет FETCH в окне</ns0:v>
      </ns0:c>
    </ns0:row>
    <ns0:row r="150">
      <ns0:c r="A150" t="n">
        <ns0:v>144</ns0:v>
      </ns0:c>
      <ns0:c r="B150" s="15" t="inlineStr">
        <ns0:is>
          <ns0:t>0x00000240</ns0:t>
        </ns0:is>
      </ns0:c>
      <ns0:c r="C150" s="15" t="inlineStr">
        <ns0:is>
          <ns0:t>0x0D4000EF</ns0:t>
        </ns0:is>
      </ns0:c>
      <ns0:c r="D150" t="inlineStr">
        <ns0:is>
          <ns0:t>jal</ns0:t>
        </ns0:is>
      </ns0:c>
      <ns0:c r="E150" s="15" t="inlineStr">
        <ns0:is>
          <ns0:t>jal ra, 0x00000314</ns0:t>
        </ns0:is>
      </ns0:c>
      <ns0:c r="F150" s="15" t="inlineStr">
        <ns0:is>
          <ns0:t>1101111</ns0:t>
        </ns0:is>
      </ns0:c>
      <ns0:c r="G150" s="15" t="inlineStr">
        <ns0:is>
          <ns0:t>0000 1101 0100 0000 0000 0000 1110 1111</ns0:t>
        </ns0:is>
      </ns0:c>
      <ns0:c r="H150" t="inlineStr">
        <ns0:is>
          <ns0:t>КОД</ns0:t>
        </ns0:is>
      </ns0:c>
      <ns0:c r="I150">
        <ns0:f>COUNTIF('ДАННЫЕ T3'!$F$6:$F$286,B150)</ns0:f>
        <ns0:v>0</ns0:v>
      </ns0:c>
      <ns0:c r="J150" t="str">
        <ns0:f>IF(I150&gt;0,"FETCH зарегистрирован","Нет FETCH в окне")</ns0:f>
        <ns0:v>Нет FETCH в окне</ns0:v>
      </ns0:c>
    </ns0:row>
    <ns0:row r="151">
      <ns0:c r="A151" t="n">
        <ns0:v>145</ns0:v>
      </ns0:c>
      <ns0:c r="B151" s="15" t="inlineStr">
        <ns0:is>
          <ns0:t>0x00000244</ns0:t>
        </ns0:is>
      </ns0:c>
      <ns0:c r="C151" s="15" t="inlineStr">
        <ns0:is>
          <ns0:t>0x00048513</ns0:t>
        </ns0:is>
      </ns0:c>
      <ns0:c r="D151" t="inlineStr">
        <ns0:is>
          <ns0:t>addi</ns0:t>
        </ns0:is>
      </ns0:c>
      <ns0:c r="E151" s="15" t="inlineStr">
        <ns0:is>
          <ns0:t>addi a0, s1, 0</ns0:t>
        </ns0:is>
      </ns0:c>
      <ns0:c r="F151" s="15" t="inlineStr">
        <ns0:is>
          <ns0:t>0010011</ns0:t>
        </ns0:is>
      </ns0:c>
      <ns0:c r="G151" s="15" t="inlineStr">
        <ns0:is>
          <ns0:t>0000 0000 0000 0100 1000 0101 0001 0011</ns0:t>
        </ns0:is>
      </ns0:c>
      <ns0:c r="H151" t="inlineStr">
        <ns0:is>
          <ns0:t>КОД</ns0:t>
        </ns0:is>
      </ns0:c>
      <ns0:c r="I151">
        <ns0:f>COUNTIF('ДАННЫЕ T3'!$F$6:$F$286,B151)</ns0:f>
        <ns0:v>0</ns0:v>
      </ns0:c>
      <ns0:c r="J151" t="str">
        <ns0:f>IF(I151&gt;0,"FETCH зарегистрирован","Нет FETCH в окне")</ns0:f>
        <ns0:v>Нет FETCH в окне</ns0:v>
      </ns0:c>
    </ns0:row>
    <ns0:row r="152">
      <ns0:c r="A152" t="n">
        <ns0:v>146</ns0:v>
      </ns0:c>
      <ns0:c r="B152" s="15" t="inlineStr">
        <ns0:is>
          <ns0:t>0x00000248</ns0:t>
        </ns0:is>
      </ns0:c>
      <ns0:c r="C152" s="15" t="inlineStr">
        <ns0:is>
          <ns0:t>0x058000EF</ns0:t>
        </ns0:is>
      </ns0:c>
      <ns0:c r="D152" t="inlineStr">
        <ns0:is>
          <ns0:t>jal</ns0:t>
        </ns0:is>
      </ns0:c>
      <ns0:c r="E152" s="15" t="inlineStr">
        <ns0:is>
          <ns0:t>jal ra, 0x000002A0</ns0:t>
        </ns0:is>
      </ns0:c>
      <ns0:c r="F152" s="15" t="inlineStr">
        <ns0:is>
          <ns0:t>1101111</ns0:t>
        </ns0:is>
      </ns0:c>
      <ns0:c r="G152" s="15" t="inlineStr">
        <ns0:is>
          <ns0:t>0000 0101 1000 0000 0000 0000 1110 1111</ns0:t>
        </ns0:is>
      </ns0:c>
      <ns0:c r="H152" t="inlineStr">
        <ns0:is>
          <ns0:t>КОД</ns0:t>
        </ns0:is>
      </ns0:c>
      <ns0:c r="I152">
        <ns0:f>COUNTIF('ДАННЫЕ T3'!$F$6:$F$286,B152)</ns0:f>
        <ns0:v>0</ns0:v>
      </ns0:c>
      <ns0:c r="J152" t="str">
        <ns0:f>IF(I152&gt;0,"FETCH зарегистрирован","Нет FETCH в окне")</ns0:f>
        <ns0:v>Нет FETCH в окне</ns0:v>
      </ns0:c>
    </ns0:row>
    <ns0:row r="153">
      <ns0:c r="A153" t="n">
        <ns0:v>147</ns0:v>
      </ns0:c>
      <ns0:c r="B153" s="15" t="inlineStr">
        <ns0:is>
          <ns0:t>0x0000024C</ns0:t>
        </ns0:is>
      </ns0:c>
      <ns0:c r="C153" s="15" t="inlineStr">
        <ns0:is>
          <ns0:t>0x03A00313</ns0:t>
        </ns0:is>
      </ns0:c>
      <ns0:c r="D153" t="inlineStr">
        <ns0:is>
          <ns0:t>addi</ns0:t>
        </ns0:is>
      </ns0:c>
      <ns0:c r="E153" s="15" t="inlineStr">
        <ns0:is>
          <ns0:t>addi t1, zero, 58</ns0:t>
        </ns0:is>
      </ns0:c>
      <ns0:c r="F153" s="15" t="inlineStr">
        <ns0:is>
          <ns0:t>0010011</ns0:t>
        </ns0:is>
      </ns0:c>
      <ns0:c r="G153" s="15" t="inlineStr">
        <ns0:is>
          <ns0:t>0000 0011 1010 0000 0000 0011 0001 0011</ns0:t>
        </ns0:is>
      </ns0:c>
      <ns0:c r="H153" t="inlineStr">
        <ns0:is>
          <ns0:t>КОД</ns0:t>
        </ns0:is>
      </ns0:c>
      <ns0:c r="I153">
        <ns0:f>COUNTIF('ДАННЫЕ T3'!$F$6:$F$286,B153)</ns0:f>
        <ns0:v>0</ns0:v>
      </ns0:c>
      <ns0:c r="J153" t="str">
        <ns0:f>IF(I153&gt;0,"FETCH зарегистрирован","Нет FETCH в окне")</ns0:f>
        <ns0:v>Нет FETCH в окне</ns0:v>
      </ns0:c>
    </ns0:row>
    <ns0:row r="154">
      <ns0:c r="A154" t="n">
        <ns0:v>148</ns0:v>
      </ns0:c>
      <ns0:c r="B154" s="15" t="inlineStr">
        <ns0:is>
          <ns0:t>0x00000250</ns0:t>
        </ns0:is>
      </ns0:c>
      <ns0:c r="C154" s="15" t="inlineStr">
        <ns0:is>
          <ns0:t>0x0C4000EF</ns0:t>
        </ns0:is>
      </ns0:c>
      <ns0:c r="D154" t="inlineStr">
        <ns0:is>
          <ns0:t>jal</ns0:t>
        </ns0:is>
      </ns0:c>
      <ns0:c r="E154" s="15" t="inlineStr">
        <ns0:is>
          <ns0:t>jal ra, 0x00000314</ns0:t>
        </ns0:is>
      </ns0:c>
      <ns0:c r="F154" s="15" t="inlineStr">
        <ns0:is>
          <ns0:t>1101111</ns0:t>
        </ns0:is>
      </ns0:c>
      <ns0:c r="G154" s="15" t="inlineStr">
        <ns0:is>
          <ns0:t>0000 1100 0100 0000 0000 0000 1110 1111</ns0:t>
        </ns0:is>
      </ns0:c>
      <ns0:c r="H154" t="inlineStr">
        <ns0:is>
          <ns0:t>КОД</ns0:t>
        </ns0:is>
      </ns0:c>
      <ns0:c r="I154">
        <ns0:f>COUNTIF('ДАННЫЕ T3'!$F$6:$F$286,B154)</ns0:f>
        <ns0:v>0</ns0:v>
      </ns0:c>
      <ns0:c r="J154" t="str">
        <ns0:f>IF(I154&gt;0,"FETCH зарегистрирован","Нет FETCH в окне")</ns0:f>
        <ns0:v>Нет FETCH в окне</ns0:v>
      </ns0:c>
    </ns0:row>
    <ns0:row r="155">
      <ns0:c r="A155" t="n">
        <ns0:v>149</ns0:v>
      </ns0:c>
      <ns0:c r="B155" s="15" t="inlineStr">
        <ns0:is>
          <ns0:t>0x00000254</ns0:t>
        </ns0:is>
      </ns0:c>
      <ns0:c r="C155" s="15" t="inlineStr">
        <ns0:is>
          <ns0:t>0x02C2A503</ns0:t>
        </ns0:is>
      </ns0:c>
      <ns0:c r="D155" t="inlineStr">
        <ns0:is>
          <ns0:t>lw</ns0:t>
        </ns0:is>
      </ns0:c>
      <ns0:c r="E155" s="15" t="inlineStr">
        <ns0:is>
          <ns0:t>lw a0, 44(t0)</ns0:t>
        </ns0:is>
      </ns0:c>
      <ns0:c r="F155" s="15" t="inlineStr">
        <ns0:is>
          <ns0:t>0000011</ns0:t>
        </ns0:is>
      </ns0:c>
      <ns0:c r="G155" s="15" t="inlineStr">
        <ns0:is>
          <ns0:t>0000 0010 1100 0010 1010 0101 0000 0011</ns0:t>
        </ns0:is>
      </ns0:c>
      <ns0:c r="H155" t="inlineStr">
        <ns0:is>
          <ns0:t>КОД</ns0:t>
        </ns0:is>
      </ns0:c>
      <ns0:c r="I155">
        <ns0:f>COUNTIF('ДАННЫЕ T3'!$F$6:$F$286,B155)</ns0:f>
        <ns0:v>0</ns0:v>
      </ns0:c>
      <ns0:c r="J155" t="str">
        <ns0:f>IF(I155&gt;0,"FETCH зарегистрирован","Нет FETCH в окне")</ns0:f>
        <ns0:v>Нет FETCH в окне</ns0:v>
      </ns0:c>
    </ns0:row>
    <ns0:row r="156">
      <ns0:c r="A156" t="n">
        <ns0:v>150</ns0:v>
      </ns0:c>
      <ns0:c r="B156" s="15" t="inlineStr">
        <ns0:is>
          <ns0:t>0x00000258</ns0:t>
        </ns0:is>
      </ns0:c>
      <ns0:c r="C156" s="15" t="inlineStr">
        <ns0:is>
          <ns0:t>0x048000EF</ns0:t>
        </ns0:is>
      </ns0:c>
      <ns0:c r="D156" t="inlineStr">
        <ns0:is>
          <ns0:t>jal</ns0:t>
        </ns0:is>
      </ns0:c>
      <ns0:c r="E156" s="15" t="inlineStr">
        <ns0:is>
          <ns0:t>jal ra, 0x000002A0</ns0:t>
        </ns0:is>
      </ns0:c>
      <ns0:c r="F156" s="15" t="inlineStr">
        <ns0:is>
          <ns0:t>1101111</ns0:t>
        </ns0:is>
      </ns0:c>
      <ns0:c r="G156" s="15" t="inlineStr">
        <ns0:is>
          <ns0:t>0000 0100 1000 0000 0000 0000 1110 1111</ns0:t>
        </ns0:is>
      </ns0:c>
      <ns0:c r="H156" t="inlineStr">
        <ns0:is>
          <ns0:t>КОД</ns0:t>
        </ns0:is>
      </ns0:c>
      <ns0:c r="I156">
        <ns0:f>COUNTIF('ДАННЫЕ T3'!$F$6:$F$286,B156)</ns0:f>
        <ns0:v>0</ns0:v>
      </ns0:c>
      <ns0:c r="J156" t="str">
        <ns0:f>IF(I156&gt;0,"FETCH зарегистрирован","Нет FETCH в окне")</ns0:f>
        <ns0:v>Нет FETCH в окне</ns0:v>
      </ns0:c>
    </ns0:row>
    <ns0:row r="157">
      <ns0:c r="A157" t="n">
        <ns0:v>151</ns0:v>
      </ns0:c>
      <ns0:c r="B157" s="15" t="inlineStr">
        <ns0:is>
          <ns0:t>0x0000025C</ns0:t>
        </ns0:is>
      </ns0:c>
      <ns0:c r="C157" s="15" t="inlineStr">
        <ns0:is>
          <ns0:t>0x03A00313</ns0:t>
        </ns0:is>
      </ns0:c>
      <ns0:c r="D157" t="inlineStr">
        <ns0:is>
          <ns0:t>addi</ns0:t>
        </ns0:is>
      </ns0:c>
      <ns0:c r="E157" s="15" t="inlineStr">
        <ns0:is>
          <ns0:t>addi t1, zero, 58</ns0:t>
        </ns0:is>
      </ns0:c>
      <ns0:c r="F157" s="15" t="inlineStr">
        <ns0:is>
          <ns0:t>0010011</ns0:t>
        </ns0:is>
      </ns0:c>
      <ns0:c r="G157" s="15" t="inlineStr">
        <ns0:is>
          <ns0:t>0000 0011 1010 0000 0000 0011 0001 0011</ns0:t>
        </ns0:is>
      </ns0:c>
      <ns0:c r="H157" t="inlineStr">
        <ns0:is>
          <ns0:t>КОД</ns0:t>
        </ns0:is>
      </ns0:c>
      <ns0:c r="I157">
        <ns0:f>COUNTIF('ДАННЫЕ T3'!$F$6:$F$286,B157)</ns0:f>
        <ns0:v>0</ns0:v>
      </ns0:c>
      <ns0:c r="J157" t="str">
        <ns0:f>IF(I157&gt;0,"FETCH зарегистрирован","Нет FETCH в окне")</ns0:f>
        <ns0:v>Нет FETCH в окне</ns0:v>
      </ns0:c>
    </ns0:row>
    <ns0:row r="158">
      <ns0:c r="A158" t="n">
        <ns0:v>152</ns0:v>
      </ns0:c>
      <ns0:c r="B158" s="15" t="inlineStr">
        <ns0:is>
          <ns0:t>0x00000260</ns0:t>
        </ns0:is>
      </ns0:c>
      <ns0:c r="C158" s="15" t="inlineStr">
        <ns0:is>
          <ns0:t>0x0B4000EF</ns0:t>
        </ns0:is>
      </ns0:c>
      <ns0:c r="D158" t="inlineStr">
        <ns0:is>
          <ns0:t>jal</ns0:t>
        </ns0:is>
      </ns0:c>
      <ns0:c r="E158" s="15" t="inlineStr">
        <ns0:is>
          <ns0:t>jal ra, 0x00000314</ns0:t>
        </ns0:is>
      </ns0:c>
      <ns0:c r="F158" s="15" t="inlineStr">
        <ns0:is>
          <ns0:t>1101111</ns0:t>
        </ns0:is>
      </ns0:c>
      <ns0:c r="G158" s="15" t="inlineStr">
        <ns0:is>
          <ns0:t>0000 1011 0100 0000 0000 0000 1110 1111</ns0:t>
        </ns0:is>
      </ns0:c>
      <ns0:c r="H158" t="inlineStr">
        <ns0:is>
          <ns0:t>КОД</ns0:t>
        </ns0:is>
      </ns0:c>
      <ns0:c r="I158">
        <ns0:f>COUNTIF('ДАННЫЕ T3'!$F$6:$F$286,B158)</ns0:f>
        <ns0:v>0</ns0:v>
      </ns0:c>
      <ns0:c r="J158" t="str">
        <ns0:f>IF(I158&gt;0,"FETCH зарегистрирован","Нет FETCH в окне")</ns0:f>
        <ns0:v>Нет FETCH в окне</ns0:v>
      </ns0:c>
    </ns0:row>
    <ns0:row r="159">
      <ns0:c r="A159" t="n">
        <ns0:v>153</ns0:v>
      </ns0:c>
      <ns0:c r="B159" s="15" t="inlineStr">
        <ns0:is>
          <ns0:t>0x00000264</ns0:t>
        </ns0:is>
      </ns0:c>
      <ns0:c r="C159" s="15" t="inlineStr">
        <ns0:is>
          <ns0:t>0x0302A503</ns0:t>
        </ns0:is>
      </ns0:c>
      <ns0:c r="D159" t="inlineStr">
        <ns0:is>
          <ns0:t>lw</ns0:t>
        </ns0:is>
      </ns0:c>
      <ns0:c r="E159" s="15" t="inlineStr">
        <ns0:is>
          <ns0:t>lw a0, 48(t0)</ns0:t>
        </ns0:is>
      </ns0:c>
      <ns0:c r="F159" s="15" t="inlineStr">
        <ns0:is>
          <ns0:t>0000011</ns0:t>
        </ns0:is>
      </ns0:c>
      <ns0:c r="G159" s="15" t="inlineStr">
        <ns0:is>
          <ns0:t>0000 0011 0000 0010 1010 0101 0000 0011</ns0:t>
        </ns0:is>
      </ns0:c>
      <ns0:c r="H159" t="inlineStr">
        <ns0:is>
          <ns0:t>КОД</ns0:t>
        </ns0:is>
      </ns0:c>
      <ns0:c r="I159">
        <ns0:f>COUNTIF('ДАННЫЕ T3'!$F$6:$F$286,B159)</ns0:f>
        <ns0:v>0</ns0:v>
      </ns0:c>
      <ns0:c r="J159" t="str">
        <ns0:f>IF(I159&gt;0,"FETCH зарегистрирован","Нет FETCH в окне")</ns0:f>
        <ns0:v>Нет FETCH в окне</ns0:v>
      </ns0:c>
    </ns0:row>
    <ns0:row r="160">
      <ns0:c r="A160" t="n">
        <ns0:v>154</ns0:v>
      </ns0:c>
      <ns0:c r="B160" s="15" t="inlineStr">
        <ns0:is>
          <ns0:t>0x00000268</ns0:t>
        </ns0:is>
      </ns0:c>
      <ns0:c r="C160" s="15" t="inlineStr">
        <ns0:is>
          <ns0:t>0x038000EF</ns0:t>
        </ns0:is>
      </ns0:c>
      <ns0:c r="D160" t="inlineStr">
        <ns0:is>
          <ns0:t>jal</ns0:t>
        </ns0:is>
      </ns0:c>
      <ns0:c r="E160" s="15" t="inlineStr">
        <ns0:is>
          <ns0:t>jal ra, 0x000002A0</ns0:t>
        </ns0:is>
      </ns0:c>
      <ns0:c r="F160" s="15" t="inlineStr">
        <ns0:is>
          <ns0:t>1101111</ns0:t>
        </ns0:is>
      </ns0:c>
      <ns0:c r="G160" s="15" t="inlineStr">
        <ns0:is>
          <ns0:t>0000 0011 1000 0000 0000 0000 1110 1111</ns0:t>
        </ns0:is>
      </ns0:c>
      <ns0:c r="H160" t="inlineStr">
        <ns0:is>
          <ns0:t>КОД</ns0:t>
        </ns0:is>
      </ns0:c>
      <ns0:c r="I160">
        <ns0:f>COUNTIF('ДАННЫЕ T3'!$F$6:$F$286,B160)</ns0:f>
        <ns0:v>0</ns0:v>
      </ns0:c>
      <ns0:c r="J160" t="str">
        <ns0:f>IF(I160&gt;0,"FETCH зарегистрирован","Нет FETCH в окне")</ns0:f>
        <ns0:v>Нет FETCH в окне</ns0:v>
      </ns0:c>
    </ns0:row>
    <ns0:row r="161">
      <ns0:c r="A161" t="n">
        <ns0:v>155</ns0:v>
      </ns0:c>
      <ns0:c r="B161" s="15" t="inlineStr">
        <ns0:is>
          <ns0:t>0x0000026C</ns0:t>
        </ns0:is>
      </ns0:c>
      <ns0:c r="C161" s="15" t="inlineStr">
        <ns0:is>
          <ns0:t>0x03A00313</ns0:t>
        </ns0:is>
      </ns0:c>
      <ns0:c r="D161" t="inlineStr">
        <ns0:is>
          <ns0:t>addi</ns0:t>
        </ns0:is>
      </ns0:c>
      <ns0:c r="E161" s="15" t="inlineStr">
        <ns0:is>
          <ns0:t>addi t1, zero, 58</ns0:t>
        </ns0:is>
      </ns0:c>
      <ns0:c r="F161" s="15" t="inlineStr">
        <ns0:is>
          <ns0:t>0010011</ns0:t>
        </ns0:is>
      </ns0:c>
      <ns0:c r="G161" s="15" t="inlineStr">
        <ns0:is>
          <ns0:t>0000 0011 1010 0000 0000 0011 0001 0011</ns0:t>
        </ns0:is>
      </ns0:c>
      <ns0:c r="H161" t="inlineStr">
        <ns0:is>
          <ns0:t>КОД</ns0:t>
        </ns0:is>
      </ns0:c>
      <ns0:c r="I161">
        <ns0:f>COUNTIF('ДАННЫЕ T3'!$F$6:$F$286,B161)</ns0:f>
        <ns0:v>0</ns0:v>
      </ns0:c>
      <ns0:c r="J161" t="str">
        <ns0:f>IF(I161&gt;0,"FETCH зарегистрирован","Нет FETCH в окне")</ns0:f>
        <ns0:v>Нет FETCH в окне</ns0:v>
      </ns0:c>
    </ns0:row>
    <ns0:row r="162">
      <ns0:c r="A162" t="n">
        <ns0:v>156</ns0:v>
      </ns0:c>
      <ns0:c r="B162" s="15" t="inlineStr">
        <ns0:is>
          <ns0:t>0x00000270</ns0:t>
        </ns0:is>
      </ns0:c>
      <ns0:c r="C162" s="15" t="inlineStr">
        <ns0:is>
          <ns0:t>0x0A4000EF</ns0:t>
        </ns0:is>
      </ns0:c>
      <ns0:c r="D162" t="inlineStr">
        <ns0:is>
          <ns0:t>jal</ns0:t>
        </ns0:is>
      </ns0:c>
      <ns0:c r="E162" s="15" t="inlineStr">
        <ns0:is>
          <ns0:t>jal ra, 0x00000314</ns0:t>
        </ns0:is>
      </ns0:c>
      <ns0:c r="F162" s="15" t="inlineStr">
        <ns0:is>
          <ns0:t>1101111</ns0:t>
        </ns0:is>
      </ns0:c>
      <ns0:c r="G162" s="15" t="inlineStr">
        <ns0:is>
          <ns0:t>0000 1010 0100 0000 0000 0000 1110 1111</ns0:t>
        </ns0:is>
      </ns0:c>
      <ns0:c r="H162" t="inlineStr">
        <ns0:is>
          <ns0:t>КОД</ns0:t>
        </ns0:is>
      </ns0:c>
      <ns0:c r="I162">
        <ns0:f>COUNTIF('ДАННЫЕ T3'!$F$6:$F$286,B162)</ns0:f>
        <ns0:v>0</ns0:v>
      </ns0:c>
      <ns0:c r="J162" t="str">
        <ns0:f>IF(I162&gt;0,"FETCH зарегистрирован","Нет FETCH в окне")</ns0:f>
        <ns0:v>Нет FETCH в окне</ns0:v>
      </ns0:c>
    </ns0:row>
    <ns0:row r="163">
      <ns0:c r="A163" t="n">
        <ns0:v>157</ns0:v>
      </ns0:c>
      <ns0:c r="B163" s="15" t="inlineStr">
        <ns0:is>
          <ns0:t>0x00000274</ns0:t>
        </ns0:is>
      </ns0:c>
      <ns0:c r="C163" s="15" t="inlineStr">
        <ns0:is>
          <ns0:t>0x0342A503</ns0:t>
        </ns0:is>
      </ns0:c>
      <ns0:c r="D163" t="inlineStr">
        <ns0:is>
          <ns0:t>lw</ns0:t>
        </ns0:is>
      </ns0:c>
      <ns0:c r="E163" s="15" t="inlineStr">
        <ns0:is>
          <ns0:t>lw a0, 52(t0)</ns0:t>
        </ns0:is>
      </ns0:c>
      <ns0:c r="F163" s="15" t="inlineStr">
        <ns0:is>
          <ns0:t>0000011</ns0:t>
        </ns0:is>
      </ns0:c>
      <ns0:c r="G163" s="15" t="inlineStr">
        <ns0:is>
          <ns0:t>0000 0011 0100 0010 1010 0101 0000 0011</ns0:t>
        </ns0:is>
      </ns0:c>
      <ns0:c r="H163" t="inlineStr">
        <ns0:is>
          <ns0:t>КОД</ns0:t>
        </ns0:is>
      </ns0:c>
      <ns0:c r="I163">
        <ns0:f>COUNTIF('ДАННЫЕ T3'!$F$6:$F$286,B163)</ns0:f>
        <ns0:v>0</ns0:v>
      </ns0:c>
      <ns0:c r="J163" t="str">
        <ns0:f>IF(I163&gt;0,"FETCH зарегистрирован","Нет FETCH в окне")</ns0:f>
        <ns0:v>Нет FETCH в окне</ns0:v>
      </ns0:c>
    </ns0:row>
    <ns0:row r="164">
      <ns0:c r="A164" t="n">
        <ns0:v>158</ns0:v>
      </ns0:c>
      <ns0:c r="B164" s="15" t="inlineStr">
        <ns0:is>
          <ns0:t>0x00000278</ns0:t>
        </ns0:is>
      </ns0:c>
      <ns0:c r="C164" s="15" t="inlineStr">
        <ns0:is>
          <ns0:t>0x028000EF</ns0:t>
        </ns0:is>
      </ns0:c>
      <ns0:c r="D164" t="inlineStr">
        <ns0:is>
          <ns0:t>jal</ns0:t>
        </ns0:is>
      </ns0:c>
      <ns0:c r="E164" s="15" t="inlineStr">
        <ns0:is>
          <ns0:t>jal ra, 0x000002A0</ns0:t>
        </ns0:is>
      </ns0:c>
      <ns0:c r="F164" s="15" t="inlineStr">
        <ns0:is>
          <ns0:t>1101111</ns0:t>
        </ns0:is>
      </ns0:c>
      <ns0:c r="G164" s="15" t="inlineStr">
        <ns0:is>
          <ns0:t>0000 0010 1000 0000 0000 0000 1110 1111</ns0:t>
        </ns0:is>
      </ns0:c>
      <ns0:c r="H164" t="inlineStr">
        <ns0:is>
          <ns0:t>КОД</ns0:t>
        </ns0:is>
      </ns0:c>
      <ns0:c r="I164">
        <ns0:f>COUNTIF('ДАННЫЕ T3'!$F$6:$F$286,B164)</ns0:f>
        <ns0:v>0</ns0:v>
      </ns0:c>
      <ns0:c r="J164" t="str">
        <ns0:f>IF(I164&gt;0,"FETCH зарегистрирован","Нет FETCH в окне")</ns0:f>
        <ns0:v>Нет FETCH в окне</ns0:v>
      </ns0:c>
    </ns0:row>
    <ns0:row r="165">
      <ns0:c r="A165" t="n">
        <ns0:v>159</ns0:v>
      </ns0:c>
      <ns0:c r="B165" s="15" t="inlineStr">
        <ns0:is>
          <ns0:t>0x0000027C</ns0:t>
        </ns0:is>
      </ns0:c>
      <ns0:c r="C165" s="15" t="inlineStr">
        <ns0:is>
          <ns0:t>0x00A00313</ns0:t>
        </ns0:is>
      </ns0:c>
      <ns0:c r="D165" t="inlineStr">
        <ns0:is>
          <ns0:t>addi</ns0:t>
        </ns0:is>
      </ns0:c>
      <ns0:c r="E165" s="15" t="inlineStr">
        <ns0:is>
          <ns0:t>addi t1, zero, 10</ns0:t>
        </ns0:is>
      </ns0:c>
      <ns0:c r="F165" s="15" t="inlineStr">
        <ns0:is>
          <ns0:t>0010011</ns0:t>
        </ns0:is>
      </ns0:c>
      <ns0:c r="G165" s="15" t="inlineStr">
        <ns0:is>
          <ns0:t>0000 0000 1010 0000 0000 0011 0001 0011</ns0:t>
        </ns0:is>
      </ns0:c>
      <ns0:c r="H165" t="inlineStr">
        <ns0:is>
          <ns0:t>КОД</ns0:t>
        </ns0:is>
      </ns0:c>
      <ns0:c r="I165">
        <ns0:f>COUNTIF('ДАННЫЕ T3'!$F$6:$F$286,B165)</ns0:f>
        <ns0:v>0</ns0:v>
      </ns0:c>
      <ns0:c r="J165" t="str">
        <ns0:f>IF(I165&gt;0,"FETCH зарегистрирован","Нет FETCH в окне")</ns0:f>
        <ns0:v>Нет FETCH в окне</ns0:v>
      </ns0:c>
    </ns0:row>
    <ns0:row r="166">
      <ns0:c r="A166" t="n">
        <ns0:v>160</ns0:v>
      </ns0:c>
      <ns0:c r="B166" s="15" t="inlineStr">
        <ns0:is>
          <ns0:t>0x00000280</ns0:t>
        </ns0:is>
      </ns0:c>
      <ns0:c r="C166" s="15" t="inlineStr">
        <ns0:is>
          <ns0:t>0x094000EF</ns0:t>
        </ns0:is>
      </ns0:c>
      <ns0:c r="D166" t="inlineStr">
        <ns0:is>
          <ns0:t>jal</ns0:t>
        </ns0:is>
      </ns0:c>
      <ns0:c r="E166" s="15" t="inlineStr">
        <ns0:is>
          <ns0:t>jal ra, 0x00000314</ns0:t>
        </ns0:is>
      </ns0:c>
      <ns0:c r="F166" s="15" t="inlineStr">
        <ns0:is>
          <ns0:t>1101111</ns0:t>
        </ns0:is>
      </ns0:c>
      <ns0:c r="G166" s="15" t="inlineStr">
        <ns0:is>
          <ns0:t>0000 1001 0100 0000 0000 0000 1110 1111</ns0:t>
        </ns0:is>
      </ns0:c>
      <ns0:c r="H166" t="inlineStr">
        <ns0:is>
          <ns0:t>КОД</ns0:t>
        </ns0:is>
      </ns0:c>
      <ns0:c r="I166">
        <ns0:f>COUNTIF('ДАННЫЕ T3'!$F$6:$F$286,B166)</ns0:f>
        <ns0:v>0</ns0:v>
      </ns0:c>
      <ns0:c r="J166" t="str">
        <ns0:f>IF(I166&gt;0,"FETCH зарегистрирован","Нет FETCH в окне")</ns0:f>
        <ns0:v>Нет FETCH в окне</ns0:v>
      </ns0:c>
    </ns0:row>
    <ns0:row r="167">
      <ns0:c r="A167" t="n">
        <ns0:v>161</ns0:v>
      </ns0:c>
      <ns0:c r="B167" s="15" t="inlineStr">
        <ns0:is>
          <ns0:t>0x00000284</ns0:t>
        </ns0:is>
      </ns0:c>
      <ns0:c r="C167" s="15" t="inlineStr">
        <ns0:is>
          <ns0:t>0x00148493</ns0:t>
        </ns0:is>
      </ns0:c>
      <ns0:c r="D167" t="inlineStr">
        <ns0:is>
          <ns0:t>addi</ns0:t>
        </ns0:is>
      </ns0:c>
      <ns0:c r="E167" s="15" t="inlineStr">
        <ns0:is>
          <ns0:t>addi s1, s1, 1</ns0:t>
        </ns0:is>
      </ns0:c>
      <ns0:c r="F167" s="15" t="inlineStr">
        <ns0:is>
          <ns0:t>0010011</ns0:t>
        </ns0:is>
      </ns0:c>
      <ns0:c r="G167" s="15" t="inlineStr">
        <ns0:is>
          <ns0:t>0000 0000 0001 0100 1000 0100 1001 0011</ns0:t>
        </ns0:is>
      </ns0:c>
      <ns0:c r="H167" t="inlineStr">
        <ns0:is>
          <ns0:t>КОД</ns0:t>
        </ns0:is>
      </ns0:c>
      <ns0:c r="I167">
        <ns0:f>COUNTIF('ДАННЫЕ T3'!$F$6:$F$286,B167)</ns0:f>
        <ns0:v>0</ns0:v>
      </ns0:c>
      <ns0:c r="J167" t="str">
        <ns0:f>IF(I167&gt;0,"FETCH зарегистрирован","Нет FETCH в окне")</ns0:f>
        <ns0:v>Нет FETCH в окне</ns0:v>
      </ns0:c>
    </ns0:row>
    <ns0:row r="168">
      <ns0:c r="A168" t="n">
        <ns0:v>162</ns0:v>
      </ns0:c>
      <ns0:c r="B168" s="15" t="inlineStr">
        <ns0:is>
          <ns0:t>0x00000288</ns0:t>
        </ns0:is>
      </ns0:c>
      <ns0:c r="C168" s="15" t="inlineStr">
        <ns0:is>
          <ns0:t>0xFA5FF06F</ns0:t>
        </ns0:is>
      </ns0:c>
      <ns0:c r="D168" t="inlineStr">
        <ns0:is>
          <ns0:t>jal</ns0:t>
        </ns0:is>
      </ns0:c>
      <ns0:c r="E168" s="15" t="inlineStr">
        <ns0:is>
          <ns0:t>jal zero, 0x0000022C</ns0:t>
        </ns0:is>
      </ns0:c>
      <ns0:c r="F168" s="15" t="inlineStr">
        <ns0:is>
          <ns0:t>1101111</ns0:t>
        </ns0:is>
      </ns0:c>
      <ns0:c r="G168" s="15" t="inlineStr">
        <ns0:is>
          <ns0:t>1111 1010 0101 1111 1111 0000 0110 1111</ns0:t>
        </ns0:is>
      </ns0:c>
      <ns0:c r="H168" t="inlineStr">
        <ns0:is>
          <ns0:t>КОД</ns0:t>
        </ns0:is>
      </ns0:c>
      <ns0:c r="I168">
        <ns0:f>COUNTIF('ДАННЫЕ T3'!$F$6:$F$286,B168)</ns0:f>
        <ns0:v>0</ns0:v>
      </ns0:c>
      <ns0:c r="J168" t="str">
        <ns0:f>IF(I168&gt;0,"FETCH зарегистрирован","Нет FETCH в окне")</ns0:f>
        <ns0:v>Нет FETCH в окне</ns0:v>
      </ns0:c>
    </ns0:row>
    <ns0:row r="169">
      <ns0:c r="A169" t="n">
        <ns0:v>163</ns0:v>
      </ns0:c>
      <ns0:c r="B169" s="15" t="inlineStr">
        <ns0:is>
          <ns0:t>0x0000028C</ns0:t>
        </ns0:is>
      </ns0:c>
      <ns0:c r="C169" s="15" t="inlineStr">
        <ns0:is>
          <ns0:t>0x05A00313</ns0:t>
        </ns0:is>
      </ns0:c>
      <ns0:c r="D169" t="inlineStr">
        <ns0:is>
          <ns0:t>addi</ns0:t>
        </ns0:is>
      </ns0:c>
      <ns0:c r="E169" s="15" t="inlineStr">
        <ns0:is>
          <ns0:t>addi t1, zero, 90</ns0:t>
        </ns0:is>
      </ns0:c>
      <ns0:c r="F169" s="15" t="inlineStr">
        <ns0:is>
          <ns0:t>0010011</ns0:t>
        </ns0:is>
      </ns0:c>
      <ns0:c r="G169" s="15" t="inlineStr">
        <ns0:is>
          <ns0:t>0000 0101 1010 0000 0000 0011 0001 0011</ns0:t>
        </ns0:is>
      </ns0:c>
      <ns0:c r="H169" t="inlineStr">
        <ns0:is>
          <ns0:t>КОД</ns0:t>
        </ns0:is>
      </ns0:c>
      <ns0:c r="I169">
        <ns0:f>COUNTIF('ДАННЫЕ T3'!$F$6:$F$286,B169)</ns0:f>
        <ns0:v>0</ns0:v>
      </ns0:c>
      <ns0:c r="J169" t="str">
        <ns0:f>IF(I169&gt;0,"FETCH зарегистрирован","Нет FETCH в окне")</ns0:f>
        <ns0:v>Нет FETCH в окне</ns0:v>
      </ns0:c>
    </ns0:row>
    <ns0:row r="170">
      <ns0:c r="A170" t="n">
        <ns0:v>164</ns0:v>
      </ns0:c>
      <ns0:c r="B170" s="15" t="inlineStr">
        <ns0:is>
          <ns0:t>0x00000290</ns0:t>
        </ns0:is>
      </ns0:c>
      <ns0:c r="C170" s="15" t="inlineStr">
        <ns0:is>
          <ns0:t>0x084000EF</ns0:t>
        </ns0:is>
      </ns0:c>
      <ns0:c r="D170" t="inlineStr">
        <ns0:is>
          <ns0:t>jal</ns0:t>
        </ns0:is>
      </ns0:c>
      <ns0:c r="E170" s="15" t="inlineStr">
        <ns0:is>
          <ns0:t>jal ra, 0x00000314</ns0:t>
        </ns0:is>
      </ns0:c>
      <ns0:c r="F170" s="15" t="inlineStr">
        <ns0:is>
          <ns0:t>1101111</ns0:t>
        </ns0:is>
      </ns0:c>
      <ns0:c r="G170" s="15" t="inlineStr">
        <ns0:is>
          <ns0:t>0000 1000 0100 0000 0000 0000 1110 1111</ns0:t>
        </ns0:is>
      </ns0:c>
      <ns0:c r="H170" t="inlineStr">
        <ns0:is>
          <ns0:t>КОД</ns0:t>
        </ns0:is>
      </ns0:c>
      <ns0:c r="I170">
        <ns0:f>COUNTIF('ДАННЫЕ T3'!$F$6:$F$286,B170)</ns0:f>
        <ns0:v>0</ns0:v>
      </ns0:c>
      <ns0:c r="J170" t="str">
        <ns0:f>IF(I170&gt;0,"FETCH зарегистрирован","Нет FETCH в окне")</ns0:f>
        <ns0:v>Нет FETCH в окне</ns0:v>
      </ns0:c>
    </ns0:row>
    <ns0:row r="171">
      <ns0:c r="A171" t="n">
        <ns0:v>165</ns0:v>
      </ns0:c>
      <ns0:c r="B171" s="15" t="inlineStr">
        <ns0:is>
          <ns0:t>0x00000294</ns0:t>
        </ns0:is>
      </ns0:c>
      <ns0:c r="C171" s="15" t="inlineStr">
        <ns0:is>
          <ns0:t>0x00A00313</ns0:t>
        </ns0:is>
      </ns0:c>
      <ns0:c r="D171" t="inlineStr">
        <ns0:is>
          <ns0:t>addi</ns0:t>
        </ns0:is>
      </ns0:c>
      <ns0:c r="E171" s="15" t="inlineStr">
        <ns0:is>
          <ns0:t>addi t1, zero, 10</ns0:t>
        </ns0:is>
      </ns0:c>
      <ns0:c r="F171" s="15" t="inlineStr">
        <ns0:is>
          <ns0:t>0010011</ns0:t>
        </ns0:is>
      </ns0:c>
      <ns0:c r="G171" s="15" t="inlineStr">
        <ns0:is>
          <ns0:t>0000 0000 1010 0000 0000 0011 0001 0011</ns0:t>
        </ns0:is>
      </ns0:c>
      <ns0:c r="H171" t="inlineStr">
        <ns0:is>
          <ns0:t>КОД</ns0:t>
        </ns0:is>
      </ns0:c>
      <ns0:c r="I171">
        <ns0:f>COUNTIF('ДАННЫЕ T3'!$F$6:$F$286,B171)</ns0:f>
        <ns0:v>0</ns0:v>
      </ns0:c>
      <ns0:c r="J171" t="str">
        <ns0:f>IF(I171&gt;0,"FETCH зарегистрирован","Нет FETCH в окне")</ns0:f>
        <ns0:v>Нет FETCH в окне</ns0:v>
      </ns0:c>
    </ns0:row>
    <ns0:row r="172">
      <ns0:c r="A172" t="n">
        <ns0:v>166</ns0:v>
      </ns0:c>
      <ns0:c r="B172" s="15" t="inlineStr">
        <ns0:is>
          <ns0:t>0x00000298</ns0:t>
        </ns0:is>
      </ns0:c>
      <ns0:c r="C172" s="15" t="inlineStr">
        <ns0:is>
          <ns0:t>0x07C000EF</ns0:t>
        </ns0:is>
      </ns0:c>
      <ns0:c r="D172" t="inlineStr">
        <ns0:is>
          <ns0:t>jal</ns0:t>
        </ns0:is>
      </ns0:c>
      <ns0:c r="E172" s="15" t="inlineStr">
        <ns0:is>
          <ns0:t>jal ra, 0x00000314</ns0:t>
        </ns0:is>
      </ns0:c>
      <ns0:c r="F172" s="15" t="inlineStr">
        <ns0:is>
          <ns0:t>1101111</ns0:t>
        </ns0:is>
      </ns0:c>
      <ns0:c r="G172" s="15" t="inlineStr">
        <ns0:is>
          <ns0:t>0000 0111 1100 0000 0000 0000 1110 1111</ns0:t>
        </ns0:is>
      </ns0:c>
      <ns0:c r="H172" t="inlineStr">
        <ns0:is>
          <ns0:t>КОД</ns0:t>
        </ns0:is>
      </ns0:c>
      <ns0:c r="I172">
        <ns0:f>COUNTIF('ДАННЫЕ T3'!$F$6:$F$286,B172)</ns0:f>
        <ns0:v>0</ns0:v>
      </ns0:c>
      <ns0:c r="J172" t="str">
        <ns0:f>IF(I172&gt;0,"FETCH зарегистрирован","Нет FETCH в окне")</ns0:f>
        <ns0:v>Нет FETCH в окне</ns0:v>
      </ns0:c>
    </ns0:row>
    <ns0:row r="173">
      <ns0:c r="A173" t="n">
        <ns0:v>167</ns0:v>
      </ns0:c>
      <ns0:c r="B173" s="15" t="inlineStr">
        <ns0:is>
          <ns0:t>0x0000029C</ns0:t>
        </ns0:is>
      </ns0:c>
      <ns0:c r="C173" s="15" t="inlineStr">
        <ns0:is>
          <ns0:t>0xD9DFF06F</ns0:t>
        </ns0:is>
      </ns0:c>
      <ns0:c r="D173" t="inlineStr">
        <ns0:is>
          <ns0:t>jal</ns0:t>
        </ns0:is>
      </ns0:c>
      <ns0:c r="E173" s="15" t="inlineStr">
        <ns0:is>
          <ns0:t>jal zero, 0x00000038</ns0:t>
        </ns0:is>
      </ns0:c>
      <ns0:c r="F173" s="15" t="inlineStr">
        <ns0:is>
          <ns0:t>1101111</ns0:t>
        </ns0:is>
      </ns0:c>
      <ns0:c r="G173" s="15" t="inlineStr">
        <ns0:is>
          <ns0:t>1101 1001 1101 1111 1111 0000 0110 1111</ns0:t>
        </ns0:is>
      </ns0:c>
      <ns0:c r="H173" t="inlineStr">
        <ns0:is>
          <ns0:t>КОД</ns0:t>
        </ns0:is>
      </ns0:c>
      <ns0:c r="I173">
        <ns0:f>COUNTIF('ДАННЫЕ T3'!$F$6:$F$286,B173)</ns0:f>
        <ns0:v>0</ns0:v>
      </ns0:c>
      <ns0:c r="J173" t="str">
        <ns0:f>IF(I173&gt;0,"FETCH зарегистрирован","Нет FETCH в окне")</ns0:f>
        <ns0:v>Нет FETCH в окне</ns0:v>
      </ns0:c>
    </ns0:row>
    <ns0:row r="174">
      <ns0:c r="A174" t="n">
        <ns0:v>168</ns0:v>
      </ns0:c>
      <ns0:c r="B174" s="15" t="inlineStr">
        <ns0:is>
          <ns0:t>0x000002A0</ns0:t>
        </ns0:is>
      </ns0:c>
      <ns0:c r="C174" s="15" t="inlineStr">
        <ns0:is>
          <ns0:t>0x00008B93</ns0:t>
        </ns0:is>
      </ns0:c>
      <ns0:c r="D174" t="inlineStr">
        <ns0:is>
          <ns0:t>addi</ns0:t>
        </ns0:is>
      </ns0:c>
      <ns0:c r="E174" s="15" t="inlineStr">
        <ns0:is>
          <ns0:t>addi s7, ra, 0</ns0:t>
        </ns0:is>
      </ns0:c>
      <ns0:c r="F174" s="15" t="inlineStr">
        <ns0:is>
          <ns0:t>0010011</ns0:t>
        </ns0:is>
      </ns0:c>
      <ns0:c r="G174" s="15" t="inlineStr">
        <ns0:is>
          <ns0:t>0000 0000 0000 0000 1000 1011 1001 0011</ns0:t>
        </ns0:is>
      </ns0:c>
      <ns0:c r="H174" t="inlineStr">
        <ns0:is>
          <ns0:t>КОД</ns0:t>
        </ns0:is>
      </ns0:c>
      <ns0:c r="I174">
        <ns0:f>COUNTIF('ДАННЫЕ T3'!$F$6:$F$286,B174)</ns0:f>
        <ns0:v>0</ns0:v>
      </ns0:c>
      <ns0:c r="J174" t="str">
        <ns0:f>IF(I174&gt;0,"FETCH зарегистрирован","Нет FETCH в окне")</ns0:f>
        <ns0:v>Нет FETCH в окне</ns0:v>
      </ns0:c>
    </ns0:row>
    <ns0:row r="175">
      <ns0:c r="A175" t="n">
        <ns0:v>169</ns0:v>
      </ns0:c>
      <ns0:c r="B175" s="15" t="inlineStr">
        <ns0:is>
          <ns0:t>0x000002A4</ns0:t>
        </ns0:is>
      </ns0:c>
      <ns0:c r="C175" s="15" t="inlineStr">
        <ns0:is>
          <ns0:t>0x01C55313</ns0:t>
        </ns0:is>
      </ns0:c>
      <ns0:c r="D175" t="inlineStr">
        <ns0:is>
          <ns0:t>srli</ns0:t>
        </ns0:is>
      </ns0:c>
      <ns0:c r="E175" s="15" t="inlineStr">
        <ns0:is>
          <ns0:t>srli t1, a0, 28</ns0:t>
        </ns0:is>
      </ns0:c>
      <ns0:c r="F175" s="15" t="inlineStr">
        <ns0:is>
          <ns0:t>0010011</ns0:t>
        </ns0:is>
      </ns0:c>
      <ns0:c r="G175" s="15" t="inlineStr">
        <ns0:is>
          <ns0:t>0000 0001 1100 0101 0101 0011 0001 0011</ns0:t>
        </ns0:is>
      </ns0:c>
      <ns0:c r="H175" t="inlineStr">
        <ns0:is>
          <ns0:t>КОД</ns0:t>
        </ns0:is>
      </ns0:c>
      <ns0:c r="I175">
        <ns0:f>COUNTIF('ДАННЫЕ T3'!$F$6:$F$286,B175)</ns0:f>
        <ns0:v>0</ns0:v>
      </ns0:c>
      <ns0:c r="J175" t="str">
        <ns0:f>IF(I175&gt;0,"FETCH зарегистрирован","Нет FETCH в окне")</ns0:f>
        <ns0:v>Нет FETCH в окне</ns0:v>
      </ns0:c>
    </ns0:row>
    <ns0:row r="176">
      <ns0:c r="A176" t="n">
        <ns0:v>170</ns0:v>
      </ns0:c>
      <ns0:c r="B176" s="15" t="inlineStr">
        <ns0:is>
          <ns0:t>0x000002A8</ns0:t>
        </ns0:is>
      </ns0:c>
      <ns0:c r="C176" s="15" t="inlineStr">
        <ns0:is>
          <ns0:t>0x040000EF</ns0:t>
        </ns0:is>
      </ns0:c>
      <ns0:c r="D176" t="inlineStr">
        <ns0:is>
          <ns0:t>jal</ns0:t>
        </ns0:is>
      </ns0:c>
      <ns0:c r="E176" s="15" t="inlineStr">
        <ns0:is>
          <ns0:t>jal ra, 0x000002E8</ns0:t>
        </ns0:is>
      </ns0:c>
      <ns0:c r="F176" s="15" t="inlineStr">
        <ns0:is>
          <ns0:t>1101111</ns0:t>
        </ns0:is>
      </ns0:c>
      <ns0:c r="G176" s="15" t="inlineStr">
        <ns0:is>
          <ns0:t>0000 0100 0000 0000 0000 0000 1110 1111</ns0:t>
        </ns0:is>
      </ns0:c>
      <ns0:c r="H176" t="inlineStr">
        <ns0:is>
          <ns0:t>КОД</ns0:t>
        </ns0:is>
      </ns0:c>
      <ns0:c r="I176">
        <ns0:f>COUNTIF('ДАННЫЕ T3'!$F$6:$F$286,B176)</ns0:f>
        <ns0:v>0</ns0:v>
      </ns0:c>
      <ns0:c r="J176" t="str">
        <ns0:f>IF(I176&gt;0,"FETCH зарегистрирован","Нет FETCH в окне")</ns0:f>
        <ns0:v>Нет FETCH в окне</ns0:v>
      </ns0:c>
    </ns0:row>
    <ns0:row r="177">
      <ns0:c r="A177" t="n">
        <ns0:v>171</ns0:v>
      </ns0:c>
      <ns0:c r="B177" s="15" t="inlineStr">
        <ns0:is>
          <ns0:t>0x000002AC</ns0:t>
        </ns0:is>
      </ns0:c>
      <ns0:c r="C177" s="15" t="inlineStr">
        <ns0:is>
          <ns0:t>0x01855313</ns0:t>
        </ns0:is>
      </ns0:c>
      <ns0:c r="D177" t="inlineStr">
        <ns0:is>
          <ns0:t>srli</ns0:t>
        </ns0:is>
      </ns0:c>
      <ns0:c r="E177" s="15" t="inlineStr">
        <ns0:is>
          <ns0:t>srli t1, a0, 24</ns0:t>
        </ns0:is>
      </ns0:c>
      <ns0:c r="F177" s="15" t="inlineStr">
        <ns0:is>
          <ns0:t>0010011</ns0:t>
        </ns0:is>
      </ns0:c>
      <ns0:c r="G177" s="15" t="inlineStr">
        <ns0:is>
          <ns0:t>0000 0001 1000 0101 0101 0011 0001 0011</ns0:t>
        </ns0:is>
      </ns0:c>
      <ns0:c r="H177" t="inlineStr">
        <ns0:is>
          <ns0:t>КОД</ns0:t>
        </ns0:is>
      </ns0:c>
      <ns0:c r="I177">
        <ns0:f>COUNTIF('ДАННЫЕ T3'!$F$6:$F$286,B177)</ns0:f>
        <ns0:v>0</ns0:v>
      </ns0:c>
      <ns0:c r="J177" t="str">
        <ns0:f>IF(I177&gt;0,"FETCH зарегистрирован","Нет FETCH в окне")</ns0:f>
        <ns0:v>Нет FETCH в окне</ns0:v>
      </ns0:c>
    </ns0:row>
    <ns0:row r="178">
      <ns0:c r="A178" t="n">
        <ns0:v>172</ns0:v>
      </ns0:c>
      <ns0:c r="B178" s="15" t="inlineStr">
        <ns0:is>
          <ns0:t>0x000002B0</ns0:t>
        </ns0:is>
      </ns0:c>
      <ns0:c r="C178" s="15" t="inlineStr">
        <ns0:is>
          <ns0:t>0x038000EF</ns0:t>
        </ns0:is>
      </ns0:c>
      <ns0:c r="D178" t="inlineStr">
        <ns0:is>
          <ns0:t>jal</ns0:t>
        </ns0:is>
      </ns0:c>
      <ns0:c r="E178" s="15" t="inlineStr">
        <ns0:is>
          <ns0:t>jal ra, 0x000002E8</ns0:t>
        </ns0:is>
      </ns0:c>
      <ns0:c r="F178" s="15" t="inlineStr">
        <ns0:is>
          <ns0:t>1101111</ns0:t>
        </ns0:is>
      </ns0:c>
      <ns0:c r="G178" s="15" t="inlineStr">
        <ns0:is>
          <ns0:t>0000 0011 1000 0000 0000 0000 1110 1111</ns0:t>
        </ns0:is>
      </ns0:c>
      <ns0:c r="H178" t="inlineStr">
        <ns0:is>
          <ns0:t>КОД</ns0:t>
        </ns0:is>
      </ns0:c>
      <ns0:c r="I178">
        <ns0:f>COUNTIF('ДАННЫЕ T3'!$F$6:$F$286,B178)</ns0:f>
        <ns0:v>0</ns0:v>
      </ns0:c>
      <ns0:c r="J178" t="str">
        <ns0:f>IF(I178&gt;0,"FETCH зарегистрирован","Нет FETCH в окне")</ns0:f>
        <ns0:v>Нет FETCH в окне</ns0:v>
      </ns0:c>
    </ns0:row>
    <ns0:row r="179">
      <ns0:c r="A179" t="n">
        <ns0:v>173</ns0:v>
      </ns0:c>
      <ns0:c r="B179" s="15" t="inlineStr">
        <ns0:is>
          <ns0:t>0x000002B4</ns0:t>
        </ns0:is>
      </ns0:c>
      <ns0:c r="C179" s="15" t="inlineStr">
        <ns0:is>
          <ns0:t>0x01455313</ns0:t>
        </ns0:is>
      </ns0:c>
      <ns0:c r="D179" t="inlineStr">
        <ns0:is>
          <ns0:t>srli</ns0:t>
        </ns0:is>
      </ns0:c>
      <ns0:c r="E179" s="15" t="inlineStr">
        <ns0:is>
          <ns0:t>srli t1, a0, 20</ns0:t>
        </ns0:is>
      </ns0:c>
      <ns0:c r="F179" s="15" t="inlineStr">
        <ns0:is>
          <ns0:t>0010011</ns0:t>
        </ns0:is>
      </ns0:c>
      <ns0:c r="G179" s="15" t="inlineStr">
        <ns0:is>
          <ns0:t>0000 0001 0100 0101 0101 0011 0001 0011</ns0:t>
        </ns0:is>
      </ns0:c>
      <ns0:c r="H179" t="inlineStr">
        <ns0:is>
          <ns0:t>КОД</ns0:t>
        </ns0:is>
      </ns0:c>
      <ns0:c r="I179">
        <ns0:f>COUNTIF('ДАННЫЕ T3'!$F$6:$F$286,B179)</ns0:f>
        <ns0:v>0</ns0:v>
      </ns0:c>
      <ns0:c r="J179" t="str">
        <ns0:f>IF(I179&gt;0,"FETCH зарегистрирован","Нет FETCH в окне")</ns0:f>
        <ns0:v>Нет FETCH в окне</ns0:v>
      </ns0:c>
    </ns0:row>
    <ns0:row r="180">
      <ns0:c r="A180" t="n">
        <ns0:v>174</ns0:v>
      </ns0:c>
      <ns0:c r="B180" s="15" t="inlineStr">
        <ns0:is>
          <ns0:t>0x000002B8</ns0:t>
        </ns0:is>
      </ns0:c>
      <ns0:c r="C180" s="15" t="inlineStr">
        <ns0:is>
          <ns0:t>0x030000EF</ns0:t>
        </ns0:is>
      </ns0:c>
      <ns0:c r="D180" t="inlineStr">
        <ns0:is>
          <ns0:t>jal</ns0:t>
        </ns0:is>
      </ns0:c>
      <ns0:c r="E180" s="15" t="inlineStr">
        <ns0:is>
          <ns0:t>jal ra, 0x000002E8</ns0:t>
        </ns0:is>
      </ns0:c>
      <ns0:c r="F180" s="15" t="inlineStr">
        <ns0:is>
          <ns0:t>1101111</ns0:t>
        </ns0:is>
      </ns0:c>
      <ns0:c r="G180" s="15" t="inlineStr">
        <ns0:is>
          <ns0:t>0000 0011 0000 0000 0000 0000 1110 1111</ns0:t>
        </ns0:is>
      </ns0:c>
      <ns0:c r="H180" t="inlineStr">
        <ns0:is>
          <ns0:t>КОД</ns0:t>
        </ns0:is>
      </ns0:c>
      <ns0:c r="I180">
        <ns0:f>COUNTIF('ДАННЫЕ T3'!$F$6:$F$286,B180)</ns0:f>
        <ns0:v>0</ns0:v>
      </ns0:c>
      <ns0:c r="J180" t="str">
        <ns0:f>IF(I180&gt;0,"FETCH зарегистрирован","Нет FETCH в окне")</ns0:f>
        <ns0:v>Нет FETCH в окне</ns0:v>
      </ns0:c>
    </ns0:row>
    <ns0:row r="181">
      <ns0:c r="A181" t="n">
        <ns0:v>175</ns0:v>
      </ns0:c>
      <ns0:c r="B181" s="15" t="inlineStr">
        <ns0:is>
          <ns0:t>0x000002BC</ns0:t>
        </ns0:is>
      </ns0:c>
      <ns0:c r="C181" s="15" t="inlineStr">
        <ns0:is>
          <ns0:t>0x01055313</ns0:t>
        </ns0:is>
      </ns0:c>
      <ns0:c r="D181" t="inlineStr">
        <ns0:is>
          <ns0:t>srli</ns0:t>
        </ns0:is>
      </ns0:c>
      <ns0:c r="E181" s="15" t="inlineStr">
        <ns0:is>
          <ns0:t>srli t1, a0, 16</ns0:t>
        </ns0:is>
      </ns0:c>
      <ns0:c r="F181" s="15" t="inlineStr">
        <ns0:is>
          <ns0:t>0010011</ns0:t>
        </ns0:is>
      </ns0:c>
      <ns0:c r="G181" s="15" t="inlineStr">
        <ns0:is>
          <ns0:t>0000 0001 0000 0101 0101 0011 0001 0011</ns0:t>
        </ns0:is>
      </ns0:c>
      <ns0:c r="H181" t="inlineStr">
        <ns0:is>
          <ns0:t>КОД</ns0:t>
        </ns0:is>
      </ns0:c>
      <ns0:c r="I181">
        <ns0:f>COUNTIF('ДАННЫЕ T3'!$F$6:$F$286,B181)</ns0:f>
        <ns0:v>0</ns0:v>
      </ns0:c>
      <ns0:c r="J181" t="str">
        <ns0:f>IF(I181&gt;0,"FETCH зарегистрирован","Нет FETCH в окне")</ns0:f>
        <ns0:v>Нет FETCH в окне</ns0:v>
      </ns0:c>
    </ns0:row>
    <ns0:row r="182">
      <ns0:c r="A182" t="n">
        <ns0:v>176</ns0:v>
      </ns0:c>
      <ns0:c r="B182" s="15" t="inlineStr">
        <ns0:is>
          <ns0:t>0x000002C0</ns0:t>
        </ns0:is>
      </ns0:c>
      <ns0:c r="C182" s="15" t="inlineStr">
        <ns0:is>
          <ns0:t>0x028000EF</ns0:t>
        </ns0:is>
      </ns0:c>
      <ns0:c r="D182" t="inlineStr">
        <ns0:is>
          <ns0:t>jal</ns0:t>
        </ns0:is>
      </ns0:c>
      <ns0:c r="E182" s="15" t="inlineStr">
        <ns0:is>
          <ns0:t>jal ra, 0x000002E8</ns0:t>
        </ns0:is>
      </ns0:c>
      <ns0:c r="F182" s="15" t="inlineStr">
        <ns0:is>
          <ns0:t>1101111</ns0:t>
        </ns0:is>
      </ns0:c>
      <ns0:c r="G182" s="15" t="inlineStr">
        <ns0:is>
          <ns0:t>0000 0010 1000 0000 0000 0000 1110 1111</ns0:t>
        </ns0:is>
      </ns0:c>
      <ns0:c r="H182" t="inlineStr">
        <ns0:is>
          <ns0:t>КОД</ns0:t>
        </ns0:is>
      </ns0:c>
      <ns0:c r="I182">
        <ns0:f>COUNTIF('ДАННЫЕ T3'!$F$6:$F$286,B182)</ns0:f>
        <ns0:v>0</ns0:v>
      </ns0:c>
      <ns0:c r="J182" t="str">
        <ns0:f>IF(I182&gt;0,"FETCH зарегистрирован","Нет FETCH в окне")</ns0:f>
        <ns0:v>Нет FETCH в окне</ns0:v>
      </ns0:c>
    </ns0:row>
    <ns0:row r="183">
      <ns0:c r="A183" t="n">
        <ns0:v>177</ns0:v>
      </ns0:c>
      <ns0:c r="B183" s="15" t="inlineStr">
        <ns0:is>
          <ns0:t>0x000002C4</ns0:t>
        </ns0:is>
      </ns0:c>
      <ns0:c r="C183" s="15" t="inlineStr">
        <ns0:is>
          <ns0:t>0x00C55313</ns0:t>
        </ns0:is>
      </ns0:c>
      <ns0:c r="D183" t="inlineStr">
        <ns0:is>
          <ns0:t>srli</ns0:t>
        </ns0:is>
      </ns0:c>
      <ns0:c r="E183" s="15" t="inlineStr">
        <ns0:is>
          <ns0:t>srli t1, a0, 12</ns0:t>
        </ns0:is>
      </ns0:c>
      <ns0:c r="F183" s="15" t="inlineStr">
        <ns0:is>
          <ns0:t>0010011</ns0:t>
        </ns0:is>
      </ns0:c>
      <ns0:c r="G183" s="15" t="inlineStr">
        <ns0:is>
          <ns0:t>0000 0000 1100 0101 0101 0011 0001 0011</ns0:t>
        </ns0:is>
      </ns0:c>
      <ns0:c r="H183" t="inlineStr">
        <ns0:is>
          <ns0:t>КОД</ns0:t>
        </ns0:is>
      </ns0:c>
      <ns0:c r="I183">
        <ns0:f>COUNTIF('ДАННЫЕ T3'!$F$6:$F$286,B183)</ns0:f>
        <ns0:v>0</ns0:v>
      </ns0:c>
      <ns0:c r="J183" t="str">
        <ns0:f>IF(I183&gt;0,"FETCH зарегистрирован","Нет FETCH в окне")</ns0:f>
        <ns0:v>Нет FETCH в окне</ns0:v>
      </ns0:c>
    </ns0:row>
    <ns0:row r="184">
      <ns0:c r="A184" t="n">
        <ns0:v>178</ns0:v>
      </ns0:c>
      <ns0:c r="B184" s="15" t="inlineStr">
        <ns0:is>
          <ns0:t>0x000002C8</ns0:t>
        </ns0:is>
      </ns0:c>
      <ns0:c r="C184" s="15" t="inlineStr">
        <ns0:is>
          <ns0:t>0x020000EF</ns0:t>
        </ns0:is>
      </ns0:c>
      <ns0:c r="D184" t="inlineStr">
        <ns0:is>
          <ns0:t>jal</ns0:t>
        </ns0:is>
      </ns0:c>
      <ns0:c r="E184" s="15" t="inlineStr">
        <ns0:is>
          <ns0:t>jal ra, 0x000002E8</ns0:t>
        </ns0:is>
      </ns0:c>
      <ns0:c r="F184" s="15" t="inlineStr">
        <ns0:is>
          <ns0:t>1101111</ns0:t>
        </ns0:is>
      </ns0:c>
      <ns0:c r="G184" s="15" t="inlineStr">
        <ns0:is>
          <ns0:t>0000 0010 0000 0000 0000 0000 1110 1111</ns0:t>
        </ns0:is>
      </ns0:c>
      <ns0:c r="H184" t="inlineStr">
        <ns0:is>
          <ns0:t>КОД</ns0:t>
        </ns0:is>
      </ns0:c>
      <ns0:c r="I184">
        <ns0:f>COUNTIF('ДАННЫЕ T3'!$F$6:$F$286,B184)</ns0:f>
        <ns0:v>0</ns0:v>
      </ns0:c>
      <ns0:c r="J184" t="str">
        <ns0:f>IF(I184&gt;0,"FETCH зарегистрирован","Нет FETCH в окне")</ns0:f>
        <ns0:v>Нет FETCH в окне</ns0:v>
      </ns0:c>
    </ns0:row>
    <ns0:row r="185">
      <ns0:c r="A185" t="n">
        <ns0:v>179</ns0:v>
      </ns0:c>
      <ns0:c r="B185" s="15" t="inlineStr">
        <ns0:is>
          <ns0:t>0x000002CC</ns0:t>
        </ns0:is>
      </ns0:c>
      <ns0:c r="C185" s="15" t="inlineStr">
        <ns0:is>
          <ns0:t>0x00855313</ns0:t>
        </ns0:is>
      </ns0:c>
      <ns0:c r="D185" t="inlineStr">
        <ns0:is>
          <ns0:t>srli</ns0:t>
        </ns0:is>
      </ns0:c>
      <ns0:c r="E185" s="15" t="inlineStr">
        <ns0:is>
          <ns0:t>srli t1, a0, 8</ns0:t>
        </ns0:is>
      </ns0:c>
      <ns0:c r="F185" s="15" t="inlineStr">
        <ns0:is>
          <ns0:t>0010011</ns0:t>
        </ns0:is>
      </ns0:c>
      <ns0:c r="G185" s="15" t="inlineStr">
        <ns0:is>
          <ns0:t>0000 0000 1000 0101 0101 0011 0001 0011</ns0:t>
        </ns0:is>
      </ns0:c>
      <ns0:c r="H185" t="inlineStr">
        <ns0:is>
          <ns0:t>КОД</ns0:t>
        </ns0:is>
      </ns0:c>
      <ns0:c r="I185">
        <ns0:f>COUNTIF('ДАННЫЕ T3'!$F$6:$F$286,B185)</ns0:f>
        <ns0:v>0</ns0:v>
      </ns0:c>
      <ns0:c r="J185" t="str">
        <ns0:f>IF(I185&gt;0,"FETCH зарегистрирован","Нет FETCH в окне")</ns0:f>
        <ns0:v>Нет FETCH в окне</ns0:v>
      </ns0:c>
    </ns0:row>
    <ns0:row r="186">
      <ns0:c r="A186" t="n">
        <ns0:v>180</ns0:v>
      </ns0:c>
      <ns0:c r="B186" s="15" t="inlineStr">
        <ns0:is>
          <ns0:t>0x000002D0</ns0:t>
        </ns0:is>
      </ns0:c>
      <ns0:c r="C186" s="15" t="inlineStr">
        <ns0:is>
          <ns0:t>0x018000EF</ns0:t>
        </ns0:is>
      </ns0:c>
      <ns0:c r="D186" t="inlineStr">
        <ns0:is>
          <ns0:t>jal</ns0:t>
        </ns0:is>
      </ns0:c>
      <ns0:c r="E186" s="15" t="inlineStr">
        <ns0:is>
          <ns0:t>jal ra, 0x000002E8</ns0:t>
        </ns0:is>
      </ns0:c>
      <ns0:c r="F186" s="15" t="inlineStr">
        <ns0:is>
          <ns0:t>1101111</ns0:t>
        </ns0:is>
      </ns0:c>
      <ns0:c r="G186" s="15" t="inlineStr">
        <ns0:is>
          <ns0:t>0000 0001 1000 0000 0000 0000 1110 1111</ns0:t>
        </ns0:is>
      </ns0:c>
      <ns0:c r="H186" t="inlineStr">
        <ns0:is>
          <ns0:t>КОД</ns0:t>
        </ns0:is>
      </ns0:c>
      <ns0:c r="I186">
        <ns0:f>COUNTIF('ДАННЫЕ T3'!$F$6:$F$286,B186)</ns0:f>
        <ns0:v>0</ns0:v>
      </ns0:c>
      <ns0:c r="J186" t="str">
        <ns0:f>IF(I186&gt;0,"FETCH зарегистрирован","Нет FETCH в окне")</ns0:f>
        <ns0:v>Нет FETCH в окне</ns0:v>
      </ns0:c>
    </ns0:row>
    <ns0:row r="187">
      <ns0:c r="A187" t="n">
        <ns0:v>181</ns0:v>
      </ns0:c>
      <ns0:c r="B187" s="15" t="inlineStr">
        <ns0:is>
          <ns0:t>0x000002D4</ns0:t>
        </ns0:is>
      </ns0:c>
      <ns0:c r="C187" s="15" t="inlineStr">
        <ns0:is>
          <ns0:t>0x00455313</ns0:t>
        </ns0:is>
      </ns0:c>
      <ns0:c r="D187" t="inlineStr">
        <ns0:is>
          <ns0:t>srli</ns0:t>
        </ns0:is>
      </ns0:c>
      <ns0:c r="E187" s="15" t="inlineStr">
        <ns0:is>
          <ns0:t>srli t1, a0, 4</ns0:t>
        </ns0:is>
      </ns0:c>
      <ns0:c r="F187" s="15" t="inlineStr">
        <ns0:is>
          <ns0:t>0010011</ns0:t>
        </ns0:is>
      </ns0:c>
      <ns0:c r="G187" s="15" t="inlineStr">
        <ns0:is>
          <ns0:t>0000 0000 0100 0101 0101 0011 0001 0011</ns0:t>
        </ns0:is>
      </ns0:c>
      <ns0:c r="H187" t="inlineStr">
        <ns0:is>
          <ns0:t>КОД</ns0:t>
        </ns0:is>
      </ns0:c>
      <ns0:c r="I187">
        <ns0:f>COUNTIF('ДАННЫЕ T3'!$F$6:$F$286,B187)</ns0:f>
        <ns0:v>0</ns0:v>
      </ns0:c>
      <ns0:c r="J187" t="str">
        <ns0:f>IF(I187&gt;0,"FETCH зарегистрирован","Нет FETCH в окне")</ns0:f>
        <ns0:v>Нет FETCH в окне</ns0:v>
      </ns0:c>
    </ns0:row>
    <ns0:row r="188">
      <ns0:c r="A188" t="n">
        <ns0:v>182</ns0:v>
      </ns0:c>
      <ns0:c r="B188" s="15" t="inlineStr">
        <ns0:is>
          <ns0:t>0x000002D8</ns0:t>
        </ns0:is>
      </ns0:c>
      <ns0:c r="C188" s="15" t="inlineStr">
        <ns0:is>
          <ns0:t>0x010000EF</ns0:t>
        </ns0:is>
      </ns0:c>
      <ns0:c r="D188" t="inlineStr">
        <ns0:is>
          <ns0:t>jal</ns0:t>
        </ns0:is>
      </ns0:c>
      <ns0:c r="E188" s="15" t="inlineStr">
        <ns0:is>
          <ns0:t>jal ra, 0x000002E8</ns0:t>
        </ns0:is>
      </ns0:c>
      <ns0:c r="F188" s="15" t="inlineStr">
        <ns0:is>
          <ns0:t>1101111</ns0:t>
        </ns0:is>
      </ns0:c>
      <ns0:c r="G188" s="15" t="inlineStr">
        <ns0:is>
          <ns0:t>0000 0001 0000 0000 0000 0000 1110 1111</ns0:t>
        </ns0:is>
      </ns0:c>
      <ns0:c r="H188" t="inlineStr">
        <ns0:is>
          <ns0:t>КОД</ns0:t>
        </ns0:is>
      </ns0:c>
      <ns0:c r="I188">
        <ns0:f>COUNTIF('ДАННЫЕ T3'!$F$6:$F$286,B188)</ns0:f>
        <ns0:v>0</ns0:v>
      </ns0:c>
      <ns0:c r="J188" t="str">
        <ns0:f>IF(I188&gt;0,"FETCH зарегистрирован","Нет FETCH в окне")</ns0:f>
        <ns0:v>Нет FETCH в окне</ns0:v>
      </ns0:c>
    </ns0:row>
    <ns0:row r="189">
      <ns0:c r="A189" t="n">
        <ns0:v>183</ns0:v>
      </ns0:c>
      <ns0:c r="B189" s="15" t="inlineStr">
        <ns0:is>
          <ns0:t>0x000002DC</ns0:t>
        </ns0:is>
      </ns0:c>
      <ns0:c r="C189" s="15" t="inlineStr">
        <ns0:is>
          <ns0:t>0x00050313</ns0:t>
        </ns0:is>
      </ns0:c>
      <ns0:c r="D189" t="inlineStr">
        <ns0:is>
          <ns0:t>addi</ns0:t>
        </ns0:is>
      </ns0:c>
      <ns0:c r="E189" s="15" t="inlineStr">
        <ns0:is>
          <ns0:t>addi t1, a0, 0</ns0:t>
        </ns0:is>
      </ns0:c>
      <ns0:c r="F189" s="15" t="inlineStr">
        <ns0:is>
          <ns0:t>0010011</ns0:t>
        </ns0:is>
      </ns0:c>
      <ns0:c r="G189" s="15" t="inlineStr">
        <ns0:is>
          <ns0:t>0000 0000 0000 0101 0000 0011 0001 0011</ns0:t>
        </ns0:is>
      </ns0:c>
      <ns0:c r="H189" t="inlineStr">
        <ns0:is>
          <ns0:t>КОД</ns0:t>
        </ns0:is>
      </ns0:c>
      <ns0:c r="I189">
        <ns0:f>COUNTIF('ДАННЫЕ T3'!$F$6:$F$286,B189)</ns0:f>
        <ns0:v>0</ns0:v>
      </ns0:c>
      <ns0:c r="J189" t="str">
        <ns0:f>IF(I189&gt;0,"FETCH зарегистрирован","Нет FETCH в окне")</ns0:f>
        <ns0:v>Нет FETCH в окне</ns0:v>
      </ns0:c>
    </ns0:row>
    <ns0:row r="190">
      <ns0:c r="A190" t="n">
        <ns0:v>184</ns0:v>
      </ns0:c>
      <ns0:c r="B190" s="15" t="inlineStr">
        <ns0:is>
          <ns0:t>0x000002E0</ns0:t>
        </ns0:is>
      </ns0:c>
      <ns0:c r="C190" s="15" t="inlineStr">
        <ns0:is>
          <ns0:t>0x008000EF</ns0:t>
        </ns0:is>
      </ns0:c>
      <ns0:c r="D190" t="inlineStr">
        <ns0:is>
          <ns0:t>jal</ns0:t>
        </ns0:is>
      </ns0:c>
      <ns0:c r="E190" s="15" t="inlineStr">
        <ns0:is>
          <ns0:t>jal ra, 0x000002E8</ns0:t>
        </ns0:is>
      </ns0:c>
      <ns0:c r="F190" s="15" t="inlineStr">
        <ns0:is>
          <ns0:t>1101111</ns0:t>
        </ns0:is>
      </ns0:c>
      <ns0:c r="G190" s="15" t="inlineStr">
        <ns0:is>
          <ns0:t>0000 0000 1000 0000 0000 0000 1110 1111</ns0:t>
        </ns0:is>
      </ns0:c>
      <ns0:c r="H190" t="inlineStr">
        <ns0:is>
          <ns0:t>КОД</ns0:t>
        </ns0:is>
      </ns0:c>
      <ns0:c r="I190">
        <ns0:f>COUNTIF('ДАННЫЕ T3'!$F$6:$F$286,B190)</ns0:f>
        <ns0:v>0</ns0:v>
      </ns0:c>
      <ns0:c r="J190" t="str">
        <ns0:f>IF(I190&gt;0,"FETCH зарегистрирован","Нет FETCH в окне")</ns0:f>
        <ns0:v>Нет FETCH в окне</ns0:v>
      </ns0:c>
    </ns0:row>
    <ns0:row r="191">
      <ns0:c r="A191" t="n">
        <ns0:v>185</ns0:v>
      </ns0:c>
      <ns0:c r="B191" s="15" t="inlineStr">
        <ns0:is>
          <ns0:t>0x000002E4</ns0:t>
        </ns0:is>
      </ns0:c>
      <ns0:c r="C191" s="15" t="inlineStr">
        <ns0:is>
          <ns0:t>0x000B8067</ns0:t>
        </ns0:is>
      </ns0:c>
      <ns0:c r="D191" t="inlineStr">
        <ns0:is>
          <ns0:t>jalr</ns0:t>
        </ns0:is>
      </ns0:c>
      <ns0:c r="E191" s="15" t="inlineStr">
        <ns0:is>
          <ns0:t>jalr zero, 0(s7)</ns0:t>
        </ns0:is>
      </ns0:c>
      <ns0:c r="F191" s="15" t="inlineStr">
        <ns0:is>
          <ns0:t>1100111</ns0:t>
        </ns0:is>
      </ns0:c>
      <ns0:c r="G191" s="15" t="inlineStr">
        <ns0:is>
          <ns0:t>0000 0000 0000 1011 1000 0000 0110 0111</ns0:t>
        </ns0:is>
      </ns0:c>
      <ns0:c r="H191" t="inlineStr">
        <ns0:is>
          <ns0:t>КОД</ns0:t>
        </ns0:is>
      </ns0:c>
      <ns0:c r="I191">
        <ns0:f>COUNTIF('ДАННЫЕ T3'!$F$6:$F$286,B191)</ns0:f>
        <ns0:v>0</ns0:v>
      </ns0:c>
      <ns0:c r="J191" t="str">
        <ns0:f>IF(I191&gt;0,"FETCH зарегистрирован","Нет FETCH в окне")</ns0:f>
        <ns0:v>Нет FETCH в окне</ns0:v>
      </ns0:c>
    </ns0:row>
    <ns0:row r="192">
      <ns0:c r="A192" t="n">
        <ns0:v>186</ns0:v>
      </ns0:c>
      <ns0:c r="B192" s="15" t="inlineStr">
        <ns0:is>
          <ns0:t>0x000002E8</ns0:t>
        </ns0:is>
      </ns0:c>
      <ns0:c r="C192" s="15" t="inlineStr">
        <ns0:is>
          <ns0:t>0x00008B13</ns0:t>
        </ns0:is>
      </ns0:c>
      <ns0:c r="D192" t="inlineStr">
        <ns0:is>
          <ns0:t>addi</ns0:t>
        </ns0:is>
      </ns0:c>
      <ns0:c r="E192" s="15" t="inlineStr">
        <ns0:is>
          <ns0:t>addi s6, ra, 0</ns0:t>
        </ns0:is>
      </ns0:c>
      <ns0:c r="F192" s="15" t="inlineStr">
        <ns0:is>
          <ns0:t>0010011</ns0:t>
        </ns0:is>
      </ns0:c>
      <ns0:c r="G192" s="15" t="inlineStr">
        <ns0:is>
          <ns0:t>0000 0000 0000 0000 1000 1011 0001 0011</ns0:t>
        </ns0:is>
      </ns0:c>
      <ns0:c r="H192" t="inlineStr">
        <ns0:is>
          <ns0:t>КОД</ns0:t>
        </ns0:is>
      </ns0:c>
      <ns0:c r="I192">
        <ns0:f>COUNTIF('ДАННЫЕ T3'!$F$6:$F$286,B192)</ns0:f>
        <ns0:v>0</ns0:v>
      </ns0:c>
      <ns0:c r="J192" t="str">
        <ns0:f>IF(I192&gt;0,"FETCH зарегистрирован","Нет FETCH в окне")</ns0:f>
        <ns0:v>Нет FETCH в окне</ns0:v>
      </ns0:c>
    </ns0:row>
    <ns0:row r="193">
      <ns0:c r="A193" t="n">
        <ns0:v>187</ns0:v>
      </ns0:c>
      <ns0:c r="B193" s="15" t="inlineStr">
        <ns0:is>
          <ns0:t>0x000002EC</ns0:t>
        </ns0:is>
      </ns0:c>
      <ns0:c r="C193" s="15" t="inlineStr">
        <ns0:is>
          <ns0:t>0x00F37313</ns0:t>
        </ns0:is>
      </ns0:c>
      <ns0:c r="D193" t="inlineStr">
        <ns0:is>
          <ns0:t>andi</ns0:t>
        </ns0:is>
      </ns0:c>
      <ns0:c r="E193" s="15" t="inlineStr">
        <ns0:is>
          <ns0:t>andi t1, t1, 15</ns0:t>
        </ns0:is>
      </ns0:c>
      <ns0:c r="F193" s="15" t="inlineStr">
        <ns0:is>
          <ns0:t>0010011</ns0:t>
        </ns0:is>
      </ns0:c>
      <ns0:c r="G193" s="15" t="inlineStr">
        <ns0:is>
          <ns0:t>0000 0000 1111 0011 0111 0011 0001 0011</ns0:t>
        </ns0:is>
      </ns0:c>
      <ns0:c r="H193" t="inlineStr">
        <ns0:is>
          <ns0:t>КОД</ns0:t>
        </ns0:is>
      </ns0:c>
      <ns0:c r="I193">
        <ns0:f>COUNTIF('ДАННЫЕ T3'!$F$6:$F$286,B193)</ns0:f>
        <ns0:v>0</ns0:v>
      </ns0:c>
      <ns0:c r="J193" t="str">
        <ns0:f>IF(I193&gt;0,"FETCH зарегистрирован","Нет FETCH в окне")</ns0:f>
        <ns0:v>Нет FETCH в окне</ns0:v>
      </ns0:c>
    </ns0:row>
    <ns0:row r="194">
      <ns0:c r="A194" t="n">
        <ns0:v>188</ns0:v>
      </ns0:c>
      <ns0:c r="B194" s="15" t="inlineStr">
        <ns0:is>
          <ns0:t>0x000002F0</ns0:t>
        </ns0:is>
      </ns0:c>
      <ns0:c r="C194" s="15" t="inlineStr">
        <ns0:is>
          <ns0:t>0xFF630393</ns0:t>
        </ns0:is>
      </ns0:c>
      <ns0:c r="D194" t="inlineStr">
        <ns0:is>
          <ns0:t>addi</ns0:t>
        </ns0:is>
      </ns0:c>
      <ns0:c r="E194" s="15" t="inlineStr">
        <ns0:is>
          <ns0:t>addi t2, t1, -10</ns0:t>
        </ns0:is>
      </ns0:c>
      <ns0:c r="F194" s="15" t="inlineStr">
        <ns0:is>
          <ns0:t>0010011</ns0:t>
        </ns0:is>
      </ns0:c>
      <ns0:c r="G194" s="15" t="inlineStr">
        <ns0:is>
          <ns0:t>1111 1111 0110 0011 0000 0011 1001 0011</ns0:t>
        </ns0:is>
      </ns0:c>
      <ns0:c r="H194" t="inlineStr">
        <ns0:is>
          <ns0:t>КОД</ns0:t>
        </ns0:is>
      </ns0:c>
      <ns0:c r="I194">
        <ns0:f>COUNTIF('ДАННЫЕ T3'!$F$6:$F$286,B194)</ns0:f>
        <ns0:v>0</ns0:v>
      </ns0:c>
      <ns0:c r="J194" t="str">
        <ns0:f>IF(I194&gt;0,"FETCH зарегистрирован","Нет FETCH в окне")</ns0:f>
        <ns0:v>Нет FETCH в окне</ns0:v>
      </ns0:c>
    </ns0:row>
    <ns0:row r="195">
      <ns0:c r="A195" t="n">
        <ns0:v>189</ns0:v>
      </ns0:c>
      <ns0:c r="B195" s="15" t="inlineStr">
        <ns0:is>
          <ns0:t>0x000002F4</ns0:t>
        </ns0:is>
      </ns0:c>
      <ns0:c r="C195" s="15" t="inlineStr">
        <ns0:is>
          <ns0:t>0x01F3D393</ns0:t>
        </ns0:is>
      </ns0:c>
      <ns0:c r="D195" t="inlineStr">
        <ns0:is>
          <ns0:t>srli</ns0:t>
        </ns0:is>
      </ns0:c>
      <ns0:c r="E195" s="15" t="inlineStr">
        <ns0:is>
          <ns0:t>srli t2, t2, 31</ns0:t>
        </ns0:is>
      </ns0:c>
      <ns0:c r="F195" s="15" t="inlineStr">
        <ns0:is>
          <ns0:t>0010011</ns0:t>
        </ns0:is>
      </ns0:c>
      <ns0:c r="G195" s="15" t="inlineStr">
        <ns0:is>
          <ns0:t>0000 0001 1111 0011 1101 0011 1001 0011</ns0:t>
        </ns0:is>
      </ns0:c>
      <ns0:c r="H195" t="inlineStr">
        <ns0:is>
          <ns0:t>КОД</ns0:t>
        </ns0:is>
      </ns0:c>
      <ns0:c r="I195">
        <ns0:f>COUNTIF('ДАННЫЕ T3'!$F$6:$F$286,B195)</ns0:f>
        <ns0:v>0</ns0:v>
      </ns0:c>
      <ns0:c r="J195" t="str">
        <ns0:f>IF(I195&gt;0,"FETCH зарегистрирован","Нет FETCH в окне")</ns0:f>
        <ns0:v>Нет FETCH в окне</ns0:v>
      </ns0:c>
    </ns0:row>
    <ns0:row r="196">
      <ns0:c r="A196" t="n">
        <ns0:v>190</ns0:v>
      </ns0:c>
      <ns0:c r="B196" s="15" t="inlineStr">
        <ns0:is>
          <ns0:t>0x000002F8</ns0:t>
        </ns0:is>
      </ns0:c>
      <ns0:c r="C196" s="15" t="inlineStr">
        <ns0:is>
          <ns0:t>0x00038863</ns0:t>
        </ns0:is>
      </ns0:c>
      <ns0:c r="D196" t="inlineStr">
        <ns0:is>
          <ns0:t>beq</ns0:t>
        </ns0:is>
      </ns0:c>
      <ns0:c r="E196" s="15" t="inlineStr">
        <ns0:is>
          <ns0:t>beq t2, zero, 0x00000308</ns0:t>
        </ns0:is>
      </ns0:c>
      <ns0:c r="F196" s="15" t="inlineStr">
        <ns0:is>
          <ns0:t>1100011</ns0:t>
        </ns0:is>
      </ns0:c>
      <ns0:c r="G196" s="15" t="inlineStr">
        <ns0:is>
          <ns0:t>0000 0000 0000 0011 1000 1000 0110 0011</ns0:t>
        </ns0:is>
      </ns0:c>
      <ns0:c r="H196" t="inlineStr">
        <ns0:is>
          <ns0:t>КОД</ns0:t>
        </ns0:is>
      </ns0:c>
      <ns0:c r="I196">
        <ns0:f>COUNTIF('ДАННЫЕ T3'!$F$6:$F$286,B196)</ns0:f>
        <ns0:v>0</ns0:v>
      </ns0:c>
      <ns0:c r="J196" t="str">
        <ns0:f>IF(I196&gt;0,"FETCH зарегистрирован","Нет FETCH в окне")</ns0:f>
        <ns0:v>Нет FETCH в окне</ns0:v>
      </ns0:c>
    </ns0:row>
    <ns0:row r="197">
      <ns0:c r="A197" t="n">
        <ns0:v>191</ns0:v>
      </ns0:c>
      <ns0:c r="B197" s="15" t="inlineStr">
        <ns0:is>
          <ns0:t>0x000002FC</ns0:t>
        </ns0:is>
      </ns0:c>
      <ns0:c r="C197" s="15" t="inlineStr">
        <ns0:is>
          <ns0:t>0x03030313</ns0:t>
        </ns0:is>
      </ns0:c>
      <ns0:c r="D197" t="inlineStr">
        <ns0:is>
          <ns0:t>addi</ns0:t>
        </ns0:is>
      </ns0:c>
      <ns0:c r="E197" s="15" t="inlineStr">
        <ns0:is>
          <ns0:t>addi t1, t1, 48</ns0:t>
        </ns0:is>
      </ns0:c>
      <ns0:c r="F197" s="15" t="inlineStr">
        <ns0:is>
          <ns0:t>0010011</ns0:t>
        </ns0:is>
      </ns0:c>
      <ns0:c r="G197" s="15" t="inlineStr">
        <ns0:is>
          <ns0:t>0000 0011 0000 0011 0000 0011 0001 0011</ns0:t>
        </ns0:is>
      </ns0:c>
      <ns0:c r="H197" t="inlineStr">
        <ns0:is>
          <ns0:t>КОД</ns0:t>
        </ns0:is>
      </ns0:c>
      <ns0:c r="I197">
        <ns0:f>COUNTIF('ДАННЫЕ T3'!$F$6:$F$286,B197)</ns0:f>
        <ns0:v>0</ns0:v>
      </ns0:c>
      <ns0:c r="J197" t="str">
        <ns0:f>IF(I197&gt;0,"FETCH зарегистрирован","Нет FETCH в окне")</ns0:f>
        <ns0:v>Нет FETCH в окне</ns0:v>
      </ns0:c>
    </ns0:row>
    <ns0:row r="198">
      <ns0:c r="A198" t="n">
        <ns0:v>192</ns0:v>
      </ns0:c>
      <ns0:c r="B198" s="15" t="inlineStr">
        <ns0:is>
          <ns0:t>0x00000300</ns0:t>
        </ns0:is>
      </ns0:c>
      <ns0:c r="C198" s="15" t="inlineStr">
        <ns0:is>
          <ns0:t>0x014000EF</ns0:t>
        </ns0:is>
      </ns0:c>
      <ns0:c r="D198" t="inlineStr">
        <ns0:is>
          <ns0:t>jal</ns0:t>
        </ns0:is>
      </ns0:c>
      <ns0:c r="E198" s="15" t="inlineStr">
        <ns0:is>
          <ns0:t>jal ra, 0x00000314</ns0:t>
        </ns0:is>
      </ns0:c>
      <ns0:c r="F198" s="15" t="inlineStr">
        <ns0:is>
          <ns0:t>1101111</ns0:t>
        </ns0:is>
      </ns0:c>
      <ns0:c r="G198" s="15" t="inlineStr">
        <ns0:is>
          <ns0:t>0000 0001 0100 0000 0000 0000 1110 1111</ns0:t>
        </ns0:is>
      </ns0:c>
      <ns0:c r="H198" t="inlineStr">
        <ns0:is>
          <ns0:t>КОД</ns0:t>
        </ns0:is>
      </ns0:c>
      <ns0:c r="I198">
        <ns0:f>COUNTIF('ДАННЫЕ T3'!$F$6:$F$286,B198)</ns0:f>
        <ns0:v>0</ns0:v>
      </ns0:c>
      <ns0:c r="J198" t="str">
        <ns0:f>IF(I198&gt;0,"FETCH зарегистрирован","Нет FETCH в окне")</ns0:f>
        <ns0:v>Нет FETCH в окне</ns0:v>
      </ns0:c>
    </ns0:row>
    <ns0:row r="199">
      <ns0:c r="A199" t="n">
        <ns0:v>193</ns0:v>
      </ns0:c>
      <ns0:c r="B199" s="15" t="inlineStr">
        <ns0:is>
          <ns0:t>0x00000304</ns0:t>
        </ns0:is>
      </ns0:c>
      <ns0:c r="C199" s="15" t="inlineStr">
        <ns0:is>
          <ns0:t>0x000B0067</ns0:t>
        </ns0:is>
      </ns0:c>
      <ns0:c r="D199" t="inlineStr">
        <ns0:is>
          <ns0:t>jalr</ns0:t>
        </ns0:is>
      </ns0:c>
      <ns0:c r="E199" s="15" t="inlineStr">
        <ns0:is>
          <ns0:t>jalr zero, 0(s6)</ns0:t>
        </ns0:is>
      </ns0:c>
      <ns0:c r="F199" s="15" t="inlineStr">
        <ns0:is>
          <ns0:t>1100111</ns0:t>
        </ns0:is>
      </ns0:c>
      <ns0:c r="G199" s="15" t="inlineStr">
        <ns0:is>
          <ns0:t>0000 0000 0000 1011 0000 0000 0110 0111</ns0:t>
        </ns0:is>
      </ns0:c>
      <ns0:c r="H199" t="inlineStr">
        <ns0:is>
          <ns0:t>КОД</ns0:t>
        </ns0:is>
      </ns0:c>
      <ns0:c r="I199">
        <ns0:f>COUNTIF('ДАННЫЕ T3'!$F$6:$F$286,B199)</ns0:f>
        <ns0:v>0</ns0:v>
      </ns0:c>
      <ns0:c r="J199" t="str">
        <ns0:f>IF(I199&gt;0,"FETCH зарегистрирован","Нет FETCH в окне")</ns0:f>
        <ns0:v>Нет FETCH в окне</ns0:v>
      </ns0:c>
    </ns0:row>
    <ns0:row r="200">
      <ns0:c r="A200" t="n">
        <ns0:v>194</ns0:v>
      </ns0:c>
      <ns0:c r="B200" s="15" t="inlineStr">
        <ns0:is>
          <ns0:t>0x00000308</ns0:t>
        </ns0:is>
      </ns0:c>
      <ns0:c r="C200" s="15" t="inlineStr">
        <ns0:is>
          <ns0:t>0x05730313</ns0:t>
        </ns0:is>
      </ns0:c>
      <ns0:c r="D200" t="inlineStr">
        <ns0:is>
          <ns0:t>addi</ns0:t>
        </ns0:is>
      </ns0:c>
      <ns0:c r="E200" s="15" t="inlineStr">
        <ns0:is>
          <ns0:t>addi t1, t1, 87</ns0:t>
        </ns0:is>
      </ns0:c>
      <ns0:c r="F200" s="15" t="inlineStr">
        <ns0:is>
          <ns0:t>0010011</ns0:t>
        </ns0:is>
      </ns0:c>
      <ns0:c r="G200" s="15" t="inlineStr">
        <ns0:is>
          <ns0:t>0000 0101 0111 0011 0000 0011 0001 0011</ns0:t>
        </ns0:is>
      </ns0:c>
      <ns0:c r="H200" t="inlineStr">
        <ns0:is>
          <ns0:t>КОД</ns0:t>
        </ns0:is>
      </ns0:c>
      <ns0:c r="I200">
        <ns0:f>COUNTIF('ДАННЫЕ T3'!$F$6:$F$286,B200)</ns0:f>
        <ns0:v>0</ns0:v>
      </ns0:c>
      <ns0:c r="J200" t="str">
        <ns0:f>IF(I200&gt;0,"FETCH зарегистрирован","Нет FETCH в окне")</ns0:f>
        <ns0:v>Нет FETCH в окне</ns0:v>
      </ns0:c>
    </ns0:row>
    <ns0:row r="201">
      <ns0:c r="A201" t="n">
        <ns0:v>195</ns0:v>
      </ns0:c>
      <ns0:c r="B201" s="15" t="inlineStr">
        <ns0:is>
          <ns0:t>0x0000030C</ns0:t>
        </ns0:is>
      </ns0:c>
      <ns0:c r="C201" s="15" t="inlineStr">
        <ns0:is>
          <ns0:t>0x008000EF</ns0:t>
        </ns0:is>
      </ns0:c>
      <ns0:c r="D201" t="inlineStr">
        <ns0:is>
          <ns0:t>jal</ns0:t>
        </ns0:is>
      </ns0:c>
      <ns0:c r="E201" s="15" t="inlineStr">
        <ns0:is>
          <ns0:t>jal ra, 0x00000314</ns0:t>
        </ns0:is>
      </ns0:c>
      <ns0:c r="F201" s="15" t="inlineStr">
        <ns0:is>
          <ns0:t>1101111</ns0:t>
        </ns0:is>
      </ns0:c>
      <ns0:c r="G201" s="15" t="inlineStr">
        <ns0:is>
          <ns0:t>0000 0000 1000 0000 0000 0000 1110 1111</ns0:t>
        </ns0:is>
      </ns0:c>
      <ns0:c r="H201" t="inlineStr">
        <ns0:is>
          <ns0:t>КОД</ns0:t>
        </ns0:is>
      </ns0:c>
      <ns0:c r="I201">
        <ns0:f>COUNTIF('ДАННЫЕ T3'!$F$6:$F$286,B201)</ns0:f>
        <ns0:v>0</ns0:v>
      </ns0:c>
      <ns0:c r="J201" t="str">
        <ns0:f>IF(I201&gt;0,"FETCH зарегистрирован","Нет FETCH в окне")</ns0:f>
        <ns0:v>Нет FETCH в окне</ns0:v>
      </ns0:c>
    </ns0:row>
    <ns0:row r="202">
      <ns0:c r="A202" t="n">
        <ns0:v>196</ns0:v>
      </ns0:c>
      <ns0:c r="B202" s="15" t="inlineStr">
        <ns0:is>
          <ns0:t>0x00000310</ns0:t>
        </ns0:is>
      </ns0:c>
      <ns0:c r="C202" s="15" t="inlineStr">
        <ns0:is>
          <ns0:t>0x000B0067</ns0:t>
        </ns0:is>
      </ns0:c>
      <ns0:c r="D202" t="inlineStr">
        <ns0:is>
          <ns0:t>jalr</ns0:t>
        </ns0:is>
      </ns0:c>
      <ns0:c r="E202" s="15" t="inlineStr">
        <ns0:is>
          <ns0:t>jalr zero, 0(s6)</ns0:t>
        </ns0:is>
      </ns0:c>
      <ns0:c r="F202" s="15" t="inlineStr">
        <ns0:is>
          <ns0:t>1100111</ns0:t>
        </ns0:is>
      </ns0:c>
      <ns0:c r="G202" s="15" t="inlineStr">
        <ns0:is>
          <ns0:t>0000 0000 0000 1011 0000 0000 0110 0111</ns0:t>
        </ns0:is>
      </ns0:c>
      <ns0:c r="H202" t="inlineStr">
        <ns0:is>
          <ns0:t>КОД</ns0:t>
        </ns0:is>
      </ns0:c>
      <ns0:c r="I202">
        <ns0:f>COUNTIF('ДАННЫЕ T3'!$F$6:$F$286,B202)</ns0:f>
        <ns0:v>0</ns0:v>
      </ns0:c>
      <ns0:c r="J202" t="str">
        <ns0:f>IF(I202&gt;0,"FETCH зарегистрирован","Нет FETCH в окне")</ns0:f>
        <ns0:v>Нет FETCH в окне</ns0:v>
      </ns0:c>
    </ns0:row>
    <ns0:row r="203">
      <ns0:c r="A203" t="n">
        <ns0:v>197</ns0:v>
      </ns0:c>
      <ns0:c r="B203" s="15" t="inlineStr">
        <ns0:is>
          <ns0:t>0x00000314</ns0:t>
        </ns0:is>
      </ns0:c>
      <ns0:c r="C203" s="15" t="inlineStr">
        <ns0:is>
          <ns0:t>0x0142A383</ns0:t>
        </ns0:is>
      </ns0:c>
      <ns0:c r="D203" t="inlineStr">
        <ns0:is>
          <ns0:t>lw</ns0:t>
        </ns0:is>
      </ns0:c>
      <ns0:c r="E203" s="15" t="inlineStr">
        <ns0:is>
          <ns0:t>lw t2, 20(t0)</ns0:t>
        </ns0:is>
      </ns0:c>
      <ns0:c r="F203" s="15" t="inlineStr">
        <ns0:is>
          <ns0:t>0000011</ns0:t>
        </ns0:is>
      </ns0:c>
      <ns0:c r="G203" s="15" t="inlineStr">
        <ns0:is>
          <ns0:t>0000 0001 0100 0010 1010 0011 1000 0011</ns0:t>
        </ns0:is>
      </ns0:c>
      <ns0:c r="H203" t="inlineStr">
        <ns0:is>
          <ns0:t>КОД</ns0:t>
        </ns0:is>
      </ns0:c>
      <ns0:c r="I203">
        <ns0:f>COUNTIF('ДАННЫЕ T3'!$F$6:$F$286,B203)</ns0:f>
        <ns0:v>0</ns0:v>
      </ns0:c>
      <ns0:c r="J203" t="str">
        <ns0:f>IF(I203&gt;0,"FETCH зарегистрирован","Нет FETCH в окне")</ns0:f>
        <ns0:v>Нет FETCH в окне</ns0:v>
      </ns0:c>
    </ns0:row>
    <ns0:row r="204">
      <ns0:c r="A204" t="n">
        <ns0:v>198</ns0:v>
      </ns0:c>
      <ns0:c r="B204" s="15" t="inlineStr">
        <ns0:is>
          <ns0:t>0x00000318</ns0:t>
        </ns0:is>
      </ns0:c>
      <ns0:c r="C204" s="15" t="inlineStr">
        <ns0:is>
          <ns0:t>0x0013F393</ns0:t>
        </ns0:is>
      </ns0:c>
      <ns0:c r="D204" t="inlineStr">
        <ns0:is>
          <ns0:t>andi</ns0:t>
        </ns0:is>
      </ns0:c>
      <ns0:c r="E204" s="15" t="inlineStr">
        <ns0:is>
          <ns0:t>andi t2, t2, 1</ns0:t>
        </ns0:is>
      </ns0:c>
      <ns0:c r="F204" s="15" t="inlineStr">
        <ns0:is>
          <ns0:t>0010011</ns0:t>
        </ns0:is>
      </ns0:c>
      <ns0:c r="G204" s="15" t="inlineStr">
        <ns0:is>
          <ns0:t>0000 0000 0001 0011 1111 0011 1001 0011</ns0:t>
        </ns0:is>
      </ns0:c>
      <ns0:c r="H204" t="inlineStr">
        <ns0:is>
          <ns0:t>КОД</ns0:t>
        </ns0:is>
      </ns0:c>
      <ns0:c r="I204">
        <ns0:f>COUNTIF('ДАННЫЕ T3'!$F$6:$F$286,B204)</ns0:f>
        <ns0:v>0</ns0:v>
      </ns0:c>
      <ns0:c r="J204" t="str">
        <ns0:f>IF(I204&gt;0,"FETCH зарегистрирован","Нет FETCH в окне")</ns0:f>
        <ns0:v>Нет FETCH в окне</ns0:v>
      </ns0:c>
    </ns0:row>
    <ns0:row r="205">
      <ns0:c r="A205" t="n">
        <ns0:v>199</ns0:v>
      </ns0:c>
      <ns0:c r="B205" s="15" t="inlineStr">
        <ns0:is>
          <ns0:t>0x0000031C</ns0:t>
        </ns0:is>
      </ns0:c>
      <ns0:c r="C205" s="15" t="inlineStr">
        <ns0:is>
          <ns0:t>0xFE038CE3</ns0:t>
        </ns0:is>
      </ns0:c>
      <ns0:c r="D205" t="inlineStr">
        <ns0:is>
          <ns0:t>beq</ns0:t>
        </ns0:is>
      </ns0:c>
      <ns0:c r="E205" s="15" t="inlineStr">
        <ns0:is>
          <ns0:t>beq t2, zero, 0x00000314</ns0:t>
        </ns0:is>
      </ns0:c>
      <ns0:c r="F205" s="15" t="inlineStr">
        <ns0:is>
          <ns0:t>1100011</ns0:t>
        </ns0:is>
      </ns0:c>
      <ns0:c r="G205" s="15" t="inlineStr">
        <ns0:is>
          <ns0:t>1111 1110 0000 0011 1000 1100 1110 0011</ns0:t>
        </ns0:is>
      </ns0:c>
      <ns0:c r="H205" t="inlineStr">
        <ns0:is>
          <ns0:t>КОД</ns0:t>
        </ns0:is>
      </ns0:c>
      <ns0:c r="I205">
        <ns0:f>COUNTIF('ДАННЫЕ T3'!$F$6:$F$286,B205)</ns0:f>
        <ns0:v>0</ns0:v>
      </ns0:c>
      <ns0:c r="J205" t="str">
        <ns0:f>IF(I205&gt;0,"FETCH зарегистрирован","Нет FETCH в окне")</ns0:f>
        <ns0:v>Нет FETCH в окне</ns0:v>
      </ns0:c>
    </ns0:row>
    <ns0:row r="206">
      <ns0:c r="A206" t="n">
        <ns0:v>200</ns0:v>
      </ns0:c>
      <ns0:c r="B206" s="15" t="inlineStr">
        <ns0:is>
          <ns0:t>0x00000320</ns0:t>
        </ns0:is>
      </ns0:c>
      <ns0:c r="C206" s="15" t="inlineStr">
        <ns0:is>
          <ns0:t>0x0062A823</ns0:t>
        </ns0:is>
      </ns0:c>
      <ns0:c r="D206" t="inlineStr">
        <ns0:is>
          <ns0:t>sw</ns0:t>
        </ns0:is>
      </ns0:c>
      <ns0:c r="E206" s="15" t="inlineStr">
        <ns0:is>
          <ns0:t>sw t1, 16(t0)</ns0:t>
        </ns0:is>
      </ns0:c>
      <ns0:c r="F206" s="15" t="inlineStr">
        <ns0:is>
          <ns0:t>0100011</ns0:t>
        </ns0:is>
      </ns0:c>
      <ns0:c r="G206" s="15" t="inlineStr">
        <ns0:is>
          <ns0:t>0000 0000 0110 0010 1010 1000 0010 0011</ns0:t>
        </ns0:is>
      </ns0:c>
      <ns0:c r="H206" t="inlineStr">
        <ns0:is>
          <ns0:t>КОД</ns0:t>
        </ns0:is>
      </ns0:c>
      <ns0:c r="I206">
        <ns0:f>COUNTIF('ДАННЫЕ T3'!$F$6:$F$286,B206)</ns0:f>
        <ns0:v>0</ns0:v>
      </ns0:c>
      <ns0:c r="J206" t="str">
        <ns0:f>IF(I206&gt;0,"FETCH зарегистрирован","Нет FETCH в окне")</ns0:f>
        <ns0:v>Нет FETCH в окне</ns0:v>
      </ns0:c>
    </ns0:row>
    <ns0:row r="207">
      <ns0:c r="A207" t="n">
        <ns0:v>201</ns0:v>
      </ns0:c>
      <ns0:c r="B207" s="15" t="inlineStr">
        <ns0:is>
          <ns0:t>0x00000324</ns0:t>
        </ns0:is>
      </ns0:c>
      <ns0:c r="C207" s="15" t="inlineStr">
        <ns0:is>
          <ns0:t>0x00008067</ns0:t>
        </ns0:is>
      </ns0:c>
      <ns0:c r="D207" t="inlineStr">
        <ns0:is>
          <ns0:t>jalr</ns0:t>
        </ns0:is>
      </ns0:c>
      <ns0:c r="E207" s="15" t="inlineStr">
        <ns0:is>
          <ns0:t>jalr zero, 0(ra)</ns0:t>
        </ns0:is>
      </ns0:c>
      <ns0:c r="F207" s="15" t="inlineStr">
        <ns0:is>
          <ns0:t>1100111</ns0:t>
        </ns0:is>
      </ns0:c>
      <ns0:c r="G207" s="15" t="inlineStr">
        <ns0:is>
          <ns0:t>0000 0000 0000 0000 1000 0000 0110 0111</ns0:t>
        </ns0:is>
      </ns0:c>
      <ns0:c r="H207" t="inlineStr">
        <ns0:is>
          <ns0:t>КОД</ns0:t>
        </ns0:is>
      </ns0:c>
      <ns0:c r="I207">
        <ns0:f>COUNTIF('ДАННЫЕ T3'!$F$6:$F$286,B207)</ns0:f>
        <ns0:v>0</ns0:v>
      </ns0:c>
      <ns0:c r="J207" t="str">
        <ns0:f>IF(I207&gt;0,"FETCH зарегистрирован","Нет FETCH в окне")</ns0:f>
        <ns0:v>Нет FETCH в окне</ns0:v>
      </ns0:c>
    </ns0:row>
    <ns0:row r="208">
      <ns0:c r="A208" s="21" t="n">
        <ns0:v>202</ns0:v>
      </ns0:c>
      <ns0:c r="B208" s="22" t="inlineStr">
        <ns0:is>
          <ns0:t>0x00000328</ns0:t>
        </ns0:is>
      </ns0:c>
      <ns0:c r="C208" s="22" t="inlineStr">
        <ns0:is>
          <ns0:t>0x00000013</ns0:t>
        </ns0:is>
      </ns0:c>
      <ns0:c r="D208" s="21" t="inlineStr">
        <ns0:is>
          <ns0:t>nop</ns0:t>
        </ns0:is>
      </ns0:c>
      <ns0:c r="E208" s="22" t="inlineStr">
        <ns0:is>
          <ns0:t>nop</ns0:t>
        </ns0:is>
      </ns0:c>
      <ns0:c r="F208" s="22" t="inlineStr">
        <ns0:is>
          <ns0:t>0010011</ns0:t>
        </ns0:is>
      </ns0:c>
      <ns0:c r="G208" s="22" t="inlineStr">
        <ns0:is>
          <ns0:t>0000 0000 0000 0000 0000 0000 0001 0011</ns0:t>
        </ns0:is>
      </ns0:c>
      <ns0:c r="H208" s="21" t="inlineStr">
        <ns0:is>
          <ns0:t>NOP / PADDING</ns0:t>
        </ns0:is>
      </ns0:c>
      <ns0:c r="I208" s="21">
        <ns0:f>COUNTIF('ДАННЫЕ T3'!$F$6:$F$286,B208)</ns0:f>
        <ns0:v>0</ns0:v>
      </ns0:c>
      <ns0:c r="J208" s="21" t="str">
        <ns0:f>IF(I208&gt;0,"FETCH зарегистрирован","Нет FETCH в окне")</ns0:f>
        <ns0:v>Нет FETCH в окне</ns0:v>
      </ns0:c>
    </ns0:row>
    <ns0:row r="209">
      <ns0:c r="A209" s="21" t="n">
        <ns0:v>203</ns0:v>
      </ns0:c>
      <ns0:c r="B209" s="22" t="inlineStr">
        <ns0:is>
          <ns0:t>0x0000032C</ns0:t>
        </ns0:is>
      </ns0:c>
      <ns0:c r="C209" s="22" t="inlineStr">
        <ns0:is>
          <ns0:t>0x00000013</ns0:t>
        </ns0:is>
      </ns0:c>
      <ns0:c r="D209" s="21" t="inlineStr">
        <ns0:is>
          <ns0:t>nop</ns0:t>
        </ns0:is>
      </ns0:c>
      <ns0:c r="E209" s="22" t="inlineStr">
        <ns0:is>
          <ns0:t>nop</ns0:t>
        </ns0:is>
      </ns0:c>
      <ns0:c r="F209" s="22" t="inlineStr">
        <ns0:is>
          <ns0:t>0010011</ns0:t>
        </ns0:is>
      </ns0:c>
      <ns0:c r="G209" s="22" t="inlineStr">
        <ns0:is>
          <ns0:t>0000 0000 0000 0000 0000 0000 0001 0011</ns0:t>
        </ns0:is>
      </ns0:c>
      <ns0:c r="H209" s="21" t="inlineStr">
        <ns0:is>
          <ns0:t>NOP / PADDING</ns0:t>
        </ns0:is>
      </ns0:c>
      <ns0:c r="I209" s="21">
        <ns0:f>COUNTIF('ДАННЫЕ T3'!$F$6:$F$286,B209)</ns0:f>
        <ns0:v>0</ns0:v>
      </ns0:c>
      <ns0:c r="J209" s="21" t="str">
        <ns0:f>IF(I209&gt;0,"FETCH зарегистрирован","Нет FETCH в окне")</ns0:f>
        <ns0:v>Нет FETCH в окне</ns0:v>
      </ns0:c>
    </ns0:row>
    <ns0:row r="210">
      <ns0:c r="A210" s="21" t="n">
        <ns0:v>204</ns0:v>
      </ns0:c>
      <ns0:c r="B210" s="22" t="inlineStr">
        <ns0:is>
          <ns0:t>0x00000330</ns0:t>
        </ns0:is>
      </ns0:c>
      <ns0:c r="C210" s="22" t="inlineStr">
        <ns0:is>
          <ns0:t>0x00000013</ns0:t>
        </ns0:is>
      </ns0:c>
      <ns0:c r="D210" s="21" t="inlineStr">
        <ns0:is>
          <ns0:t>nop</ns0:t>
        </ns0:is>
      </ns0:c>
      <ns0:c r="E210" s="22" t="inlineStr">
        <ns0:is>
          <ns0:t>nop</ns0:t>
        </ns0:is>
      </ns0:c>
      <ns0:c r="F210" s="22" t="inlineStr">
        <ns0:is>
          <ns0:t>0010011</ns0:t>
        </ns0:is>
      </ns0:c>
      <ns0:c r="G210" s="22" t="inlineStr">
        <ns0:is>
          <ns0:t>0000 0000 0000 0000 0000 0000 0001 0011</ns0:t>
        </ns0:is>
      </ns0:c>
      <ns0:c r="H210" s="21" t="inlineStr">
        <ns0:is>
          <ns0:t>NOP / PADDING</ns0:t>
        </ns0:is>
      </ns0:c>
      <ns0:c r="I210" s="21">
        <ns0:f>COUNTIF('ДАННЫЕ T3'!$F$6:$F$286,B210)</ns0:f>
        <ns0:v>0</ns0:v>
      </ns0:c>
      <ns0:c r="J210" s="21" t="str">
        <ns0:f>IF(I210&gt;0,"FETCH зарегистрирован","Нет FETCH в окне")</ns0:f>
        <ns0:v>Нет FETCH в окне</ns0:v>
      </ns0:c>
    </ns0:row>
    <ns0:row r="211">
      <ns0:c r="A211" s="21" t="n">
        <ns0:v>205</ns0:v>
      </ns0:c>
      <ns0:c r="B211" s="22" t="inlineStr">
        <ns0:is>
          <ns0:t>0x00000334</ns0:t>
        </ns0:is>
      </ns0:c>
      <ns0:c r="C211" s="22" t="inlineStr">
        <ns0:is>
          <ns0:t>0x00000013</ns0:t>
        </ns0:is>
      </ns0:c>
      <ns0:c r="D211" s="21" t="inlineStr">
        <ns0:is>
          <ns0:t>nop</ns0:t>
        </ns0:is>
      </ns0:c>
      <ns0:c r="E211" s="22" t="inlineStr">
        <ns0:is>
          <ns0:t>nop</ns0:t>
        </ns0:is>
      </ns0:c>
      <ns0:c r="F211" s="22" t="inlineStr">
        <ns0:is>
          <ns0:t>0010011</ns0:t>
        </ns0:is>
      </ns0:c>
      <ns0:c r="G211" s="22" t="inlineStr">
        <ns0:is>
          <ns0:t>0000 0000 0000 0000 0000 0000 0001 0011</ns0:t>
        </ns0:is>
      </ns0:c>
      <ns0:c r="H211" s="21" t="inlineStr">
        <ns0:is>
          <ns0:t>NOP / PADDING</ns0:t>
        </ns0:is>
      </ns0:c>
      <ns0:c r="I211" s="21">
        <ns0:f>COUNTIF('ДАННЫЕ T3'!$F$6:$F$286,B211)</ns0:f>
        <ns0:v>0</ns0:v>
      </ns0:c>
      <ns0:c r="J211" s="21" t="str">
        <ns0:f>IF(I211&gt;0,"FETCH зарегистрирован","Нет FETCH в окне")</ns0:f>
        <ns0:v>Нет FETCH в окне</ns0:v>
      </ns0:c>
    </ns0:row>
    <ns0:row r="212">
      <ns0:c r="A212" s="21" t="n">
        <ns0:v>206</ns0:v>
      </ns0:c>
      <ns0:c r="B212" s="22" t="inlineStr">
        <ns0:is>
          <ns0:t>0x00000338</ns0:t>
        </ns0:is>
      </ns0:c>
      <ns0:c r="C212" s="22" t="inlineStr">
        <ns0:is>
          <ns0:t>0x00000013</ns0:t>
        </ns0:is>
      </ns0:c>
      <ns0:c r="D212" s="21" t="inlineStr">
        <ns0:is>
          <ns0:t>nop</ns0:t>
        </ns0:is>
      </ns0:c>
      <ns0:c r="E212" s="22" t="inlineStr">
        <ns0:is>
          <ns0:t>nop</ns0:t>
        </ns0:is>
      </ns0:c>
      <ns0:c r="F212" s="22" t="inlineStr">
        <ns0:is>
          <ns0:t>0010011</ns0:t>
        </ns0:is>
      </ns0:c>
      <ns0:c r="G212" s="22" t="inlineStr">
        <ns0:is>
          <ns0:t>0000 0000 0000 0000 0000 0000 0001 0011</ns0:t>
        </ns0:is>
      </ns0:c>
      <ns0:c r="H212" s="21" t="inlineStr">
        <ns0:is>
          <ns0:t>NOP / PADDING</ns0:t>
        </ns0:is>
      </ns0:c>
      <ns0:c r="I212" s="21">
        <ns0:f>COUNTIF('ДАННЫЕ T3'!$F$6:$F$286,B212)</ns0:f>
        <ns0:v>0</ns0:v>
      </ns0:c>
      <ns0:c r="J212" s="21" t="str">
        <ns0:f>IF(I212&gt;0,"FETCH зарегистрирован","Нет FETCH в окне")</ns0:f>
        <ns0:v>Нет FETCH в окне</ns0:v>
      </ns0:c>
    </ns0:row>
    <ns0:row r="213">
      <ns0:c r="A213" s="21" t="n">
        <ns0:v>207</ns0:v>
      </ns0:c>
      <ns0:c r="B213" s="22" t="inlineStr">
        <ns0:is>
          <ns0:t>0x0000033C</ns0:t>
        </ns0:is>
      </ns0:c>
      <ns0:c r="C213" s="22" t="inlineStr">
        <ns0:is>
          <ns0:t>0x00000013</ns0:t>
        </ns0:is>
      </ns0:c>
      <ns0:c r="D213" s="21" t="inlineStr">
        <ns0:is>
          <ns0:t>nop</ns0:t>
        </ns0:is>
      </ns0:c>
      <ns0:c r="E213" s="22" t="inlineStr">
        <ns0:is>
          <ns0:t>nop</ns0:t>
        </ns0:is>
      </ns0:c>
      <ns0:c r="F213" s="22" t="inlineStr">
        <ns0:is>
          <ns0:t>0010011</ns0:t>
        </ns0:is>
      </ns0:c>
      <ns0:c r="G213" s="22" t="inlineStr">
        <ns0:is>
          <ns0:t>0000 0000 0000 0000 0000 0000 0001 0011</ns0:t>
        </ns0:is>
      </ns0:c>
      <ns0:c r="H213" s="21" t="inlineStr">
        <ns0:is>
          <ns0:t>NOP / PADDING</ns0:t>
        </ns0:is>
      </ns0:c>
      <ns0:c r="I213" s="21">
        <ns0:f>COUNTIF('ДАННЫЕ T3'!$F$6:$F$286,B213)</ns0:f>
        <ns0:v>0</ns0:v>
      </ns0:c>
      <ns0:c r="J213" s="21" t="str">
        <ns0:f>IF(I213&gt;0,"FETCH зарегистрирован","Нет FETCH в окне")</ns0:f>
        <ns0:v>Нет FETCH в окне</ns0:v>
      </ns0:c>
    </ns0:row>
    <ns0:row r="214">
      <ns0:c r="A214" s="21" t="n">
        <ns0:v>208</ns0:v>
      </ns0:c>
      <ns0:c r="B214" s="22" t="inlineStr">
        <ns0:is>
          <ns0:t>0x00000340</ns0:t>
        </ns0:is>
      </ns0:c>
      <ns0:c r="C214" s="22" t="inlineStr">
        <ns0:is>
          <ns0:t>0x00000013</ns0:t>
        </ns0:is>
      </ns0:c>
      <ns0:c r="D214" s="21" t="inlineStr">
        <ns0:is>
          <ns0:t>nop</ns0:t>
        </ns0:is>
      </ns0:c>
      <ns0:c r="E214" s="22" t="inlineStr">
        <ns0:is>
          <ns0:t>nop</ns0:t>
        </ns0:is>
      </ns0:c>
      <ns0:c r="F214" s="22" t="inlineStr">
        <ns0:is>
          <ns0:t>0010011</ns0:t>
        </ns0:is>
      </ns0:c>
      <ns0:c r="G214" s="22" t="inlineStr">
        <ns0:is>
          <ns0:t>0000 0000 0000 0000 0000 0000 0001 0011</ns0:t>
        </ns0:is>
      </ns0:c>
      <ns0:c r="H214" s="21" t="inlineStr">
        <ns0:is>
          <ns0:t>NOP / PADDING</ns0:t>
        </ns0:is>
      </ns0:c>
      <ns0:c r="I214" s="21">
        <ns0:f>COUNTIF('ДАННЫЕ T3'!$F$6:$F$286,B214)</ns0:f>
        <ns0:v>0</ns0:v>
      </ns0:c>
      <ns0:c r="J214" s="21" t="str">
        <ns0:f>IF(I214&gt;0,"FETCH зарегистрирован","Нет FETCH в окне")</ns0:f>
        <ns0:v>Нет FETCH в окне</ns0:v>
      </ns0:c>
    </ns0:row>
    <ns0:row r="215">
      <ns0:c r="A215" s="21" t="n">
        <ns0:v>209</ns0:v>
      </ns0:c>
      <ns0:c r="B215" s="22" t="inlineStr">
        <ns0:is>
          <ns0:t>0x00000344</ns0:t>
        </ns0:is>
      </ns0:c>
      <ns0:c r="C215" s="22" t="inlineStr">
        <ns0:is>
          <ns0:t>0x00000013</ns0:t>
        </ns0:is>
      </ns0:c>
      <ns0:c r="D215" s="21" t="inlineStr">
        <ns0:is>
          <ns0:t>nop</ns0:t>
        </ns0:is>
      </ns0:c>
      <ns0:c r="E215" s="22" t="inlineStr">
        <ns0:is>
          <ns0:t>nop</ns0:t>
        </ns0:is>
      </ns0:c>
      <ns0:c r="F215" s="22" t="inlineStr">
        <ns0:is>
          <ns0:t>0010011</ns0:t>
        </ns0:is>
      </ns0:c>
      <ns0:c r="G215" s="22" t="inlineStr">
        <ns0:is>
          <ns0:t>0000 0000 0000 0000 0000 0000 0001 0011</ns0:t>
        </ns0:is>
      </ns0:c>
      <ns0:c r="H215" s="21" t="inlineStr">
        <ns0:is>
          <ns0:t>NOP / PADDING</ns0:t>
        </ns0:is>
      </ns0:c>
      <ns0:c r="I215" s="21">
        <ns0:f>COUNTIF('ДАННЫЕ T3'!$F$6:$F$286,B215)</ns0:f>
        <ns0:v>0</ns0:v>
      </ns0:c>
      <ns0:c r="J215" s="21" t="str">
        <ns0:f>IF(I215&gt;0,"FETCH зарегистрирован","Нет FETCH в окне")</ns0:f>
        <ns0:v>Нет FETCH в окне</ns0:v>
      </ns0:c>
    </ns0:row>
    <ns0:row r="216">
      <ns0:c r="A216" s="21" t="n">
        <ns0:v>210</ns0:v>
      </ns0:c>
      <ns0:c r="B216" s="22" t="inlineStr">
        <ns0:is>
          <ns0:t>0x00000348</ns0:t>
        </ns0:is>
      </ns0:c>
      <ns0:c r="C216" s="22" t="inlineStr">
        <ns0:is>
          <ns0:t>0x00000013</ns0:t>
        </ns0:is>
      </ns0:c>
      <ns0:c r="D216" s="21" t="inlineStr">
        <ns0:is>
          <ns0:t>nop</ns0:t>
        </ns0:is>
      </ns0:c>
      <ns0:c r="E216" s="22" t="inlineStr">
        <ns0:is>
          <ns0:t>nop</ns0:t>
        </ns0:is>
      </ns0:c>
      <ns0:c r="F216" s="22" t="inlineStr">
        <ns0:is>
          <ns0:t>0010011</ns0:t>
        </ns0:is>
      </ns0:c>
      <ns0:c r="G216" s="22" t="inlineStr">
        <ns0:is>
          <ns0:t>0000 0000 0000 0000 0000 0000 0001 0011</ns0:t>
        </ns0:is>
      </ns0:c>
      <ns0:c r="H216" s="21" t="inlineStr">
        <ns0:is>
          <ns0:t>NOP / PADDING</ns0:t>
        </ns0:is>
      </ns0:c>
      <ns0:c r="I216" s="21">
        <ns0:f>COUNTIF('ДАННЫЕ T3'!$F$6:$F$286,B216)</ns0:f>
        <ns0:v>0</ns0:v>
      </ns0:c>
      <ns0:c r="J216" s="21" t="str">
        <ns0:f>IF(I216&gt;0,"FETCH зарегистрирован","Нет FETCH в окне")</ns0:f>
        <ns0:v>Нет FETCH в окне</ns0:v>
      </ns0:c>
    </ns0:row>
    <ns0:row r="217">
      <ns0:c r="A217" s="21" t="n">
        <ns0:v>211</ns0:v>
      </ns0:c>
      <ns0:c r="B217" s="22" t="inlineStr">
        <ns0:is>
          <ns0:t>0x0000034C</ns0:t>
        </ns0:is>
      </ns0:c>
      <ns0:c r="C217" s="22" t="inlineStr">
        <ns0:is>
          <ns0:t>0x00000013</ns0:t>
        </ns0:is>
      </ns0:c>
      <ns0:c r="D217" s="21" t="inlineStr">
        <ns0:is>
          <ns0:t>nop</ns0:t>
        </ns0:is>
      </ns0:c>
      <ns0:c r="E217" s="22" t="inlineStr">
        <ns0:is>
          <ns0:t>nop</ns0:t>
        </ns0:is>
      </ns0:c>
      <ns0:c r="F217" s="22" t="inlineStr">
        <ns0:is>
          <ns0:t>0010011</ns0:t>
        </ns0:is>
      </ns0:c>
      <ns0:c r="G217" s="22" t="inlineStr">
        <ns0:is>
          <ns0:t>0000 0000 0000 0000 0000 0000 0001 0011</ns0:t>
        </ns0:is>
      </ns0:c>
      <ns0:c r="H217" s="21" t="inlineStr">
        <ns0:is>
          <ns0:t>NOP / PADDING</ns0:t>
        </ns0:is>
      </ns0:c>
      <ns0:c r="I217" s="21">
        <ns0:f>COUNTIF('ДАННЫЕ T3'!$F$6:$F$286,B217)</ns0:f>
        <ns0:v>0</ns0:v>
      </ns0:c>
      <ns0:c r="J217" s="21" t="str">
        <ns0:f>IF(I217&gt;0,"FETCH зарегистрирован","Нет FETCH в окне")</ns0:f>
        <ns0:v>Нет FETCH в окне</ns0:v>
      </ns0:c>
    </ns0:row>
    <ns0:row r="218">
      <ns0:c r="A218" s="21" t="n">
        <ns0:v>212</ns0:v>
      </ns0:c>
      <ns0:c r="B218" s="22" t="inlineStr">
        <ns0:is>
          <ns0:t>0x00000350</ns0:t>
        </ns0:is>
      </ns0:c>
      <ns0:c r="C218" s="22" t="inlineStr">
        <ns0:is>
          <ns0:t>0x00000013</ns0:t>
        </ns0:is>
      </ns0:c>
      <ns0:c r="D218" s="21" t="inlineStr">
        <ns0:is>
          <ns0:t>nop</ns0:t>
        </ns0:is>
      </ns0:c>
      <ns0:c r="E218" s="22" t="inlineStr">
        <ns0:is>
          <ns0:t>nop</ns0:t>
        </ns0:is>
      </ns0:c>
      <ns0:c r="F218" s="22" t="inlineStr">
        <ns0:is>
          <ns0:t>0010011</ns0:t>
        </ns0:is>
      </ns0:c>
      <ns0:c r="G218" s="22" t="inlineStr">
        <ns0:is>
          <ns0:t>0000 0000 0000 0000 0000 0000 0001 0011</ns0:t>
        </ns0:is>
      </ns0:c>
      <ns0:c r="H218" s="21" t="inlineStr">
        <ns0:is>
          <ns0:t>NOP / PADDING</ns0:t>
        </ns0:is>
      </ns0:c>
      <ns0:c r="I218" s="21">
        <ns0:f>COUNTIF('ДАННЫЕ T3'!$F$6:$F$286,B218)</ns0:f>
        <ns0:v>0</ns0:v>
      </ns0:c>
      <ns0:c r="J218" s="21" t="str">
        <ns0:f>IF(I218&gt;0,"FETCH зарегистрирован","Нет FETCH в окне")</ns0:f>
        <ns0:v>Нет FETCH в окне</ns0:v>
      </ns0:c>
    </ns0:row>
    <ns0:row r="219">
      <ns0:c r="A219" s="21" t="n">
        <ns0:v>213</ns0:v>
      </ns0:c>
      <ns0:c r="B219" s="22" t="inlineStr">
        <ns0:is>
          <ns0:t>0x00000354</ns0:t>
        </ns0:is>
      </ns0:c>
      <ns0:c r="C219" s="22" t="inlineStr">
        <ns0:is>
          <ns0:t>0x00000013</ns0:t>
        </ns0:is>
      </ns0:c>
      <ns0:c r="D219" s="21" t="inlineStr">
        <ns0:is>
          <ns0:t>nop</ns0:t>
        </ns0:is>
      </ns0:c>
      <ns0:c r="E219" s="22" t="inlineStr">
        <ns0:is>
          <ns0:t>nop</ns0:t>
        </ns0:is>
      </ns0:c>
      <ns0:c r="F219" s="22" t="inlineStr">
        <ns0:is>
          <ns0:t>0010011</ns0:t>
        </ns0:is>
      </ns0:c>
      <ns0:c r="G219" s="22" t="inlineStr">
        <ns0:is>
          <ns0:t>0000 0000 0000 0000 0000 0000 0001 0011</ns0:t>
        </ns0:is>
      </ns0:c>
      <ns0:c r="H219" s="21" t="inlineStr">
        <ns0:is>
          <ns0:t>NOP / PADDING</ns0:t>
        </ns0:is>
      </ns0:c>
      <ns0:c r="I219" s="21">
        <ns0:f>COUNTIF('ДАННЫЕ T3'!$F$6:$F$286,B219)</ns0:f>
        <ns0:v>0</ns0:v>
      </ns0:c>
      <ns0:c r="J219" s="21" t="str">
        <ns0:f>IF(I219&gt;0,"FETCH зарегистрирован","Нет FETCH в окне")</ns0:f>
        <ns0:v>Нет FETCH в окне</ns0:v>
      </ns0:c>
    </ns0:row>
    <ns0:row r="220">
      <ns0:c r="A220" s="21" t="n">
        <ns0:v>214</ns0:v>
      </ns0:c>
      <ns0:c r="B220" s="22" t="inlineStr">
        <ns0:is>
          <ns0:t>0x00000358</ns0:t>
        </ns0:is>
      </ns0:c>
      <ns0:c r="C220" s="22" t="inlineStr">
        <ns0:is>
          <ns0:t>0x00000013</ns0:t>
        </ns0:is>
      </ns0:c>
      <ns0:c r="D220" s="21" t="inlineStr">
        <ns0:is>
          <ns0:t>nop</ns0:t>
        </ns0:is>
      </ns0:c>
      <ns0:c r="E220" s="22" t="inlineStr">
        <ns0:is>
          <ns0:t>nop</ns0:t>
        </ns0:is>
      </ns0:c>
      <ns0:c r="F220" s="22" t="inlineStr">
        <ns0:is>
          <ns0:t>0010011</ns0:t>
        </ns0:is>
      </ns0:c>
      <ns0:c r="G220" s="22" t="inlineStr">
        <ns0:is>
          <ns0:t>0000 0000 0000 0000 0000 0000 0001 0011</ns0:t>
        </ns0:is>
      </ns0:c>
      <ns0:c r="H220" s="21" t="inlineStr">
        <ns0:is>
          <ns0:t>NOP / PADDING</ns0:t>
        </ns0:is>
      </ns0:c>
      <ns0:c r="I220" s="21">
        <ns0:f>COUNTIF('ДАННЫЕ T3'!$F$6:$F$286,B220)</ns0:f>
        <ns0:v>0</ns0:v>
      </ns0:c>
      <ns0:c r="J220" s="21" t="str">
        <ns0:f>IF(I220&gt;0,"FETCH зарегистрирован","Нет FETCH в окне")</ns0:f>
        <ns0:v>Нет FETCH в окне</ns0:v>
      </ns0:c>
    </ns0:row>
    <ns0:row r="221">
      <ns0:c r="A221" s="21" t="n">
        <ns0:v>215</ns0:v>
      </ns0:c>
      <ns0:c r="B221" s="22" t="inlineStr">
        <ns0:is>
          <ns0:t>0x0000035C</ns0:t>
        </ns0:is>
      </ns0:c>
      <ns0:c r="C221" s="22" t="inlineStr">
        <ns0:is>
          <ns0:t>0x00000013</ns0:t>
        </ns0:is>
      </ns0:c>
      <ns0:c r="D221" s="21" t="inlineStr">
        <ns0:is>
          <ns0:t>nop</ns0:t>
        </ns0:is>
      </ns0:c>
      <ns0:c r="E221" s="22" t="inlineStr">
        <ns0:is>
          <ns0:t>nop</ns0:t>
        </ns0:is>
      </ns0:c>
      <ns0:c r="F221" s="22" t="inlineStr">
        <ns0:is>
          <ns0:t>0010011</ns0:t>
        </ns0:is>
      </ns0:c>
      <ns0:c r="G221" s="22" t="inlineStr">
        <ns0:is>
          <ns0:t>0000 0000 0000 0000 0000 0000 0001 0011</ns0:t>
        </ns0:is>
      </ns0:c>
      <ns0:c r="H221" s="21" t="inlineStr">
        <ns0:is>
          <ns0:t>NOP / PADDING</ns0:t>
        </ns0:is>
      </ns0:c>
      <ns0:c r="I221" s="21">
        <ns0:f>COUNTIF('ДАННЫЕ T3'!$F$6:$F$286,B221)</ns0:f>
        <ns0:v>0</ns0:v>
      </ns0:c>
      <ns0:c r="J221" s="21" t="str">
        <ns0:f>IF(I221&gt;0,"FETCH зарегистрирован","Нет FETCH в окне")</ns0:f>
        <ns0:v>Нет FETCH в окне</ns0:v>
      </ns0:c>
    </ns0:row>
    <ns0:row r="222">
      <ns0:c r="A222" s="21" t="n">
        <ns0:v>216</ns0:v>
      </ns0:c>
      <ns0:c r="B222" s="22" t="inlineStr">
        <ns0:is>
          <ns0:t>0x00000360</ns0:t>
        </ns0:is>
      </ns0:c>
      <ns0:c r="C222" s="22" t="inlineStr">
        <ns0:is>
          <ns0:t>0x00000013</ns0:t>
        </ns0:is>
      </ns0:c>
      <ns0:c r="D222" s="21" t="inlineStr">
        <ns0:is>
          <ns0:t>nop</ns0:t>
        </ns0:is>
      </ns0:c>
      <ns0:c r="E222" s="22" t="inlineStr">
        <ns0:is>
          <ns0:t>nop</ns0:t>
        </ns0:is>
      </ns0:c>
      <ns0:c r="F222" s="22" t="inlineStr">
        <ns0:is>
          <ns0:t>0010011</ns0:t>
        </ns0:is>
      </ns0:c>
      <ns0:c r="G222" s="22" t="inlineStr">
        <ns0:is>
          <ns0:t>0000 0000 0000 0000 0000 0000 0001 0011</ns0:t>
        </ns0:is>
      </ns0:c>
      <ns0:c r="H222" s="21" t="inlineStr">
        <ns0:is>
          <ns0:t>NOP / PADDING</ns0:t>
        </ns0:is>
      </ns0:c>
      <ns0:c r="I222" s="21">
        <ns0:f>COUNTIF('ДАННЫЕ T3'!$F$6:$F$286,B222)</ns0:f>
        <ns0:v>0</ns0:v>
      </ns0:c>
      <ns0:c r="J222" s="21" t="str">
        <ns0:f>IF(I222&gt;0,"FETCH зарегистрирован","Нет FETCH в окне")</ns0:f>
        <ns0:v>Нет FETCH в окне</ns0:v>
      </ns0:c>
    </ns0:row>
    <ns0:row r="223">
      <ns0:c r="A223" s="21" t="n">
        <ns0:v>217</ns0:v>
      </ns0:c>
      <ns0:c r="B223" s="22" t="inlineStr">
        <ns0:is>
          <ns0:t>0x00000364</ns0:t>
        </ns0:is>
      </ns0:c>
      <ns0:c r="C223" s="22" t="inlineStr">
        <ns0:is>
          <ns0:t>0x00000013</ns0:t>
        </ns0:is>
      </ns0:c>
      <ns0:c r="D223" s="21" t="inlineStr">
        <ns0:is>
          <ns0:t>nop</ns0:t>
        </ns0:is>
      </ns0:c>
      <ns0:c r="E223" s="22" t="inlineStr">
        <ns0:is>
          <ns0:t>nop</ns0:t>
        </ns0:is>
      </ns0:c>
      <ns0:c r="F223" s="22" t="inlineStr">
        <ns0:is>
          <ns0:t>0010011</ns0:t>
        </ns0:is>
      </ns0:c>
      <ns0:c r="G223" s="22" t="inlineStr">
        <ns0:is>
          <ns0:t>0000 0000 0000 0000 0000 0000 0001 0011</ns0:t>
        </ns0:is>
      </ns0:c>
      <ns0:c r="H223" s="21" t="inlineStr">
        <ns0:is>
          <ns0:t>NOP / PADDING</ns0:t>
        </ns0:is>
      </ns0:c>
      <ns0:c r="I223" s="21">
        <ns0:f>COUNTIF('ДАННЫЕ T3'!$F$6:$F$286,B223)</ns0:f>
        <ns0:v>0</ns0:v>
      </ns0:c>
      <ns0:c r="J223" s="21" t="str">
        <ns0:f>IF(I223&gt;0,"FETCH зарегистрирован","Нет FETCH в окне")</ns0:f>
        <ns0:v>Нет FETCH в окне</ns0:v>
      </ns0:c>
    </ns0:row>
    <ns0:row r="224">
      <ns0:c r="A224" s="21" t="n">
        <ns0:v>218</ns0:v>
      </ns0:c>
      <ns0:c r="B224" s="22" t="inlineStr">
        <ns0:is>
          <ns0:t>0x00000368</ns0:t>
        </ns0:is>
      </ns0:c>
      <ns0:c r="C224" s="22" t="inlineStr">
        <ns0:is>
          <ns0:t>0x00000013</ns0:t>
        </ns0:is>
      </ns0:c>
      <ns0:c r="D224" s="21" t="inlineStr">
        <ns0:is>
          <ns0:t>nop</ns0:t>
        </ns0:is>
      </ns0:c>
      <ns0:c r="E224" s="22" t="inlineStr">
        <ns0:is>
          <ns0:t>nop</ns0:t>
        </ns0:is>
      </ns0:c>
      <ns0:c r="F224" s="22" t="inlineStr">
        <ns0:is>
          <ns0:t>0010011</ns0:t>
        </ns0:is>
      </ns0:c>
      <ns0:c r="G224" s="22" t="inlineStr">
        <ns0:is>
          <ns0:t>0000 0000 0000 0000 0000 0000 0001 0011</ns0:t>
        </ns0:is>
      </ns0:c>
      <ns0:c r="H224" s="21" t="inlineStr">
        <ns0:is>
          <ns0:t>NOP / PADDING</ns0:t>
        </ns0:is>
      </ns0:c>
      <ns0:c r="I224" s="21">
        <ns0:f>COUNTIF('ДАННЫЕ T3'!$F$6:$F$286,B224)</ns0:f>
        <ns0:v>0</ns0:v>
      </ns0:c>
      <ns0:c r="J224" s="21" t="str">
        <ns0:f>IF(I224&gt;0,"FETCH зарегистрирован","Нет FETCH в окне")</ns0:f>
        <ns0:v>Нет FETCH в окне</ns0:v>
      </ns0:c>
    </ns0:row>
    <ns0:row r="225">
      <ns0:c r="A225" s="21" t="n">
        <ns0:v>219</ns0:v>
      </ns0:c>
      <ns0:c r="B225" s="22" t="inlineStr">
        <ns0:is>
          <ns0:t>0x0000036C</ns0:t>
        </ns0:is>
      </ns0:c>
      <ns0:c r="C225" s="22" t="inlineStr">
        <ns0:is>
          <ns0:t>0x00000013</ns0:t>
        </ns0:is>
      </ns0:c>
      <ns0:c r="D225" s="21" t="inlineStr">
        <ns0:is>
          <ns0:t>nop</ns0:t>
        </ns0:is>
      </ns0:c>
      <ns0:c r="E225" s="22" t="inlineStr">
        <ns0:is>
          <ns0:t>nop</ns0:t>
        </ns0:is>
      </ns0:c>
      <ns0:c r="F225" s="22" t="inlineStr">
        <ns0:is>
          <ns0:t>0010011</ns0:t>
        </ns0:is>
      </ns0:c>
      <ns0:c r="G225" s="22" t="inlineStr">
        <ns0:is>
          <ns0:t>0000 0000 0000 0000 0000 0000 0001 0011</ns0:t>
        </ns0:is>
      </ns0:c>
      <ns0:c r="H225" s="21" t="inlineStr">
        <ns0:is>
          <ns0:t>NOP / PADDING</ns0:t>
        </ns0:is>
      </ns0:c>
      <ns0:c r="I225" s="21">
        <ns0:f>COUNTIF('ДАННЫЕ T3'!$F$6:$F$286,B225)</ns0:f>
        <ns0:v>0</ns0:v>
      </ns0:c>
      <ns0:c r="J225" s="21" t="str">
        <ns0:f>IF(I225&gt;0,"FETCH зарегистрирован","Нет FETCH в окне")</ns0:f>
        <ns0:v>Нет FETCH в окне</ns0:v>
      </ns0:c>
    </ns0:row>
    <ns0:row r="226">
      <ns0:c r="A226" s="21" t="n">
        <ns0:v>220</ns0:v>
      </ns0:c>
      <ns0:c r="B226" s="22" t="inlineStr">
        <ns0:is>
          <ns0:t>0x00000370</ns0:t>
        </ns0:is>
      </ns0:c>
      <ns0:c r="C226" s="22" t="inlineStr">
        <ns0:is>
          <ns0:t>0x00000013</ns0:t>
        </ns0:is>
      </ns0:c>
      <ns0:c r="D226" s="21" t="inlineStr">
        <ns0:is>
          <ns0:t>nop</ns0:t>
        </ns0:is>
      </ns0:c>
      <ns0:c r="E226" s="22" t="inlineStr">
        <ns0:is>
          <ns0:t>nop</ns0:t>
        </ns0:is>
      </ns0:c>
      <ns0:c r="F226" s="22" t="inlineStr">
        <ns0:is>
          <ns0:t>0010011</ns0:t>
        </ns0:is>
      </ns0:c>
      <ns0:c r="G226" s="22" t="inlineStr">
        <ns0:is>
          <ns0:t>0000 0000 0000 0000 0000 0000 0001 0011</ns0:t>
        </ns0:is>
      </ns0:c>
      <ns0:c r="H226" s="21" t="inlineStr">
        <ns0:is>
          <ns0:t>NOP / PADDING</ns0:t>
        </ns0:is>
      </ns0:c>
      <ns0:c r="I226" s="21">
        <ns0:f>COUNTIF('ДАННЫЕ T3'!$F$6:$F$286,B226)</ns0:f>
        <ns0:v>0</ns0:v>
      </ns0:c>
      <ns0:c r="J226" s="21" t="str">
        <ns0:f>IF(I226&gt;0,"FETCH зарегистрирован","Нет FETCH в окне")</ns0:f>
        <ns0:v>Нет FETCH в окне</ns0:v>
      </ns0:c>
    </ns0:row>
    <ns0:row r="227">
      <ns0:c r="A227" s="21" t="n">
        <ns0:v>221</ns0:v>
      </ns0:c>
      <ns0:c r="B227" s="22" t="inlineStr">
        <ns0:is>
          <ns0:t>0x00000374</ns0:t>
        </ns0:is>
      </ns0:c>
      <ns0:c r="C227" s="22" t="inlineStr">
        <ns0:is>
          <ns0:t>0x00000013</ns0:t>
        </ns0:is>
      </ns0:c>
      <ns0:c r="D227" s="21" t="inlineStr">
        <ns0:is>
          <ns0:t>nop</ns0:t>
        </ns0:is>
      </ns0:c>
      <ns0:c r="E227" s="22" t="inlineStr">
        <ns0:is>
          <ns0:t>nop</ns0:t>
        </ns0:is>
      </ns0:c>
      <ns0:c r="F227" s="22" t="inlineStr">
        <ns0:is>
          <ns0:t>0010011</ns0:t>
        </ns0:is>
      </ns0:c>
      <ns0:c r="G227" s="22" t="inlineStr">
        <ns0:is>
          <ns0:t>0000 0000 0000 0000 0000 0000 0001 0011</ns0:t>
        </ns0:is>
      </ns0:c>
      <ns0:c r="H227" s="21" t="inlineStr">
        <ns0:is>
          <ns0:t>NOP / PADDING</ns0:t>
        </ns0:is>
      </ns0:c>
      <ns0:c r="I227" s="21">
        <ns0:f>COUNTIF('ДАННЫЕ T3'!$F$6:$F$286,B227)</ns0:f>
        <ns0:v>0</ns0:v>
      </ns0:c>
      <ns0:c r="J227" s="21" t="str">
        <ns0:f>IF(I227&gt;0,"FETCH зарегистрирован","Нет FETCH в окне")</ns0:f>
        <ns0:v>Нет FETCH в окне</ns0:v>
      </ns0:c>
    </ns0:row>
    <ns0:row r="228">
      <ns0:c r="A228" s="21" t="n">
        <ns0:v>222</ns0:v>
      </ns0:c>
      <ns0:c r="B228" s="22" t="inlineStr">
        <ns0:is>
          <ns0:t>0x00000378</ns0:t>
        </ns0:is>
      </ns0:c>
      <ns0:c r="C228" s="22" t="inlineStr">
        <ns0:is>
          <ns0:t>0x00000013</ns0:t>
        </ns0:is>
      </ns0:c>
      <ns0:c r="D228" s="21" t="inlineStr">
        <ns0:is>
          <ns0:t>nop</ns0:t>
        </ns0:is>
      </ns0:c>
      <ns0:c r="E228" s="22" t="inlineStr">
        <ns0:is>
          <ns0:t>nop</ns0:t>
        </ns0:is>
      </ns0:c>
      <ns0:c r="F228" s="22" t="inlineStr">
        <ns0:is>
          <ns0:t>0010011</ns0:t>
        </ns0:is>
      </ns0:c>
      <ns0:c r="G228" s="22" t="inlineStr">
        <ns0:is>
          <ns0:t>0000 0000 0000 0000 0000 0000 0001 0011</ns0:t>
        </ns0:is>
      </ns0:c>
      <ns0:c r="H228" s="21" t="inlineStr">
        <ns0:is>
          <ns0:t>NOP / PADDING</ns0:t>
        </ns0:is>
      </ns0:c>
      <ns0:c r="I228" s="21">
        <ns0:f>COUNTIF('ДАННЫЕ T3'!$F$6:$F$286,B228)</ns0:f>
        <ns0:v>0</ns0:v>
      </ns0:c>
      <ns0:c r="J228" s="21" t="str">
        <ns0:f>IF(I228&gt;0,"FETCH зарегистрирован","Нет FETCH в окне")</ns0:f>
        <ns0:v>Нет FETCH в окне</ns0:v>
      </ns0:c>
    </ns0:row>
    <ns0:row r="229">
      <ns0:c r="A229" s="21" t="n">
        <ns0:v>223</ns0:v>
      </ns0:c>
      <ns0:c r="B229" s="22" t="inlineStr">
        <ns0:is>
          <ns0:t>0x0000037C</ns0:t>
        </ns0:is>
      </ns0:c>
      <ns0:c r="C229" s="22" t="inlineStr">
        <ns0:is>
          <ns0:t>0x00000013</ns0:t>
        </ns0:is>
      </ns0:c>
      <ns0:c r="D229" s="21" t="inlineStr">
        <ns0:is>
          <ns0:t>nop</ns0:t>
        </ns0:is>
      </ns0:c>
      <ns0:c r="E229" s="22" t="inlineStr">
        <ns0:is>
          <ns0:t>nop</ns0:t>
        </ns0:is>
      </ns0:c>
      <ns0:c r="F229" s="22" t="inlineStr">
        <ns0:is>
          <ns0:t>0010011</ns0:t>
        </ns0:is>
      </ns0:c>
      <ns0:c r="G229" s="22" t="inlineStr">
        <ns0:is>
          <ns0:t>0000 0000 0000 0000 0000 0000 0001 0011</ns0:t>
        </ns0:is>
      </ns0:c>
      <ns0:c r="H229" s="21" t="inlineStr">
        <ns0:is>
          <ns0:t>NOP / PADDING</ns0:t>
        </ns0:is>
      </ns0:c>
      <ns0:c r="I229" s="21">
        <ns0:f>COUNTIF('ДАННЫЕ T3'!$F$6:$F$286,B229)</ns0:f>
        <ns0:v>0</ns0:v>
      </ns0:c>
      <ns0:c r="J229" s="21" t="str">
        <ns0:f>IF(I229&gt;0,"FETCH зарегистрирован","Нет FETCH в окне")</ns0:f>
        <ns0:v>Нет FETCH в окне</ns0:v>
      </ns0:c>
    </ns0:row>
    <ns0:row r="230">
      <ns0:c r="A230" s="21" t="n">
        <ns0:v>224</ns0:v>
      </ns0:c>
      <ns0:c r="B230" s="22" t="inlineStr">
        <ns0:is>
          <ns0:t>0x00000380</ns0:t>
        </ns0:is>
      </ns0:c>
      <ns0:c r="C230" s="22" t="inlineStr">
        <ns0:is>
          <ns0:t>0x00000013</ns0:t>
        </ns0:is>
      </ns0:c>
      <ns0:c r="D230" s="21" t="inlineStr">
        <ns0:is>
          <ns0:t>nop</ns0:t>
        </ns0:is>
      </ns0:c>
      <ns0:c r="E230" s="22" t="inlineStr">
        <ns0:is>
          <ns0:t>nop</ns0:t>
        </ns0:is>
      </ns0:c>
      <ns0:c r="F230" s="22" t="inlineStr">
        <ns0:is>
          <ns0:t>0010011</ns0:t>
        </ns0:is>
      </ns0:c>
      <ns0:c r="G230" s="22" t="inlineStr">
        <ns0:is>
          <ns0:t>0000 0000 0000 0000 0000 0000 0001 0011</ns0:t>
        </ns0:is>
      </ns0:c>
      <ns0:c r="H230" s="21" t="inlineStr">
        <ns0:is>
          <ns0:t>NOP / PADDING</ns0:t>
        </ns0:is>
      </ns0:c>
      <ns0:c r="I230" s="21">
        <ns0:f>COUNTIF('ДАННЫЕ T3'!$F$6:$F$286,B230)</ns0:f>
        <ns0:v>0</ns0:v>
      </ns0:c>
      <ns0:c r="J230" s="21" t="str">
        <ns0:f>IF(I230&gt;0,"FETCH зарегистрирован","Нет FETCH в окне")</ns0:f>
        <ns0:v>Нет FETCH в окне</ns0:v>
      </ns0:c>
    </ns0:row>
    <ns0:row r="231">
      <ns0:c r="A231" s="21" t="n">
        <ns0:v>225</ns0:v>
      </ns0:c>
      <ns0:c r="B231" s="22" t="inlineStr">
        <ns0:is>
          <ns0:t>0x00000384</ns0:t>
        </ns0:is>
      </ns0:c>
      <ns0:c r="C231" s="22" t="inlineStr">
        <ns0:is>
          <ns0:t>0x00000013</ns0:t>
        </ns0:is>
      </ns0:c>
      <ns0:c r="D231" s="21" t="inlineStr">
        <ns0:is>
          <ns0:t>nop</ns0:t>
        </ns0:is>
      </ns0:c>
      <ns0:c r="E231" s="22" t="inlineStr">
        <ns0:is>
          <ns0:t>nop</ns0:t>
        </ns0:is>
      </ns0:c>
      <ns0:c r="F231" s="22" t="inlineStr">
        <ns0:is>
          <ns0:t>0010011</ns0:t>
        </ns0:is>
      </ns0:c>
      <ns0:c r="G231" s="22" t="inlineStr">
        <ns0:is>
          <ns0:t>0000 0000 0000 0000 0000 0000 0001 0011</ns0:t>
        </ns0:is>
      </ns0:c>
      <ns0:c r="H231" s="21" t="inlineStr">
        <ns0:is>
          <ns0:t>NOP / PADDING</ns0:t>
        </ns0:is>
      </ns0:c>
      <ns0:c r="I231" s="21">
        <ns0:f>COUNTIF('ДАННЫЕ T3'!$F$6:$F$286,B231)</ns0:f>
        <ns0:v>0</ns0:v>
      </ns0:c>
      <ns0:c r="J231" s="21" t="str">
        <ns0:f>IF(I231&gt;0,"FETCH зарегистрирован","Нет FETCH в окне")</ns0:f>
        <ns0:v>Нет FETCH в окне</ns0:v>
      </ns0:c>
    </ns0:row>
    <ns0:row r="232">
      <ns0:c r="A232" s="21" t="n">
        <ns0:v>226</ns0:v>
      </ns0:c>
      <ns0:c r="B232" s="22" t="inlineStr">
        <ns0:is>
          <ns0:t>0x00000388</ns0:t>
        </ns0:is>
      </ns0:c>
      <ns0:c r="C232" s="22" t="inlineStr">
        <ns0:is>
          <ns0:t>0x00000013</ns0:t>
        </ns0:is>
      </ns0:c>
      <ns0:c r="D232" s="21" t="inlineStr">
        <ns0:is>
          <ns0:t>nop</ns0:t>
        </ns0:is>
      </ns0:c>
      <ns0:c r="E232" s="22" t="inlineStr">
        <ns0:is>
          <ns0:t>nop</ns0:t>
        </ns0:is>
      </ns0:c>
      <ns0:c r="F232" s="22" t="inlineStr">
        <ns0:is>
          <ns0:t>0010011</ns0:t>
        </ns0:is>
      </ns0:c>
      <ns0:c r="G232" s="22" t="inlineStr">
        <ns0:is>
          <ns0:t>0000 0000 0000 0000 0000 0000 0001 0011</ns0:t>
        </ns0:is>
      </ns0:c>
      <ns0:c r="H232" s="21" t="inlineStr">
        <ns0:is>
          <ns0:t>NOP / PADDING</ns0:t>
        </ns0:is>
      </ns0:c>
      <ns0:c r="I232" s="21">
        <ns0:f>COUNTIF('ДАННЫЕ T3'!$F$6:$F$286,B232)</ns0:f>
        <ns0:v>0</ns0:v>
      </ns0:c>
      <ns0:c r="J232" s="21" t="str">
        <ns0:f>IF(I232&gt;0,"FETCH зарегистрирован","Нет FETCH в окне")</ns0:f>
        <ns0:v>Нет FETCH в окне</ns0:v>
      </ns0:c>
    </ns0:row>
    <ns0:row r="233">
      <ns0:c r="A233" s="21" t="n">
        <ns0:v>227</ns0:v>
      </ns0:c>
      <ns0:c r="B233" s="22" t="inlineStr">
        <ns0:is>
          <ns0:t>0x0000038C</ns0:t>
        </ns0:is>
      </ns0:c>
      <ns0:c r="C233" s="22" t="inlineStr">
        <ns0:is>
          <ns0:t>0x00000013</ns0:t>
        </ns0:is>
      </ns0:c>
      <ns0:c r="D233" s="21" t="inlineStr">
        <ns0:is>
          <ns0:t>nop</ns0:t>
        </ns0:is>
      </ns0:c>
      <ns0:c r="E233" s="22" t="inlineStr">
        <ns0:is>
          <ns0:t>nop</ns0:t>
        </ns0:is>
      </ns0:c>
      <ns0:c r="F233" s="22" t="inlineStr">
        <ns0:is>
          <ns0:t>0010011</ns0:t>
        </ns0:is>
      </ns0:c>
      <ns0:c r="G233" s="22" t="inlineStr">
        <ns0:is>
          <ns0:t>0000 0000 0000 0000 0000 0000 0001 0011</ns0:t>
        </ns0:is>
      </ns0:c>
      <ns0:c r="H233" s="21" t="inlineStr">
        <ns0:is>
          <ns0:t>NOP / PADDING</ns0:t>
        </ns0:is>
      </ns0:c>
      <ns0:c r="I233" s="21">
        <ns0:f>COUNTIF('ДАННЫЕ T3'!$F$6:$F$286,B233)</ns0:f>
        <ns0:v>0</ns0:v>
      </ns0:c>
      <ns0:c r="J233" s="21" t="str">
        <ns0:f>IF(I233&gt;0,"FETCH зарегистрирован","Нет FETCH в окне")</ns0:f>
        <ns0:v>Нет FETCH в окне</ns0:v>
      </ns0:c>
    </ns0:row>
    <ns0:row r="234">
      <ns0:c r="A234" s="21" t="n">
        <ns0:v>228</ns0:v>
      </ns0:c>
      <ns0:c r="B234" s="22" t="inlineStr">
        <ns0:is>
          <ns0:t>0x00000390</ns0:t>
        </ns0:is>
      </ns0:c>
      <ns0:c r="C234" s="22" t="inlineStr">
        <ns0:is>
          <ns0:t>0x00000013</ns0:t>
        </ns0:is>
      </ns0:c>
      <ns0:c r="D234" s="21" t="inlineStr">
        <ns0:is>
          <ns0:t>nop</ns0:t>
        </ns0:is>
      </ns0:c>
      <ns0:c r="E234" s="22" t="inlineStr">
        <ns0:is>
          <ns0:t>nop</ns0:t>
        </ns0:is>
      </ns0:c>
      <ns0:c r="F234" s="22" t="inlineStr">
        <ns0:is>
          <ns0:t>0010011</ns0:t>
        </ns0:is>
      </ns0:c>
      <ns0:c r="G234" s="22" t="inlineStr">
        <ns0:is>
          <ns0:t>0000 0000 0000 0000 0000 0000 0001 0011</ns0:t>
        </ns0:is>
      </ns0:c>
      <ns0:c r="H234" s="21" t="inlineStr">
        <ns0:is>
          <ns0:t>NOP / PADDING</ns0:t>
        </ns0:is>
      </ns0:c>
      <ns0:c r="I234" s="21">
        <ns0:f>COUNTIF('ДАННЫЕ T3'!$F$6:$F$286,B234)</ns0:f>
        <ns0:v>0</ns0:v>
      </ns0:c>
      <ns0:c r="J234" s="21" t="str">
        <ns0:f>IF(I234&gt;0,"FETCH зарегистрирован","Нет FETCH в окне")</ns0:f>
        <ns0:v>Нет FETCH в окне</ns0:v>
      </ns0:c>
    </ns0:row>
    <ns0:row r="235">
      <ns0:c r="A235" s="21" t="n">
        <ns0:v>229</ns0:v>
      </ns0:c>
      <ns0:c r="B235" s="22" t="inlineStr">
        <ns0:is>
          <ns0:t>0x00000394</ns0:t>
        </ns0:is>
      </ns0:c>
      <ns0:c r="C235" s="22" t="inlineStr">
        <ns0:is>
          <ns0:t>0x00000013</ns0:t>
        </ns0:is>
      </ns0:c>
      <ns0:c r="D235" s="21" t="inlineStr">
        <ns0:is>
          <ns0:t>nop</ns0:t>
        </ns0:is>
      </ns0:c>
      <ns0:c r="E235" s="22" t="inlineStr">
        <ns0:is>
          <ns0:t>nop</ns0:t>
        </ns0:is>
      </ns0:c>
      <ns0:c r="F235" s="22" t="inlineStr">
        <ns0:is>
          <ns0:t>0010011</ns0:t>
        </ns0:is>
      </ns0:c>
      <ns0:c r="G235" s="22" t="inlineStr">
        <ns0:is>
          <ns0:t>0000 0000 0000 0000 0000 0000 0001 0011</ns0:t>
        </ns0:is>
      </ns0:c>
      <ns0:c r="H235" s="21" t="inlineStr">
        <ns0:is>
          <ns0:t>NOP / PADDING</ns0:t>
        </ns0:is>
      </ns0:c>
      <ns0:c r="I235" s="21">
        <ns0:f>COUNTIF('ДАННЫЕ T3'!$F$6:$F$286,B235)</ns0:f>
        <ns0:v>0</ns0:v>
      </ns0:c>
      <ns0:c r="J235" s="21" t="str">
        <ns0:f>IF(I235&gt;0,"FETCH зарегистрирован","Нет FETCH в окне")</ns0:f>
        <ns0:v>Нет FETCH в окне</ns0:v>
      </ns0:c>
    </ns0:row>
    <ns0:row r="236">
      <ns0:c r="A236" s="21" t="n">
        <ns0:v>230</ns0:v>
      </ns0:c>
      <ns0:c r="B236" s="22" t="inlineStr">
        <ns0:is>
          <ns0:t>0x00000398</ns0:t>
        </ns0:is>
      </ns0:c>
      <ns0:c r="C236" s="22" t="inlineStr">
        <ns0:is>
          <ns0:t>0x00000013</ns0:t>
        </ns0:is>
      </ns0:c>
      <ns0:c r="D236" s="21" t="inlineStr">
        <ns0:is>
          <ns0:t>nop</ns0:t>
        </ns0:is>
      </ns0:c>
      <ns0:c r="E236" s="22" t="inlineStr">
        <ns0:is>
          <ns0:t>nop</ns0:t>
        </ns0:is>
      </ns0:c>
      <ns0:c r="F236" s="22" t="inlineStr">
        <ns0:is>
          <ns0:t>0010011</ns0:t>
        </ns0:is>
      </ns0:c>
      <ns0:c r="G236" s="22" t="inlineStr">
        <ns0:is>
          <ns0:t>0000 0000 0000 0000 0000 0000 0001 0011</ns0:t>
        </ns0:is>
      </ns0:c>
      <ns0:c r="H236" s="21" t="inlineStr">
        <ns0:is>
          <ns0:t>NOP / PADDING</ns0:t>
        </ns0:is>
      </ns0:c>
      <ns0:c r="I236" s="21">
        <ns0:f>COUNTIF('ДАННЫЕ T3'!$F$6:$F$286,B236)</ns0:f>
        <ns0:v>0</ns0:v>
      </ns0:c>
      <ns0:c r="J236" s="21" t="str">
        <ns0:f>IF(I236&gt;0,"FETCH зарегистрирован","Нет FETCH в окне")</ns0:f>
        <ns0:v>Нет FETCH в окне</ns0:v>
      </ns0:c>
    </ns0:row>
    <ns0:row r="237">
      <ns0:c r="A237" s="21" t="n">
        <ns0:v>231</ns0:v>
      </ns0:c>
      <ns0:c r="B237" s="22" t="inlineStr">
        <ns0:is>
          <ns0:t>0x0000039C</ns0:t>
        </ns0:is>
      </ns0:c>
      <ns0:c r="C237" s="22" t="inlineStr">
        <ns0:is>
          <ns0:t>0x00000013</ns0:t>
        </ns0:is>
      </ns0:c>
      <ns0:c r="D237" s="21" t="inlineStr">
        <ns0:is>
          <ns0:t>nop</ns0:t>
        </ns0:is>
      </ns0:c>
      <ns0:c r="E237" s="22" t="inlineStr">
        <ns0:is>
          <ns0:t>nop</ns0:t>
        </ns0:is>
      </ns0:c>
      <ns0:c r="F237" s="22" t="inlineStr">
        <ns0:is>
          <ns0:t>0010011</ns0:t>
        </ns0:is>
      </ns0:c>
      <ns0:c r="G237" s="22" t="inlineStr">
        <ns0:is>
          <ns0:t>0000 0000 0000 0000 0000 0000 0001 0011</ns0:t>
        </ns0:is>
      </ns0:c>
      <ns0:c r="H237" s="21" t="inlineStr">
        <ns0:is>
          <ns0:t>NOP / PADDING</ns0:t>
        </ns0:is>
      </ns0:c>
      <ns0:c r="I237" s="21">
        <ns0:f>COUNTIF('ДАННЫЕ T3'!$F$6:$F$286,B237)</ns0:f>
        <ns0:v>0</ns0:v>
      </ns0:c>
      <ns0:c r="J237" s="21" t="str">
        <ns0:f>IF(I237&gt;0,"FETCH зарегистрирован","Нет FETCH в окне")</ns0:f>
        <ns0:v>Нет FETCH в окне</ns0:v>
      </ns0:c>
    </ns0:row>
    <ns0:row r="238">
      <ns0:c r="A238" s="21" t="n">
        <ns0:v>232</ns0:v>
      </ns0:c>
      <ns0:c r="B238" s="22" t="inlineStr">
        <ns0:is>
          <ns0:t>0x000003A0</ns0:t>
        </ns0:is>
      </ns0:c>
      <ns0:c r="C238" s="22" t="inlineStr">
        <ns0:is>
          <ns0:t>0x00000013</ns0:t>
        </ns0:is>
      </ns0:c>
      <ns0:c r="D238" s="21" t="inlineStr">
        <ns0:is>
          <ns0:t>nop</ns0:t>
        </ns0:is>
      </ns0:c>
      <ns0:c r="E238" s="22" t="inlineStr">
        <ns0:is>
          <ns0:t>nop</ns0:t>
        </ns0:is>
      </ns0:c>
      <ns0:c r="F238" s="22" t="inlineStr">
        <ns0:is>
          <ns0:t>0010011</ns0:t>
        </ns0:is>
      </ns0:c>
      <ns0:c r="G238" s="22" t="inlineStr">
        <ns0:is>
          <ns0:t>0000 0000 0000 0000 0000 0000 0001 0011</ns0:t>
        </ns0:is>
      </ns0:c>
      <ns0:c r="H238" s="21" t="inlineStr">
        <ns0:is>
          <ns0:t>NOP / PADDING</ns0:t>
        </ns0:is>
      </ns0:c>
      <ns0:c r="I238" s="21">
        <ns0:f>COUNTIF('ДАННЫЕ T3'!$F$6:$F$286,B238)</ns0:f>
        <ns0:v>0</ns0:v>
      </ns0:c>
      <ns0:c r="J238" s="21" t="str">
        <ns0:f>IF(I238&gt;0,"FETCH зарегистрирован","Нет FETCH в окне")</ns0:f>
        <ns0:v>Нет FETCH в окне</ns0:v>
      </ns0:c>
    </ns0:row>
    <ns0:row r="239">
      <ns0:c r="A239" s="21" t="n">
        <ns0:v>233</ns0:v>
      </ns0:c>
      <ns0:c r="B239" s="22" t="inlineStr">
        <ns0:is>
          <ns0:t>0x000003A4</ns0:t>
        </ns0:is>
      </ns0:c>
      <ns0:c r="C239" s="22" t="inlineStr">
        <ns0:is>
          <ns0:t>0x00000013</ns0:t>
        </ns0:is>
      </ns0:c>
      <ns0:c r="D239" s="21" t="inlineStr">
        <ns0:is>
          <ns0:t>nop</ns0:t>
        </ns0:is>
      </ns0:c>
      <ns0:c r="E239" s="22" t="inlineStr">
        <ns0:is>
          <ns0:t>nop</ns0:t>
        </ns0:is>
      </ns0:c>
      <ns0:c r="F239" s="22" t="inlineStr">
        <ns0:is>
          <ns0:t>0010011</ns0:t>
        </ns0:is>
      </ns0:c>
      <ns0:c r="G239" s="22" t="inlineStr">
        <ns0:is>
          <ns0:t>0000 0000 0000 0000 0000 0000 0001 0011</ns0:t>
        </ns0:is>
      </ns0:c>
      <ns0:c r="H239" s="21" t="inlineStr">
        <ns0:is>
          <ns0:t>NOP / PADDING</ns0:t>
        </ns0:is>
      </ns0:c>
      <ns0:c r="I239" s="21">
        <ns0:f>COUNTIF('ДАННЫЕ T3'!$F$6:$F$286,B239)</ns0:f>
        <ns0:v>0</ns0:v>
      </ns0:c>
      <ns0:c r="J239" s="21" t="str">
        <ns0:f>IF(I239&gt;0,"FETCH зарегистрирован","Нет FETCH в окне")</ns0:f>
        <ns0:v>Нет FETCH в окне</ns0:v>
      </ns0:c>
    </ns0:row>
    <ns0:row r="240">
      <ns0:c r="A240" s="21" t="n">
        <ns0:v>234</ns0:v>
      </ns0:c>
      <ns0:c r="B240" s="22" t="inlineStr">
        <ns0:is>
          <ns0:t>0x000003A8</ns0:t>
        </ns0:is>
      </ns0:c>
      <ns0:c r="C240" s="22" t="inlineStr">
        <ns0:is>
          <ns0:t>0x00000013</ns0:t>
        </ns0:is>
      </ns0:c>
      <ns0:c r="D240" s="21" t="inlineStr">
        <ns0:is>
          <ns0:t>nop</ns0:t>
        </ns0:is>
      </ns0:c>
      <ns0:c r="E240" s="22" t="inlineStr">
        <ns0:is>
          <ns0:t>nop</ns0:t>
        </ns0:is>
      </ns0:c>
      <ns0:c r="F240" s="22" t="inlineStr">
        <ns0:is>
          <ns0:t>0010011</ns0:t>
        </ns0:is>
      </ns0:c>
      <ns0:c r="G240" s="22" t="inlineStr">
        <ns0:is>
          <ns0:t>0000 0000 0000 0000 0000 0000 0001 0011</ns0:t>
        </ns0:is>
      </ns0:c>
      <ns0:c r="H240" s="21" t="inlineStr">
        <ns0:is>
          <ns0:t>NOP / PADDING</ns0:t>
        </ns0:is>
      </ns0:c>
      <ns0:c r="I240" s="21">
        <ns0:f>COUNTIF('ДАННЫЕ T3'!$F$6:$F$286,B240)</ns0:f>
        <ns0:v>0</ns0:v>
      </ns0:c>
      <ns0:c r="J240" s="21" t="str">
        <ns0:f>IF(I240&gt;0,"FETCH зарегистрирован","Нет FETCH в окне")</ns0:f>
        <ns0:v>Нет FETCH в окне</ns0:v>
      </ns0:c>
    </ns0:row>
    <ns0:row r="241">
      <ns0:c r="A241" s="21" t="n">
        <ns0:v>235</ns0:v>
      </ns0:c>
      <ns0:c r="B241" s="22" t="inlineStr">
        <ns0:is>
          <ns0:t>0x000003AC</ns0:t>
        </ns0:is>
      </ns0:c>
      <ns0:c r="C241" s="22" t="inlineStr">
        <ns0:is>
          <ns0:t>0x00000013</ns0:t>
        </ns0:is>
      </ns0:c>
      <ns0:c r="D241" s="21" t="inlineStr">
        <ns0:is>
          <ns0:t>nop</ns0:t>
        </ns0:is>
      </ns0:c>
      <ns0:c r="E241" s="22" t="inlineStr">
        <ns0:is>
          <ns0:t>nop</ns0:t>
        </ns0:is>
      </ns0:c>
      <ns0:c r="F241" s="22" t="inlineStr">
        <ns0:is>
          <ns0:t>0010011</ns0:t>
        </ns0:is>
      </ns0:c>
      <ns0:c r="G241" s="22" t="inlineStr">
        <ns0:is>
          <ns0:t>0000 0000 0000 0000 0000 0000 0001 0011</ns0:t>
        </ns0:is>
      </ns0:c>
      <ns0:c r="H241" s="21" t="inlineStr">
        <ns0:is>
          <ns0:t>NOP / PADDING</ns0:t>
        </ns0:is>
      </ns0:c>
      <ns0:c r="I241" s="21">
        <ns0:f>COUNTIF('ДАННЫЕ T3'!$F$6:$F$286,B241)</ns0:f>
        <ns0:v>0</ns0:v>
      </ns0:c>
      <ns0:c r="J241" s="21" t="str">
        <ns0:f>IF(I241&gt;0,"FETCH зарегистрирован","Нет FETCH в окне")</ns0:f>
        <ns0:v>Нет FETCH в окне</ns0:v>
      </ns0:c>
    </ns0:row>
    <ns0:row r="242">
      <ns0:c r="A242" s="21" t="n">
        <ns0:v>236</ns0:v>
      </ns0:c>
      <ns0:c r="B242" s="22" t="inlineStr">
        <ns0:is>
          <ns0:t>0x000003B0</ns0:t>
        </ns0:is>
      </ns0:c>
      <ns0:c r="C242" s="22" t="inlineStr">
        <ns0:is>
          <ns0:t>0x00000013</ns0:t>
        </ns0:is>
      </ns0:c>
      <ns0:c r="D242" s="21" t="inlineStr">
        <ns0:is>
          <ns0:t>nop</ns0:t>
        </ns0:is>
      </ns0:c>
      <ns0:c r="E242" s="22" t="inlineStr">
        <ns0:is>
          <ns0:t>nop</ns0:t>
        </ns0:is>
      </ns0:c>
      <ns0:c r="F242" s="22" t="inlineStr">
        <ns0:is>
          <ns0:t>0010011</ns0:t>
        </ns0:is>
      </ns0:c>
      <ns0:c r="G242" s="22" t="inlineStr">
        <ns0:is>
          <ns0:t>0000 0000 0000 0000 0000 0000 0001 0011</ns0:t>
        </ns0:is>
      </ns0:c>
      <ns0:c r="H242" s="21" t="inlineStr">
        <ns0:is>
          <ns0:t>NOP / PADDING</ns0:t>
        </ns0:is>
      </ns0:c>
      <ns0:c r="I242" s="21">
        <ns0:f>COUNTIF('ДАННЫЕ T3'!$F$6:$F$286,B242)</ns0:f>
        <ns0:v>0</ns0:v>
      </ns0:c>
      <ns0:c r="J242" s="21" t="str">
        <ns0:f>IF(I242&gt;0,"FETCH зарегистрирован","Нет FETCH в окне")</ns0:f>
        <ns0:v>Нет FETCH в окне</ns0:v>
      </ns0:c>
    </ns0:row>
    <ns0:row r="243">
      <ns0:c r="A243" s="21" t="n">
        <ns0:v>237</ns0:v>
      </ns0:c>
      <ns0:c r="B243" s="22" t="inlineStr">
        <ns0:is>
          <ns0:t>0x000003B4</ns0:t>
        </ns0:is>
      </ns0:c>
      <ns0:c r="C243" s="22" t="inlineStr">
        <ns0:is>
          <ns0:t>0x00000013</ns0:t>
        </ns0:is>
      </ns0:c>
      <ns0:c r="D243" s="21" t="inlineStr">
        <ns0:is>
          <ns0:t>nop</ns0:t>
        </ns0:is>
      </ns0:c>
      <ns0:c r="E243" s="22" t="inlineStr">
        <ns0:is>
          <ns0:t>nop</ns0:t>
        </ns0:is>
      </ns0:c>
      <ns0:c r="F243" s="22" t="inlineStr">
        <ns0:is>
          <ns0:t>0010011</ns0:t>
        </ns0:is>
      </ns0:c>
      <ns0:c r="G243" s="22" t="inlineStr">
        <ns0:is>
          <ns0:t>0000 0000 0000 0000 0000 0000 0001 0011</ns0:t>
        </ns0:is>
      </ns0:c>
      <ns0:c r="H243" s="21" t="inlineStr">
        <ns0:is>
          <ns0:t>NOP / PADDING</ns0:t>
        </ns0:is>
      </ns0:c>
      <ns0:c r="I243" s="21">
        <ns0:f>COUNTIF('ДАННЫЕ T3'!$F$6:$F$286,B243)</ns0:f>
        <ns0:v>0</ns0:v>
      </ns0:c>
      <ns0:c r="J243" s="21" t="str">
        <ns0:f>IF(I243&gt;0,"FETCH зарегистрирован","Нет FETCH в окне")</ns0:f>
        <ns0:v>Нет FETCH в окне</ns0:v>
      </ns0:c>
    </ns0:row>
    <ns0:row r="244">
      <ns0:c r="A244" s="21" t="n">
        <ns0:v>238</ns0:v>
      </ns0:c>
      <ns0:c r="B244" s="22" t="inlineStr">
        <ns0:is>
          <ns0:t>0x000003B8</ns0:t>
        </ns0:is>
      </ns0:c>
      <ns0:c r="C244" s="22" t="inlineStr">
        <ns0:is>
          <ns0:t>0x00000013</ns0:t>
        </ns0:is>
      </ns0:c>
      <ns0:c r="D244" s="21" t="inlineStr">
        <ns0:is>
          <ns0:t>nop</ns0:t>
        </ns0:is>
      </ns0:c>
      <ns0:c r="E244" s="22" t="inlineStr">
        <ns0:is>
          <ns0:t>nop</ns0:t>
        </ns0:is>
      </ns0:c>
      <ns0:c r="F244" s="22" t="inlineStr">
        <ns0:is>
          <ns0:t>0010011</ns0:t>
        </ns0:is>
      </ns0:c>
      <ns0:c r="G244" s="22" t="inlineStr">
        <ns0:is>
          <ns0:t>0000 0000 0000 0000 0000 0000 0001 0011</ns0:t>
        </ns0:is>
      </ns0:c>
      <ns0:c r="H244" s="21" t="inlineStr">
        <ns0:is>
          <ns0:t>NOP / PADDING</ns0:t>
        </ns0:is>
      </ns0:c>
      <ns0:c r="I244" s="21">
        <ns0:f>COUNTIF('ДАННЫЕ T3'!$F$6:$F$286,B244)</ns0:f>
        <ns0:v>0</ns0:v>
      </ns0:c>
      <ns0:c r="J244" s="21" t="str">
        <ns0:f>IF(I244&gt;0,"FETCH зарегистрирован","Нет FETCH в окне")</ns0:f>
        <ns0:v>Нет FETCH в окне</ns0:v>
      </ns0:c>
    </ns0:row>
    <ns0:row r="245">
      <ns0:c r="A245" s="21" t="n">
        <ns0:v>239</ns0:v>
      </ns0:c>
      <ns0:c r="B245" s="22" t="inlineStr">
        <ns0:is>
          <ns0:t>0x000003BC</ns0:t>
        </ns0:is>
      </ns0:c>
      <ns0:c r="C245" s="22" t="inlineStr">
        <ns0:is>
          <ns0:t>0x00000013</ns0:t>
        </ns0:is>
      </ns0:c>
      <ns0:c r="D245" s="21" t="inlineStr">
        <ns0:is>
          <ns0:t>nop</ns0:t>
        </ns0:is>
      </ns0:c>
      <ns0:c r="E245" s="22" t="inlineStr">
        <ns0:is>
          <ns0:t>nop</ns0:t>
        </ns0:is>
      </ns0:c>
      <ns0:c r="F245" s="22" t="inlineStr">
        <ns0:is>
          <ns0:t>0010011</ns0:t>
        </ns0:is>
      </ns0:c>
      <ns0:c r="G245" s="22" t="inlineStr">
        <ns0:is>
          <ns0:t>0000 0000 0000 0000 0000 0000 0001 0011</ns0:t>
        </ns0:is>
      </ns0:c>
      <ns0:c r="H245" s="21" t="inlineStr">
        <ns0:is>
          <ns0:t>NOP / PADDING</ns0:t>
        </ns0:is>
      </ns0:c>
      <ns0:c r="I245" s="21">
        <ns0:f>COUNTIF('ДАННЫЕ T3'!$F$6:$F$286,B245)</ns0:f>
        <ns0:v>0</ns0:v>
      </ns0:c>
      <ns0:c r="J245" s="21" t="str">
        <ns0:f>IF(I245&gt;0,"FETCH зарегистрирован","Нет FETCH в окне")</ns0:f>
        <ns0:v>Нет FETCH в окне</ns0:v>
      </ns0:c>
    </ns0:row>
    <ns0:row r="246">
      <ns0:c r="A246" s="21" t="n">
        <ns0:v>240</ns0:v>
      </ns0:c>
      <ns0:c r="B246" s="22" t="inlineStr">
        <ns0:is>
          <ns0:t>0x000003C0</ns0:t>
        </ns0:is>
      </ns0:c>
      <ns0:c r="C246" s="22" t="inlineStr">
        <ns0:is>
          <ns0:t>0x00000013</ns0:t>
        </ns0:is>
      </ns0:c>
      <ns0:c r="D246" s="21" t="inlineStr">
        <ns0:is>
          <ns0:t>nop</ns0:t>
        </ns0:is>
      </ns0:c>
      <ns0:c r="E246" s="22" t="inlineStr">
        <ns0:is>
          <ns0:t>nop</ns0:t>
        </ns0:is>
      </ns0:c>
      <ns0:c r="F246" s="22" t="inlineStr">
        <ns0:is>
          <ns0:t>0010011</ns0:t>
        </ns0:is>
      </ns0:c>
      <ns0:c r="G246" s="22" t="inlineStr">
        <ns0:is>
          <ns0:t>0000 0000 0000 0000 0000 0000 0001 0011</ns0:t>
        </ns0:is>
      </ns0:c>
      <ns0:c r="H246" s="21" t="inlineStr">
        <ns0:is>
          <ns0:t>NOP / PADDING</ns0:t>
        </ns0:is>
      </ns0:c>
      <ns0:c r="I246" s="21">
        <ns0:f>COUNTIF('ДАННЫЕ T3'!$F$6:$F$286,B246)</ns0:f>
        <ns0:v>0</ns0:v>
      </ns0:c>
      <ns0:c r="J246" s="21" t="str">
        <ns0:f>IF(I246&gt;0,"FETCH зарегистрирован","Нет FETCH в окне")</ns0:f>
        <ns0:v>Нет FETCH в окне</ns0:v>
      </ns0:c>
    </ns0:row>
    <ns0:row r="247">
      <ns0:c r="A247" s="21" t="n">
        <ns0:v>241</ns0:v>
      </ns0:c>
      <ns0:c r="B247" s="22" t="inlineStr">
        <ns0:is>
          <ns0:t>0x000003C4</ns0:t>
        </ns0:is>
      </ns0:c>
      <ns0:c r="C247" s="22" t="inlineStr">
        <ns0:is>
          <ns0:t>0x00000013</ns0:t>
        </ns0:is>
      </ns0:c>
      <ns0:c r="D247" s="21" t="inlineStr">
        <ns0:is>
          <ns0:t>nop</ns0:t>
        </ns0:is>
      </ns0:c>
      <ns0:c r="E247" s="22" t="inlineStr">
        <ns0:is>
          <ns0:t>nop</ns0:t>
        </ns0:is>
      </ns0:c>
      <ns0:c r="F247" s="22" t="inlineStr">
        <ns0:is>
          <ns0:t>0010011</ns0:t>
        </ns0:is>
      </ns0:c>
      <ns0:c r="G247" s="22" t="inlineStr">
        <ns0:is>
          <ns0:t>0000 0000 0000 0000 0000 0000 0001 0011</ns0:t>
        </ns0:is>
      </ns0:c>
      <ns0:c r="H247" s="21" t="inlineStr">
        <ns0:is>
          <ns0:t>NOP / PADDING</ns0:t>
        </ns0:is>
      </ns0:c>
      <ns0:c r="I247" s="21">
        <ns0:f>COUNTIF('ДАННЫЕ T3'!$F$6:$F$286,B247)</ns0:f>
        <ns0:v>0</ns0:v>
      </ns0:c>
      <ns0:c r="J247" s="21" t="str">
        <ns0:f>IF(I247&gt;0,"FETCH зарегистрирован","Нет FETCH в окне")</ns0:f>
        <ns0:v>Нет FETCH в окне</ns0:v>
      </ns0:c>
    </ns0:row>
    <ns0:row r="248">
      <ns0:c r="A248" s="21" t="n">
        <ns0:v>242</ns0:v>
      </ns0:c>
      <ns0:c r="B248" s="22" t="inlineStr">
        <ns0:is>
          <ns0:t>0x000003C8</ns0:t>
        </ns0:is>
      </ns0:c>
      <ns0:c r="C248" s="22" t="inlineStr">
        <ns0:is>
          <ns0:t>0x00000013</ns0:t>
        </ns0:is>
      </ns0:c>
      <ns0:c r="D248" s="21" t="inlineStr">
        <ns0:is>
          <ns0:t>nop</ns0:t>
        </ns0:is>
      </ns0:c>
      <ns0:c r="E248" s="22" t="inlineStr">
        <ns0:is>
          <ns0:t>nop</ns0:t>
        </ns0:is>
      </ns0:c>
      <ns0:c r="F248" s="22" t="inlineStr">
        <ns0:is>
          <ns0:t>0010011</ns0:t>
        </ns0:is>
      </ns0:c>
      <ns0:c r="G248" s="22" t="inlineStr">
        <ns0:is>
          <ns0:t>0000 0000 0000 0000 0000 0000 0001 0011</ns0:t>
        </ns0:is>
      </ns0:c>
      <ns0:c r="H248" s="21" t="inlineStr">
        <ns0:is>
          <ns0:t>NOP / PADDING</ns0:t>
        </ns0:is>
      </ns0:c>
      <ns0:c r="I248" s="21">
        <ns0:f>COUNTIF('ДАННЫЕ T3'!$F$6:$F$286,B248)</ns0:f>
        <ns0:v>0</ns0:v>
      </ns0:c>
      <ns0:c r="J248" s="21" t="str">
        <ns0:f>IF(I248&gt;0,"FETCH зарегистрирован","Нет FETCH в окне")</ns0:f>
        <ns0:v>Нет FETCH в окне</ns0:v>
      </ns0:c>
    </ns0:row>
    <ns0:row r="249">
      <ns0:c r="A249" s="21" t="n">
        <ns0:v>243</ns0:v>
      </ns0:c>
      <ns0:c r="B249" s="22" t="inlineStr">
        <ns0:is>
          <ns0:t>0x000003CC</ns0:t>
        </ns0:is>
      </ns0:c>
      <ns0:c r="C249" s="22" t="inlineStr">
        <ns0:is>
          <ns0:t>0x00000013</ns0:t>
        </ns0:is>
      </ns0:c>
      <ns0:c r="D249" s="21" t="inlineStr">
        <ns0:is>
          <ns0:t>nop</ns0:t>
        </ns0:is>
      </ns0:c>
      <ns0:c r="E249" s="22" t="inlineStr">
        <ns0:is>
          <ns0:t>nop</ns0:t>
        </ns0:is>
      </ns0:c>
      <ns0:c r="F249" s="22" t="inlineStr">
        <ns0:is>
          <ns0:t>0010011</ns0:t>
        </ns0:is>
      </ns0:c>
      <ns0:c r="G249" s="22" t="inlineStr">
        <ns0:is>
          <ns0:t>0000 0000 0000 0000 0000 0000 0001 0011</ns0:t>
        </ns0:is>
      </ns0:c>
      <ns0:c r="H249" s="21" t="inlineStr">
        <ns0:is>
          <ns0:t>NOP / PADDING</ns0:t>
        </ns0:is>
      </ns0:c>
      <ns0:c r="I249" s="21">
        <ns0:f>COUNTIF('ДАННЫЕ T3'!$F$6:$F$286,B249)</ns0:f>
        <ns0:v>0</ns0:v>
      </ns0:c>
      <ns0:c r="J249" s="21" t="str">
        <ns0:f>IF(I249&gt;0,"FETCH зарегистрирован","Нет FETCH в окне")</ns0:f>
        <ns0:v>Нет FETCH в окне</ns0:v>
      </ns0:c>
    </ns0:row>
    <ns0:row r="250">
      <ns0:c r="A250" s="21" t="n">
        <ns0:v>244</ns0:v>
      </ns0:c>
      <ns0:c r="B250" s="22" t="inlineStr">
        <ns0:is>
          <ns0:t>0x000003D0</ns0:t>
        </ns0:is>
      </ns0:c>
      <ns0:c r="C250" s="22" t="inlineStr">
        <ns0:is>
          <ns0:t>0x00000013</ns0:t>
        </ns0:is>
      </ns0:c>
      <ns0:c r="D250" s="21" t="inlineStr">
        <ns0:is>
          <ns0:t>nop</ns0:t>
        </ns0:is>
      </ns0:c>
      <ns0:c r="E250" s="22" t="inlineStr">
        <ns0:is>
          <ns0:t>nop</ns0:t>
        </ns0:is>
      </ns0:c>
      <ns0:c r="F250" s="22" t="inlineStr">
        <ns0:is>
          <ns0:t>0010011</ns0:t>
        </ns0:is>
      </ns0:c>
      <ns0:c r="G250" s="22" t="inlineStr">
        <ns0:is>
          <ns0:t>0000 0000 0000 0000 0000 0000 0001 0011</ns0:t>
        </ns0:is>
      </ns0:c>
      <ns0:c r="H250" s="21" t="inlineStr">
        <ns0:is>
          <ns0:t>NOP / PADDING</ns0:t>
        </ns0:is>
      </ns0:c>
      <ns0:c r="I250" s="21">
        <ns0:f>COUNTIF('ДАННЫЕ T3'!$F$6:$F$286,B250)</ns0:f>
        <ns0:v>0</ns0:v>
      </ns0:c>
      <ns0:c r="J250" s="21" t="str">
        <ns0:f>IF(I250&gt;0,"FETCH зарегистрирован","Нет FETCH в окне")</ns0:f>
        <ns0:v>Нет FETCH в окне</ns0:v>
      </ns0:c>
    </ns0:row>
    <ns0:row r="251">
      <ns0:c r="A251" s="21" t="n">
        <ns0:v>245</ns0:v>
      </ns0:c>
      <ns0:c r="B251" s="22" t="inlineStr">
        <ns0:is>
          <ns0:t>0x000003D4</ns0:t>
        </ns0:is>
      </ns0:c>
      <ns0:c r="C251" s="22" t="inlineStr">
        <ns0:is>
          <ns0:t>0x00000013</ns0:t>
        </ns0:is>
      </ns0:c>
      <ns0:c r="D251" s="21" t="inlineStr">
        <ns0:is>
          <ns0:t>nop</ns0:t>
        </ns0:is>
      </ns0:c>
      <ns0:c r="E251" s="22" t="inlineStr">
        <ns0:is>
          <ns0:t>nop</ns0:t>
        </ns0:is>
      </ns0:c>
      <ns0:c r="F251" s="22" t="inlineStr">
        <ns0:is>
          <ns0:t>0010011</ns0:t>
        </ns0:is>
      </ns0:c>
      <ns0:c r="G251" s="22" t="inlineStr">
        <ns0:is>
          <ns0:t>0000 0000 0000 0000 0000 0000 0001 0011</ns0:t>
        </ns0:is>
      </ns0:c>
      <ns0:c r="H251" s="21" t="inlineStr">
        <ns0:is>
          <ns0:t>NOP / PADDING</ns0:t>
        </ns0:is>
      </ns0:c>
      <ns0:c r="I251" s="21">
        <ns0:f>COUNTIF('ДАННЫЕ T3'!$F$6:$F$286,B251)</ns0:f>
        <ns0:v>0</ns0:v>
      </ns0:c>
      <ns0:c r="J251" s="21" t="str">
        <ns0:f>IF(I251&gt;0,"FETCH зарегистрирован","Нет FETCH в окне")</ns0:f>
        <ns0:v>Нет FETCH в окне</ns0:v>
      </ns0:c>
    </ns0:row>
    <ns0:row r="252">
      <ns0:c r="A252" s="21" t="n">
        <ns0:v>246</ns0:v>
      </ns0:c>
      <ns0:c r="B252" s="22" t="inlineStr">
        <ns0:is>
          <ns0:t>0x000003D8</ns0:t>
        </ns0:is>
      </ns0:c>
      <ns0:c r="C252" s="22" t="inlineStr">
        <ns0:is>
          <ns0:t>0x00000013</ns0:t>
        </ns0:is>
      </ns0:c>
      <ns0:c r="D252" s="21" t="inlineStr">
        <ns0:is>
          <ns0:t>nop</ns0:t>
        </ns0:is>
      </ns0:c>
      <ns0:c r="E252" s="22" t="inlineStr">
        <ns0:is>
          <ns0:t>nop</ns0:t>
        </ns0:is>
      </ns0:c>
      <ns0:c r="F252" s="22" t="inlineStr">
        <ns0:is>
          <ns0:t>0010011</ns0:t>
        </ns0:is>
      </ns0:c>
      <ns0:c r="G252" s="22" t="inlineStr">
        <ns0:is>
          <ns0:t>0000 0000 0000 0000 0000 0000 0001 0011</ns0:t>
        </ns0:is>
      </ns0:c>
      <ns0:c r="H252" s="21" t="inlineStr">
        <ns0:is>
          <ns0:t>NOP / PADDING</ns0:t>
        </ns0:is>
      </ns0:c>
      <ns0:c r="I252" s="21">
        <ns0:f>COUNTIF('ДАННЫЕ T3'!$F$6:$F$286,B252)</ns0:f>
        <ns0:v>0</ns0:v>
      </ns0:c>
      <ns0:c r="J252" s="21" t="str">
        <ns0:f>IF(I252&gt;0,"FETCH зарегистрирован","Нет FETCH в окне")</ns0:f>
        <ns0:v>Нет FETCH в окне</ns0:v>
      </ns0:c>
    </ns0:row>
    <ns0:row r="253">
      <ns0:c r="A253" s="21" t="n">
        <ns0:v>247</ns0:v>
      </ns0:c>
      <ns0:c r="B253" s="22" t="inlineStr">
        <ns0:is>
          <ns0:t>0x000003DC</ns0:t>
        </ns0:is>
      </ns0:c>
      <ns0:c r="C253" s="22" t="inlineStr">
        <ns0:is>
          <ns0:t>0x00000013</ns0:t>
        </ns0:is>
      </ns0:c>
      <ns0:c r="D253" s="21" t="inlineStr">
        <ns0:is>
          <ns0:t>nop</ns0:t>
        </ns0:is>
      </ns0:c>
      <ns0:c r="E253" s="22" t="inlineStr">
        <ns0:is>
          <ns0:t>nop</ns0:t>
        </ns0:is>
      </ns0:c>
      <ns0:c r="F253" s="22" t="inlineStr">
        <ns0:is>
          <ns0:t>0010011</ns0:t>
        </ns0:is>
      </ns0:c>
      <ns0:c r="G253" s="22" t="inlineStr">
        <ns0:is>
          <ns0:t>0000 0000 0000 0000 0000 0000 0001 0011</ns0:t>
        </ns0:is>
      </ns0:c>
      <ns0:c r="H253" s="21" t="inlineStr">
        <ns0:is>
          <ns0:t>NOP / PADDING</ns0:t>
        </ns0:is>
      </ns0:c>
      <ns0:c r="I253" s="21">
        <ns0:f>COUNTIF('ДАННЫЕ T3'!$F$6:$F$286,B253)</ns0:f>
        <ns0:v>0</ns0:v>
      </ns0:c>
      <ns0:c r="J253" s="21" t="str">
        <ns0:f>IF(I253&gt;0,"FETCH зарегистрирован","Нет FETCH в окне")</ns0:f>
        <ns0:v>Нет FETCH в окне</ns0:v>
      </ns0:c>
    </ns0:row>
    <ns0:row r="254">
      <ns0:c r="A254" s="21" t="n">
        <ns0:v>248</ns0:v>
      </ns0:c>
      <ns0:c r="B254" s="22" t="inlineStr">
        <ns0:is>
          <ns0:t>0x000003E0</ns0:t>
        </ns0:is>
      </ns0:c>
      <ns0:c r="C254" s="22" t="inlineStr">
        <ns0:is>
          <ns0:t>0x00000013</ns0:t>
        </ns0:is>
      </ns0:c>
      <ns0:c r="D254" s="21" t="inlineStr">
        <ns0:is>
          <ns0:t>nop</ns0:t>
        </ns0:is>
      </ns0:c>
      <ns0:c r="E254" s="22" t="inlineStr">
        <ns0:is>
          <ns0:t>nop</ns0:t>
        </ns0:is>
      </ns0:c>
      <ns0:c r="F254" s="22" t="inlineStr">
        <ns0:is>
          <ns0:t>0010011</ns0:t>
        </ns0:is>
      </ns0:c>
      <ns0:c r="G254" s="22" t="inlineStr">
        <ns0:is>
          <ns0:t>0000 0000 0000 0000 0000 0000 0001 0011</ns0:t>
        </ns0:is>
      </ns0:c>
      <ns0:c r="H254" s="21" t="inlineStr">
        <ns0:is>
          <ns0:t>NOP / PADDING</ns0:t>
        </ns0:is>
      </ns0:c>
      <ns0:c r="I254" s="21">
        <ns0:f>COUNTIF('ДАННЫЕ T3'!$F$6:$F$286,B254)</ns0:f>
        <ns0:v>0</ns0:v>
      </ns0:c>
      <ns0:c r="J254" s="21" t="str">
        <ns0:f>IF(I254&gt;0,"FETCH зарегистрирован","Нет FETCH в окне")</ns0:f>
        <ns0:v>Нет FETCH в окне</ns0:v>
      </ns0:c>
    </ns0:row>
    <ns0:row r="255">
      <ns0:c r="A255" s="21" t="n">
        <ns0:v>249</ns0:v>
      </ns0:c>
      <ns0:c r="B255" s="22" t="inlineStr">
        <ns0:is>
          <ns0:t>0x000003E4</ns0:t>
        </ns0:is>
      </ns0:c>
      <ns0:c r="C255" s="22" t="inlineStr">
        <ns0:is>
          <ns0:t>0x00000013</ns0:t>
        </ns0:is>
      </ns0:c>
      <ns0:c r="D255" s="21" t="inlineStr">
        <ns0:is>
          <ns0:t>nop</ns0:t>
        </ns0:is>
      </ns0:c>
      <ns0:c r="E255" s="22" t="inlineStr">
        <ns0:is>
          <ns0:t>nop</ns0:t>
        </ns0:is>
      </ns0:c>
      <ns0:c r="F255" s="22" t="inlineStr">
        <ns0:is>
          <ns0:t>0010011</ns0:t>
        </ns0:is>
      </ns0:c>
      <ns0:c r="G255" s="22" t="inlineStr">
        <ns0:is>
          <ns0:t>0000 0000 0000 0000 0000 0000 0001 0011</ns0:t>
        </ns0:is>
      </ns0:c>
      <ns0:c r="H255" s="21" t="inlineStr">
        <ns0:is>
          <ns0:t>NOP / PADDING</ns0:t>
        </ns0:is>
      </ns0:c>
      <ns0:c r="I255" s="21">
        <ns0:f>COUNTIF('ДАННЫЕ T3'!$F$6:$F$286,B255)</ns0:f>
        <ns0:v>0</ns0:v>
      </ns0:c>
      <ns0:c r="J255" s="21" t="str">
        <ns0:f>IF(I255&gt;0,"FETCH зарегистрирован","Нет FETCH в окне")</ns0:f>
        <ns0:v>Нет FETCH в окне</ns0:v>
      </ns0:c>
    </ns0:row>
    <ns0:row r="256">
      <ns0:c r="A256" s="21" t="n">
        <ns0:v>250</ns0:v>
      </ns0:c>
      <ns0:c r="B256" s="22" t="inlineStr">
        <ns0:is>
          <ns0:t>0x000003E8</ns0:t>
        </ns0:is>
      </ns0:c>
      <ns0:c r="C256" s="22" t="inlineStr">
        <ns0:is>
          <ns0:t>0x00000013</ns0:t>
        </ns0:is>
      </ns0:c>
      <ns0:c r="D256" s="21" t="inlineStr">
        <ns0:is>
          <ns0:t>nop</ns0:t>
        </ns0:is>
      </ns0:c>
      <ns0:c r="E256" s="22" t="inlineStr">
        <ns0:is>
          <ns0:t>nop</ns0:t>
        </ns0:is>
      </ns0:c>
      <ns0:c r="F256" s="22" t="inlineStr">
        <ns0:is>
          <ns0:t>0010011</ns0:t>
        </ns0:is>
      </ns0:c>
      <ns0:c r="G256" s="22" t="inlineStr">
        <ns0:is>
          <ns0:t>0000 0000 0000 0000 0000 0000 0001 0011</ns0:t>
        </ns0:is>
      </ns0:c>
      <ns0:c r="H256" s="21" t="inlineStr">
        <ns0:is>
          <ns0:t>NOP / PADDING</ns0:t>
        </ns0:is>
      </ns0:c>
      <ns0:c r="I256" s="21">
        <ns0:f>COUNTIF('ДАННЫЕ T3'!$F$6:$F$286,B256)</ns0:f>
        <ns0:v>0</ns0:v>
      </ns0:c>
      <ns0:c r="J256" s="21" t="str">
        <ns0:f>IF(I256&gt;0,"FETCH зарегистрирован","Нет FETCH в окне")</ns0:f>
        <ns0:v>Нет FETCH в окне</ns0:v>
      </ns0:c>
    </ns0:row>
    <ns0:row r="257">
      <ns0:c r="A257" s="21" t="n">
        <ns0:v>251</ns0:v>
      </ns0:c>
      <ns0:c r="B257" s="22" t="inlineStr">
        <ns0:is>
          <ns0:t>0x000003EC</ns0:t>
        </ns0:is>
      </ns0:c>
      <ns0:c r="C257" s="22" t="inlineStr">
        <ns0:is>
          <ns0:t>0x00000013</ns0:t>
        </ns0:is>
      </ns0:c>
      <ns0:c r="D257" s="21" t="inlineStr">
        <ns0:is>
          <ns0:t>nop</ns0:t>
        </ns0:is>
      </ns0:c>
      <ns0:c r="E257" s="22" t="inlineStr">
        <ns0:is>
          <ns0:t>nop</ns0:t>
        </ns0:is>
      </ns0:c>
      <ns0:c r="F257" s="22" t="inlineStr">
        <ns0:is>
          <ns0:t>0010011</ns0:t>
        </ns0:is>
      </ns0:c>
      <ns0:c r="G257" s="22" t="inlineStr">
        <ns0:is>
          <ns0:t>0000 0000 0000 0000 0000 0000 0001 0011</ns0:t>
        </ns0:is>
      </ns0:c>
      <ns0:c r="H257" s="21" t="inlineStr">
        <ns0:is>
          <ns0:t>NOP / PADDING</ns0:t>
        </ns0:is>
      </ns0:c>
      <ns0:c r="I257" s="21">
        <ns0:f>COUNTIF('ДАННЫЕ T3'!$F$6:$F$286,B257)</ns0:f>
        <ns0:v>0</ns0:v>
      </ns0:c>
      <ns0:c r="J257" s="21" t="str">
        <ns0:f>IF(I257&gt;0,"FETCH зарегистрирован","Нет FETCH в окне")</ns0:f>
        <ns0:v>Нет FETCH в окне</ns0:v>
      </ns0:c>
    </ns0:row>
    <ns0:row r="258">
      <ns0:c r="A258" s="21" t="n">
        <ns0:v>252</ns0:v>
      </ns0:c>
      <ns0:c r="B258" s="22" t="inlineStr">
        <ns0:is>
          <ns0:t>0x000003F0</ns0:t>
        </ns0:is>
      </ns0:c>
      <ns0:c r="C258" s="22" t="inlineStr">
        <ns0:is>
          <ns0:t>0x00000013</ns0:t>
        </ns0:is>
      </ns0:c>
      <ns0:c r="D258" s="21" t="inlineStr">
        <ns0:is>
          <ns0:t>nop</ns0:t>
        </ns0:is>
      </ns0:c>
      <ns0:c r="E258" s="22" t="inlineStr">
        <ns0:is>
          <ns0:t>nop</ns0:t>
        </ns0:is>
      </ns0:c>
      <ns0:c r="F258" s="22" t="inlineStr">
        <ns0:is>
          <ns0:t>0010011</ns0:t>
        </ns0:is>
      </ns0:c>
      <ns0:c r="G258" s="22" t="inlineStr">
        <ns0:is>
          <ns0:t>0000 0000 0000 0000 0000 0000 0001 0011</ns0:t>
        </ns0:is>
      </ns0:c>
      <ns0:c r="H258" s="21" t="inlineStr">
        <ns0:is>
          <ns0:t>NOP / PADDING</ns0:t>
        </ns0:is>
      </ns0:c>
      <ns0:c r="I258" s="21">
        <ns0:f>COUNTIF('ДАННЫЕ T3'!$F$6:$F$286,B258)</ns0:f>
        <ns0:v>0</ns0:v>
      </ns0:c>
      <ns0:c r="J258" s="21" t="str">
        <ns0:f>IF(I258&gt;0,"FETCH зарегистрирован","Нет FETCH в окне")</ns0:f>
        <ns0:v>Нет FETCH в окне</ns0:v>
      </ns0:c>
    </ns0:row>
    <ns0:row r="259">
      <ns0:c r="A259" s="21" t="n">
        <ns0:v>253</ns0:v>
      </ns0:c>
      <ns0:c r="B259" s="22" t="inlineStr">
        <ns0:is>
          <ns0:t>0x000003F4</ns0:t>
        </ns0:is>
      </ns0:c>
      <ns0:c r="C259" s="22" t="inlineStr">
        <ns0:is>
          <ns0:t>0x00000013</ns0:t>
        </ns0:is>
      </ns0:c>
      <ns0:c r="D259" s="21" t="inlineStr">
        <ns0:is>
          <ns0:t>nop</ns0:t>
        </ns0:is>
      </ns0:c>
      <ns0:c r="E259" s="22" t="inlineStr">
        <ns0:is>
          <ns0:t>nop</ns0:t>
        </ns0:is>
      </ns0:c>
      <ns0:c r="F259" s="22" t="inlineStr">
        <ns0:is>
          <ns0:t>0010011</ns0:t>
        </ns0:is>
      </ns0:c>
      <ns0:c r="G259" s="22" t="inlineStr">
        <ns0:is>
          <ns0:t>0000 0000 0000 0000 0000 0000 0001 0011</ns0:t>
        </ns0:is>
      </ns0:c>
      <ns0:c r="H259" s="21" t="inlineStr">
        <ns0:is>
          <ns0:t>NOP / PADDING</ns0:t>
        </ns0:is>
      </ns0:c>
      <ns0:c r="I259" s="21">
        <ns0:f>COUNTIF('ДАННЫЕ T3'!$F$6:$F$286,B259)</ns0:f>
        <ns0:v>0</ns0:v>
      </ns0:c>
      <ns0:c r="J259" s="21" t="str">
        <ns0:f>IF(I259&gt;0,"FETCH зарегистрирован","Нет FETCH в окне")</ns0:f>
        <ns0:v>Нет FETCH в окне</ns0:v>
      </ns0:c>
    </ns0:row>
    <ns0:row r="260">
      <ns0:c r="A260" s="21" t="n">
        <ns0:v>254</ns0:v>
      </ns0:c>
      <ns0:c r="B260" s="22" t="inlineStr">
        <ns0:is>
          <ns0:t>0x000003F8</ns0:t>
        </ns0:is>
      </ns0:c>
      <ns0:c r="C260" s="22" t="inlineStr">
        <ns0:is>
          <ns0:t>0x00000013</ns0:t>
        </ns0:is>
      </ns0:c>
      <ns0:c r="D260" s="21" t="inlineStr">
        <ns0:is>
          <ns0:t>nop</ns0:t>
        </ns0:is>
      </ns0:c>
      <ns0:c r="E260" s="22" t="inlineStr">
        <ns0:is>
          <ns0:t>nop</ns0:t>
        </ns0:is>
      </ns0:c>
      <ns0:c r="F260" s="22" t="inlineStr">
        <ns0:is>
          <ns0:t>0010011</ns0:t>
        </ns0:is>
      </ns0:c>
      <ns0:c r="G260" s="22" t="inlineStr">
        <ns0:is>
          <ns0:t>0000 0000 0000 0000 0000 0000 0001 0011</ns0:t>
        </ns0:is>
      </ns0:c>
      <ns0:c r="H260" s="21" t="inlineStr">
        <ns0:is>
          <ns0:t>NOP / PADDING</ns0:t>
        </ns0:is>
      </ns0:c>
      <ns0:c r="I260" s="21">
        <ns0:f>COUNTIF('ДАННЫЕ T3'!$F$6:$F$286,B260)</ns0:f>
        <ns0:v>0</ns0:v>
      </ns0:c>
      <ns0:c r="J260" s="21" t="str">
        <ns0:f>IF(I260&gt;0,"FETCH зарегистрирован","Нет FETCH в окне")</ns0:f>
        <ns0:v>Нет FETCH в окне</ns0:v>
      </ns0:c>
    </ns0:row>
    <ns0:row r="261">
      <ns0:c r="A261" s="21" t="n">
        <ns0:v>255</ns0:v>
      </ns0:c>
      <ns0:c r="B261" s="22" t="inlineStr">
        <ns0:is>
          <ns0:t>0x000003FC</ns0:t>
        </ns0:is>
      </ns0:c>
      <ns0:c r="C261" s="22" t="inlineStr">
        <ns0:is>
          <ns0:t>0x00000013</ns0:t>
        </ns0:is>
      </ns0:c>
      <ns0:c r="D261" s="21" t="inlineStr">
        <ns0:is>
          <ns0:t>nop</ns0:t>
        </ns0:is>
      </ns0:c>
      <ns0:c r="E261" s="22" t="inlineStr">
        <ns0:is>
          <ns0:t>nop</ns0:t>
        </ns0:is>
      </ns0:c>
      <ns0:c r="F261" s="22" t="inlineStr">
        <ns0:is>
          <ns0:t>0010011</ns0:t>
        </ns0:is>
      </ns0:c>
      <ns0:c r="G261" s="22" t="inlineStr">
        <ns0:is>
          <ns0:t>0000 0000 0000 0000 0000 0000 0001 0011</ns0:t>
        </ns0:is>
      </ns0:c>
      <ns0:c r="H261" s="21" t="inlineStr">
        <ns0:is>
          <ns0:t>NOP / PADDING</ns0:t>
        </ns0:is>
      </ns0:c>
      <ns0:c r="I261" s="21">
        <ns0:f>COUNTIF('ДАННЫЕ T3'!$F$6:$F$286,B261)</ns0:f>
        <ns0:v>0</ns0:v>
      </ns0:c>
      <ns0:c r="J261" s="21" t="str">
        <ns0:f>IF(I261&gt;0,"FETCH зарегистрирован","Нет FETCH в окне")</ns0:f>
        <ns0:v>Нет FETCH в окне</ns0:v>
      </ns0:c>
    </ns0:row>
  </ns0:sheetData>
  <ns0:autoFilter ref="A5:J261"/>
  <ns0:mergeCells count="2">
    <ns0:mergeCell ref="A1:N2"/>
    <ns0:mergeCell ref="A3:N3"/>
  </ns0:mergeCells>
  <ns0:hyperlinks>
    <ns0:hyperlink ref="A4" location="'ИНСТРУКЦИЯ'!A1" display="СТАРТ"/>
    <ns0:hyperlink ref="B4" location="'ПУЛЬТ'!A1" display="НАБЛЮДЕНИЕ"/>
    <ns0:hyperlink ref="C4" location="'СРАВНЕНИЕ'!A1" display="СРАВНЕНИЕ"/>
    <ns0:hyperlink ref="D4" location="'МОДЕЛЬ MMIO'!A1" display="LED / MMIO"/>
    <ns0:hyperlink ref="E4" location="'КОМАНДЫ'!A1" display="КОМАНДЫ"/>
    <ns0:hyperlink ref="F4" location="'ЗАХВАТЫ'!A1" display="12 ТРАСС"/>
    <ns0:hyperlink ref="G4" location="'ДАННЫЕ T3'!A1" display="RAW T3"/>
    <ns0:hyperlink ref="H4" location="'ROM LAB03'!A1" display="ROM"/>
    <ns0:hyperlink ref="I4" location="'СЛОВАРЬ'!A1" display="ТЕРМИНЫ"/>
    <ns0:hyperlink ref="J4" location="'ИСТОЧНИКИ'!A1" display="ПРОИСХОЖДЕНИЕ"/>
    <ns0:hyperlink ref="K4" ns1:id="rId1"/>
    <ns0:hyperlink ref="L4" ns1:id="rId2"/>
  </ns0:hyperlinks>
  <ns0:printOptions horizontalCentered="0" gridLines="0"/>
  <ns0:pageMargins left="0.75" right="0.75" top="1" bottom="1" header="0.5" footer="0.5"/>
  <ns0:pageSetup fitToHeight="0" fitToWidth="1"/>
  <ns0:legacyDrawing ns1:id="anysvml"/>
</ns0:worksheet>
</file>

<file path=xl/worksheets/sheet4.xml><?xml version="1.0" encoding="utf-8"?>
<ns0:worksheet xmlns:ns0="http://schemas.openxmlformats.org/spreadsheetml/2006/main" xmlns:ns1="http://schemas.openxmlformats.org/officeDocument/2006/relationships">
  <ns0:sheetPr>
    <ns0:tabColor rgb="0000A9A5"/>
    <ns0:outlinePr summaryBelow="1" summaryRight="1"/>
    <ns0:pageSetUpPr fitToPage="1"/>
  </ns0:sheetPr>
  <ns0:dimension ref="A1:P43"/>
  <ns0:sheetViews>
    <ns0:sheetView showGridLines="0" zoomScale="9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9"/>
  <ns0:cols>
    <ns0:col width="11" customWidth="1" min="1" max="1"/>
    <ns0:col width="11" customWidth="1" min="2" max="2"/>
    <ns0:col width="27" customWidth="1" min="3" max="3"/>
    <ns0:col width="14" customWidth="1" min="4" max="4"/>
    <ns0:col width="15" customWidth="1" min="5" max="5"/>
    <ns0:col width="18" customWidth="1" min="6" max="6"/>
    <ns0:col width="18" customWidth="1" min="7" max="7"/>
    <ns0:col width="18" customWidth="1" min="8" max="8"/>
    <ns0:col width="18" customWidth="1" min="9" max="9"/>
    <ns0:col width="15" customWidth="1" min="10" max="10"/>
    <ns0:col width="28" customWidth="1" min="11" max="11"/>
    <ns0:col width="66" customWidth="1" min="12" max="12"/>
    <ns0:col width="13" customWidth="1" min="13" max="13"/>
    <ns0:col width="4" customWidth="1" min="14" max="14"/>
    <ns0:col width="14" customWidth="1" min="15" max="15"/>
    <ns0:col width="14" customWidth="1" min="16" max="16"/>
  </ns0:cols>
  <ns0:sheetData>
    <ns0:row r="1" ht="26" customHeight="1">
      <ns0:c r="A1" s="1" t="inlineStr">
        <ns0:is>
          <ns0:t>12 АППАРАТНЫХ ЗАХВАТОВ</ns0:t>
        </ns0:is>
      </ns0:c>
    </ns0:row>
    <ns0:row r="2" ht="20" customHeight="1"/>
    <ns0:row r="3" ht="29" customHeight="1">
      <ns0:c r="A3" s="3" t="inlineStr">
        <ns0:is>
          <ns0:t>Серия LAB-03.3 • каждая строка связана с сырыми T3 • RAW FETCH меняется, CORE — устойчивый</ns0:t>
        </ns0:is>
      </ns0:c>
    </ns0:row>
    <ns0:row r="4" ht="26" customHeight="1">
      <ns0:c r="A4" s="5" t="inlineStr">
        <ns0:is>
          <ns0:t>СТАРТ</ns0:t>
        </ns0:is>
      </ns0:c>
      <ns0:c r="B4" s="5" t="inlineStr">
        <ns0:is>
          <ns0:t>НАБЛЮДЕНИЕ</ns0:t>
        </ns0:is>
      </ns0:c>
      <ns0:c r="C4" s="5" t="inlineStr">
        <ns0:is>
          <ns0:t>СРАВНЕНИЕ</ns0:t>
        </ns0:is>
      </ns0:c>
      <ns0:c r="D4" s="5" t="inlineStr">
        <ns0:is>
          <ns0:t>LED / MMIO</ns0:t>
        </ns0:is>
      </ns0:c>
      <ns0:c r="E4" s="5" t="inlineStr">
        <ns0:is>
          <ns0:t>КОМАНДЫ</ns0:t>
        </ns0:is>
      </ns0:c>
      <ns0:c r="F4" s="4" t="inlineStr">
        <ns0:is>
          <ns0:t>12 ТРАСС</ns0:t>
        </ns0:is>
      </ns0:c>
      <ns0:c r="G4" s="5" t="inlineStr">
        <ns0:is>
          <ns0:t>RAW T3</ns0:t>
        </ns0:is>
      </ns0:c>
      <ns0:c r="H4" s="5" t="inlineStr">
        <ns0:is>
          <ns0:t>ROM</ns0:t>
        </ns0:is>
      </ns0:c>
      <ns0:c r="I4" s="5" t="inlineStr">
        <ns0:is>
          <ns0:t>ТЕРМИНЫ</ns0:t>
        </ns0:is>
      </ns0:c>
      <ns0:c r="J4" s="5" t="inlineStr">
        <ns0:is>
          <ns0:t>ПРОИСХОЖДЕНИЕ</ns0:t>
        </ns0:is>
      </ns0:c>
      <ns0:c r="K4" s="59" t="inlineStr">
        <ns0:is>
          <ns0:t>БИТЫ 202</ns0:t>
        </ns0:is>
      </ns0:c>
      <ns0:c r="L4" s="59" t="inlineStr">
        <ns0:is>
          <ns0:t>10 КАРТОЧЕК</ns0:t>
        </ns0:is>
      </ns0:c>
    </ns0:row>
    <ns0:row r="5" ht="35" customHeight="1">
      <ns0:c r="A5" s="13" t="inlineStr">
        <ns0:is>
          <ns0:t>№ захвата</ns0:t>
        </ns0:is>
      </ns0:c>
      <ns0:c r="B5" s="13" t="inlineStr">
        <ns0:is>
          <ns0:t>UART</ns0:t>
        </ns0:is>
      </ns0:c>
      <ns0:c r="C5" s="13" t="inlineStr">
        <ns0:is>
          <ns0:t>UTC</ns0:t>
        </ns0:is>
      </ns0:c>
      <ns0:c r="D5" s="13" t="inlineStr">
        <ns0:is>
          <ns0:t>FETCH RAW</ns0:t>
        </ns0:is>
      </ns0:c>
      <ns0:c r="E5" s="13" t="inlineStr">
        <ns0:is>
          <ns0:t>Событий</ns0:t>
        </ns0:is>
      </ns0:c>
      <ns0:c r="F5" s="13" t="inlineStr">
        <ns0:is>
          <ns0:t>LED_WRITE</ns0:t>
        </ns0:is>
      </ns0:c>
      <ns0:c r="G5" s="13" t="inlineStr">
        <ns0:is>
          <ns0:t>До PC=0x48</ns0:t>
        </ns0:is>
      </ns0:c>
      <ns0:c r="H5" s="13" t="inlineStr">
        <ns0:is>
          <ns0:t>CORE FETCH</ns0:t>
        </ns0:is>
      </ns0:c>
      <ns0:c r="I5" s="13" t="inlineStr">
        <ns0:is>
          <ns0:t>CORE событий</ns0:t>
        </ns0:is>
      </ns0:c>
      <ns0:c r="J5" s="13" t="inlineStr">
        <ns0:is>
          <ns0:t>Проверка</ns0:t>
        </ns0:is>
      </ns0:c>
      <ns0:c r="K5" s="13" t="inlineStr">
        <ns0:is>
          <ns0:t>Raw filename</ns0:t>
        </ns0:is>
      </ns0:c>
      <ns0:c r="L5" s="13" t="inlineStr">
        <ns0:is>
          <ns0:t>SHA-256 RAW</ns0:t>
        </ns0:is>
      </ns0:c>
      <ns0:c r="M5" s="13" t="inlineStr">
        <ns0:is>
          <ns0:t>SHA ОК</ns0:t>
        </ns0:is>
      </ns0:c>
      <ns0:c r="O5" t="inlineStr">
        <ns0:is>
          <ns0:t>UART 0</ns0:t>
        </ns0:is>
      </ns0:c>
      <ns0:c r="P5" t="inlineStr">
        <ns0:is>
          <ns0:t>UART 4</ns0:t>
        </ns0:is>
      </ns0:c>
    </ns0:row>
    <ns0:row r="6">
      <ns0:c r="A6" t="n">
        <ns0:v>1</ns0:v>
      </ns0:c>
      <ns0:c r="B6" s="17" t="inlineStr">
        <ns0:is>
          <ns0:t>4</ns0:t>
        </ns0:is>
      </ns0:c>
      <ns0:c r="C6" t="inlineStr">
        <ns0:is>
          <ns0:t>2026-10-20T21:46:43+00:00</ns0:t>
        </ns0:is>
      </ns0:c>
      <ns0:c r="D6">
        <ns0:f>COUNTIFS('ДАННЫЕ T3'!$A$6:$A$286,A6,'ДАННЫЕ T3'!$E$6:$E$286,"FETCH")</ns0:f>
        <ns0:v>25</ns0:v>
      </ns0:c>
      <ns0:c r="E6">
        <ns0:f>COUNTIF('ДАННЫЕ T3'!$A$6:$A$286,A6)</ns0:f>
        <ns0:v>26</ns0:v>
      </ns0:c>
      <ns0:c r="F6" t="str">
        <ns0:f>IFERROR(INDEX('ДАННЫЕ T3'!$G$6:$G$286,MATCH(A6*1000+E6,'ДАННЫЕ T3'!$K$6:$K$286,0)),"")</ns0:f>
        <ns0:v>0x00000008</ns0:v>
      </ns0:c>
      <ns0:c r="G6">
        <ns0:f>SUMIFS('ДАННЫЕ T3'!$P$6:$P$286,'ДАННЫЕ T3'!$A$6:$A$286,A6)</ns0:f>
        <ns0:v>3</ns0:v>
      </ns0:c>
      <ns0:c r="H6">
        <ns0:f>D6-G6</ns0:f>
        <ns0:v>22</ns0:v>
      </ns0:c>
      <ns0:c r="I6">
        <ns0:f>E6-G6</ns0:f>
        <ns0:v>23</ns0:v>
      </ns0:c>
      <ns0:c r="J6" s="23" t="inlineStr">
        <ns0:is>
          <ns0:t>PASS</ns0:t>
        </ns0:is>
      </ns0:c>
      <ns0:c r="K6" t="inlineStr">
        <ns0:is>
          <ns0:t>raw/run_001_led_4.txt</ns0:t>
        </ns0:is>
      </ns0:c>
      <ns0:c r="L6" s="15" t="inlineStr">
        <ns0:is>
          <ns0:t>60cf35d5d2ba61aeb1cd157b97139bd75db83c8adb7ca58cd3f09c99e0cfd170</ns0:t>
        </ns0:is>
      </ns0:c>
      <ns0:c r="M6" t="inlineStr">
        <ns0:is>
          <ns0:t>OK</ns0:t>
        </ns0:is>
      </ns0:c>
      <ns0:c r="O6">
        <ns0:f>IF(B6="0",D6,0)</ns0:f>
        <ns0:v>0</ns0:v>
      </ns0:c>
      <ns0:c r="P6">
        <ns0:f>IF(B6="4",D6,0)</ns0:f>
        <ns0:v>25</ns0:v>
      </ns0:c>
    </ns0:row>
    <ns0:row r="7">
      <ns0:c r="A7" t="n">
        <ns0:v>2</ns0:v>
      </ns0:c>
      <ns0:c r="B7" s="16" t="inlineStr">
        <ns0:is>
          <ns0:t>0</ns0:t>
        </ns0:is>
      </ns0:c>
      <ns0:c r="C7" t="inlineStr">
        <ns0:is>
          <ns0:t>2026-10-20T21:46:45+00:00</ns0:t>
        </ns0:is>
      </ns0:c>
      <ns0:c r="D7">
        <ns0:f>COUNTIFS('ДАННЫЕ T3'!$A$6:$A$286,A7,'ДАННЫЕ T3'!$E$6:$E$286,"FETCH")</ns0:f>
        <ns0:v>19</ns0:v>
      </ns0:c>
      <ns0:c r="E7">
        <ns0:f>COUNTIF('ДАННЫЕ T3'!$A$6:$A$286,A7)</ns0:f>
        <ns0:v>20</ns0:v>
      </ns0:c>
      <ns0:c r="F7" t="str">
        <ns0:f>IFERROR(INDEX('ДАННЫЕ T3'!$G$6:$G$286,MATCH(A7*1000+E7,'ДАННЫЕ T3'!$K$6:$K$286,0)),"")</ns0:f>
        <ns0:v>0x00000000</ns0:v>
      </ns0:c>
      <ns0:c r="G7">
        <ns0:f>SUMIFS('ДАННЫЕ T3'!$P$6:$P$286,'ДАННЫЕ T3'!$A$6:$A$286,A7)</ns0:f>
        <ns0:v>5</ns0:v>
      </ns0:c>
      <ns0:c r="H7">
        <ns0:f>D7-G7</ns0:f>
        <ns0:v>14</ns0:v>
      </ns0:c>
      <ns0:c r="I7">
        <ns0:f>E7-G7</ns0:f>
        <ns0:v>15</ns0:v>
      </ns0:c>
      <ns0:c r="J7" s="23" t="inlineStr">
        <ns0:is>
          <ns0:t>PASS</ns0:t>
        </ns0:is>
      </ns0:c>
      <ns0:c r="K7" t="inlineStr">
        <ns0:is>
          <ns0:t>raw/run_002_led_0.txt</ns0:t>
        </ns0:is>
      </ns0:c>
      <ns0:c r="L7" s="15" t="inlineStr">
        <ns0:is>
          <ns0:t>812d585cb3d91486edbaaee4ea773d6277be2bfac568376899e2459bf5c9888b</ns0:t>
        </ns0:is>
      </ns0:c>
      <ns0:c r="M7" t="inlineStr">
        <ns0:is>
          <ns0:t>OK</ns0:t>
        </ns0:is>
      </ns0:c>
      <ns0:c r="O7">
        <ns0:f>IF(B7="0",D7,0)</ns0:f>
        <ns0:v>19</ns0:v>
      </ns0:c>
      <ns0:c r="P7">
        <ns0:f>IF(B7="4",D7,0)</ns0:f>
        <ns0:v>0</ns0:v>
      </ns0:c>
    </ns0:row>
    <ns0:row r="8">
      <ns0:c r="A8" t="n">
        <ns0:v>3</ns0:v>
      </ns0:c>
      <ns0:c r="B8" s="17" t="inlineStr">
        <ns0:is>
          <ns0:t>4</ns0:t>
        </ns0:is>
      </ns0:c>
      <ns0:c r="C8" t="inlineStr">
        <ns0:is>
          <ns0:t>2026-10-20T21:46:47+00:00</ns0:t>
        </ns0:is>
      </ns0:c>
      <ns0:c r="D8">
        <ns0:f>COUNTIFS('ДАННЫЕ T3'!$A$6:$A$286,A8,'ДАННЫЕ T3'!$E$6:$E$286,"FETCH")</ns0:f>
        <ns0:v>24</ns0:v>
      </ns0:c>
      <ns0:c r="E8">
        <ns0:f>COUNTIF('ДАННЫЕ T3'!$A$6:$A$286,A8)</ns0:f>
        <ns0:v>25</ns0:v>
      </ns0:c>
      <ns0:c r="F8" t="str">
        <ns0:f>IFERROR(INDEX('ДАННЫЕ T3'!$G$6:$G$286,MATCH(A8*1000+E8,'ДАННЫЕ T3'!$K$6:$K$286,0)),"")</ns0:f>
        <ns0:v>0x00000008</ns0:v>
      </ns0:c>
      <ns0:c r="G8">
        <ns0:f>SUMIFS('ДАННЫЕ T3'!$P$6:$P$286,'ДАННЫЕ T3'!$A$6:$A$286,A8)</ns0:f>
        <ns0:v>2</ns0:v>
      </ns0:c>
      <ns0:c r="H8">
        <ns0:f>D8-G8</ns0:f>
        <ns0:v>22</ns0:v>
      </ns0:c>
      <ns0:c r="I8">
        <ns0:f>E8-G8</ns0:f>
        <ns0:v>23</ns0:v>
      </ns0:c>
      <ns0:c r="J8" s="23" t="inlineStr">
        <ns0:is>
          <ns0:t>PASS</ns0:t>
        </ns0:is>
      </ns0:c>
      <ns0:c r="K8" t="inlineStr">
        <ns0:is>
          <ns0:t>raw/run_003_led_4.txt</ns0:t>
        </ns0:is>
      </ns0:c>
      <ns0:c r="L8" s="15" t="inlineStr">
        <ns0:is>
          <ns0:t>ba2a4c72611cb82f8e54ee2b2bad4f725d22fc314a17c2f0a6a0efd1d497b80f</ns0:t>
        </ns0:is>
      </ns0:c>
      <ns0:c r="M8" t="inlineStr">
        <ns0:is>
          <ns0:t>OK</ns0:t>
        </ns0:is>
      </ns0:c>
      <ns0:c r="O8">
        <ns0:f>IF(B8="0",D8,0)</ns0:f>
        <ns0:v>0</ns0:v>
      </ns0:c>
      <ns0:c r="P8">
        <ns0:f>IF(B8="4",D8,0)</ns0:f>
        <ns0:v>24</ns0:v>
      </ns0:c>
    </ns0:row>
    <ns0:row r="9">
      <ns0:c r="A9" t="n">
        <ns0:v>4</ns0:v>
      </ns0:c>
      <ns0:c r="B9" s="16" t="inlineStr">
        <ns0:is>
          <ns0:t>0</ns0:t>
        </ns0:is>
      </ns0:c>
      <ns0:c r="C9" t="inlineStr">
        <ns0:is>
          <ns0:t>2026-10-20T21:46:49+00:00</ns0:t>
        </ns0:is>
      </ns0:c>
      <ns0:c r="D9">
        <ns0:f>COUNTIFS('ДАННЫЕ T3'!$A$6:$A$286,A9,'ДАННЫЕ T3'!$E$6:$E$286,"FETCH")</ns0:f>
        <ns0:v>17</ns0:v>
      </ns0:c>
      <ns0:c r="E9">
        <ns0:f>COUNTIF('ДАННЫЕ T3'!$A$6:$A$286,A9)</ns0:f>
        <ns0:v>18</ns0:v>
      </ns0:c>
      <ns0:c r="F9" t="str">
        <ns0:f>IFERROR(INDEX('ДАННЫЕ T3'!$G$6:$G$286,MATCH(A9*1000+E9,'ДАННЫЕ T3'!$K$6:$K$286,0)),"")</ns0:f>
        <ns0:v>0x00000000</ns0:v>
      </ns0:c>
      <ns0:c r="G9">
        <ns0:f>SUMIFS('ДАННЫЕ T3'!$P$6:$P$286,'ДАННЫЕ T3'!$A$6:$A$286,A9)</ns0:f>
        <ns0:v>3</ns0:v>
      </ns0:c>
      <ns0:c r="H9">
        <ns0:f>D9-G9</ns0:f>
        <ns0:v>14</ns0:v>
      </ns0:c>
      <ns0:c r="I9">
        <ns0:f>E9-G9</ns0:f>
        <ns0:v>15</ns0:v>
      </ns0:c>
      <ns0:c r="J9" s="23" t="inlineStr">
        <ns0:is>
          <ns0:t>PASS</ns0:t>
        </ns0:is>
      </ns0:c>
      <ns0:c r="K9" t="inlineStr">
        <ns0:is>
          <ns0:t>raw/run_004_led_0.txt</ns0:t>
        </ns0:is>
      </ns0:c>
      <ns0:c r="L9" s="15" t="inlineStr">
        <ns0:is>
          <ns0:t>b19aa59fa8509e8c9ebdc4817adae904b630f89a004363867fb46636eaabbb08</ns0:t>
        </ns0:is>
      </ns0:c>
      <ns0:c r="M9" t="inlineStr">
        <ns0:is>
          <ns0:t>OK</ns0:t>
        </ns0:is>
      </ns0:c>
      <ns0:c r="O9">
        <ns0:f>IF(B9="0",D9,0)</ns0:f>
        <ns0:v>17</ns0:v>
      </ns0:c>
      <ns0:c r="P9">
        <ns0:f>IF(B9="4",D9,0)</ns0:f>
        <ns0:v>0</ns0:v>
      </ns0:c>
    </ns0:row>
    <ns0:row r="10">
      <ns0:c r="A10" t="n">
        <ns0:v>5</ns0:v>
      </ns0:c>
      <ns0:c r="B10" s="17" t="inlineStr">
        <ns0:is>
          <ns0:t>4</ns0:t>
        </ns0:is>
      </ns0:c>
      <ns0:c r="C10" t="inlineStr">
        <ns0:is>
          <ns0:t>2026-10-20T21:46:50+00:00</ns0:t>
        </ns0:is>
      </ns0:c>
      <ns0:c r="D10">
        <ns0:f>COUNTIFS('ДАННЫЕ T3'!$A$6:$A$286,A10,'ДАННЫЕ T3'!$E$6:$E$286,"FETCH")</ns0:f>
        <ns0:v>28</ns0:v>
      </ns0:c>
      <ns0:c r="E10">
        <ns0:f>COUNTIF('ДАННЫЕ T3'!$A$6:$A$286,A10)</ns0:f>
        <ns0:v>29</ns0:v>
      </ns0:c>
      <ns0:c r="F10" t="str">
        <ns0:f>IFERROR(INDEX('ДАННЫЕ T3'!$G$6:$G$286,MATCH(A10*1000+E10,'ДАННЫЕ T3'!$K$6:$K$286,0)),"")</ns0:f>
        <ns0:v>0x00000008</ns0:v>
      </ns0:c>
      <ns0:c r="G10">
        <ns0:f>SUMIFS('ДАННЫЕ T3'!$P$6:$P$286,'ДАННЫЕ T3'!$A$6:$A$286,A10)</ns0:f>
        <ns0:v>6</ns0:v>
      </ns0:c>
      <ns0:c r="H10">
        <ns0:f>D10-G10</ns0:f>
        <ns0:v>22</ns0:v>
      </ns0:c>
      <ns0:c r="I10">
        <ns0:f>E10-G10</ns0:f>
        <ns0:v>23</ns0:v>
      </ns0:c>
      <ns0:c r="J10" s="23" t="inlineStr">
        <ns0:is>
          <ns0:t>PASS</ns0:t>
        </ns0:is>
      </ns0:c>
      <ns0:c r="K10" t="inlineStr">
        <ns0:is>
          <ns0:t>raw/run_005_led_4.txt</ns0:t>
        </ns0:is>
      </ns0:c>
      <ns0:c r="L10" s="15" t="inlineStr">
        <ns0:is>
          <ns0:t>22c15a2d9d747302c8fd4cc75b569feef8d9ad77655861ad26765a58fae6d8fa</ns0:t>
        </ns0:is>
      </ns0:c>
      <ns0:c r="M10" t="inlineStr">
        <ns0:is>
          <ns0:t>OK</ns0:t>
        </ns0:is>
      </ns0:c>
      <ns0:c r="O10">
        <ns0:f>IF(B10="0",D10,0)</ns0:f>
        <ns0:v>0</ns0:v>
      </ns0:c>
      <ns0:c r="P10">
        <ns0:f>IF(B10="4",D10,0)</ns0:f>
        <ns0:v>28</ns0:v>
      </ns0:c>
    </ns0:row>
    <ns0:row r="11">
      <ns0:c r="A11" t="n">
        <ns0:v>6</ns0:v>
      </ns0:c>
      <ns0:c r="B11" s="16" t="inlineStr">
        <ns0:is>
          <ns0:t>0</ns0:t>
        </ns0:is>
      </ns0:c>
      <ns0:c r="C11" t="inlineStr">
        <ns0:is>
          <ns0:t>2026-10-20T21:46:52+00:00</ns0:t>
        </ns0:is>
      </ns0:c>
      <ns0:c r="D11">
        <ns0:f>COUNTIFS('ДАННЫЕ T3'!$A$6:$A$286,A11,'ДАННЫЕ T3'!$E$6:$E$286,"FETCH")</ns0:f>
        <ns0:v>18</ns0:v>
      </ns0:c>
      <ns0:c r="E11">
        <ns0:f>COUNTIF('ДАННЫЕ T3'!$A$6:$A$286,A11)</ns0:f>
        <ns0:v>19</ns0:v>
      </ns0:c>
      <ns0:c r="F11" t="str">
        <ns0:f>IFERROR(INDEX('ДАННЫЕ T3'!$G$6:$G$286,MATCH(A11*1000+E11,'ДАННЫЕ T3'!$K$6:$K$286,0)),"")</ns0:f>
        <ns0:v>0x00000000</ns0:v>
      </ns0:c>
      <ns0:c r="G11">
        <ns0:f>SUMIFS('ДАННЫЕ T3'!$P$6:$P$286,'ДАННЫЕ T3'!$A$6:$A$286,A11)</ns0:f>
        <ns0:v>4</ns0:v>
      </ns0:c>
      <ns0:c r="H11">
        <ns0:f>D11-G11</ns0:f>
        <ns0:v>14</ns0:v>
      </ns0:c>
      <ns0:c r="I11">
        <ns0:f>E11-G11</ns0:f>
        <ns0:v>15</ns0:v>
      </ns0:c>
      <ns0:c r="J11" s="23" t="inlineStr">
        <ns0:is>
          <ns0:t>PASS</ns0:t>
        </ns0:is>
      </ns0:c>
      <ns0:c r="K11" t="inlineStr">
        <ns0:is>
          <ns0:t>raw/run_006_led_0.txt</ns0:t>
        </ns0:is>
      </ns0:c>
      <ns0:c r="L11" s="15" t="inlineStr">
        <ns0:is>
          <ns0:t>57eeb8f79309060d826529ec5464776811c66be3063a17b0da692ae3fff1266a</ns0:t>
        </ns0:is>
      </ns0:c>
      <ns0:c r="M11" t="inlineStr">
        <ns0:is>
          <ns0:t>OK</ns0:t>
        </ns0:is>
      </ns0:c>
      <ns0:c r="O11">
        <ns0:f>IF(B11="0",D11,0)</ns0:f>
        <ns0:v>18</ns0:v>
      </ns0:c>
      <ns0:c r="P11">
        <ns0:f>IF(B11="4",D11,0)</ns0:f>
        <ns0:v>0</ns0:v>
      </ns0:c>
    </ns0:row>
    <ns0:row r="12">
      <ns0:c r="A12" t="n">
        <ns0:v>7</ns0:v>
      </ns0:c>
      <ns0:c r="B12" s="17" t="inlineStr">
        <ns0:is>
          <ns0:t>4</ns0:t>
        </ns0:is>
      </ns0:c>
      <ns0:c r="C12" t="inlineStr">
        <ns0:is>
          <ns0:t>2026-10-20T21:46:54+00:00</ns0:t>
        </ns0:is>
      </ns0:c>
      <ns0:c r="D12">
        <ns0:f>COUNTIFS('ДАННЫЕ T3'!$A$6:$A$286,A12,'ДАННЫЕ T3'!$E$6:$E$286,"FETCH")</ns0:f>
        <ns0:v>27</ns0:v>
      </ns0:c>
      <ns0:c r="E12">
        <ns0:f>COUNTIF('ДАННЫЕ T3'!$A$6:$A$286,A12)</ns0:f>
        <ns0:v>28</ns0:v>
      </ns0:c>
      <ns0:c r="F12" t="str">
        <ns0:f>IFERROR(INDEX('ДАННЫЕ T3'!$G$6:$G$286,MATCH(A12*1000+E12,'ДАННЫЕ T3'!$K$6:$K$286,0)),"")</ns0:f>
        <ns0:v>0x00000008</ns0:v>
      </ns0:c>
      <ns0:c r="G12">
        <ns0:f>SUMIFS('ДАННЫЕ T3'!$P$6:$P$286,'ДАННЫЕ T3'!$A$6:$A$286,A12)</ns0:f>
        <ns0:v>5</ns0:v>
      </ns0:c>
      <ns0:c r="H12">
        <ns0:f>D12-G12</ns0:f>
        <ns0:v>22</ns0:v>
      </ns0:c>
      <ns0:c r="I12">
        <ns0:f>E12-G12</ns0:f>
        <ns0:v>23</ns0:v>
      </ns0:c>
      <ns0:c r="J12" s="23" t="inlineStr">
        <ns0:is>
          <ns0:t>PASS</ns0:t>
        </ns0:is>
      </ns0:c>
      <ns0:c r="K12" t="inlineStr">
        <ns0:is>
          <ns0:t>raw/run_007_led_4.txt</ns0:t>
        </ns0:is>
      </ns0:c>
      <ns0:c r="L12" s="15" t="inlineStr">
        <ns0:is>
          <ns0:t>65475e4357efd71b53c24425eecc3949ef3e5aa5e64b2b8f5f699cd0085fc9c3</ns0:t>
        </ns0:is>
      </ns0:c>
      <ns0:c r="M12" t="inlineStr">
        <ns0:is>
          <ns0:t>OK</ns0:t>
        </ns0:is>
      </ns0:c>
      <ns0:c r="O12">
        <ns0:f>IF(B12="0",D12,0)</ns0:f>
        <ns0:v>0</ns0:v>
      </ns0:c>
      <ns0:c r="P12">
        <ns0:f>IF(B12="4",D12,0)</ns0:f>
        <ns0:v>27</ns0:v>
      </ns0:c>
    </ns0:row>
    <ns0:row r="13">
      <ns0:c r="A13" t="n">
        <ns0:v>8</ns0:v>
      </ns0:c>
      <ns0:c r="B13" s="16" t="inlineStr">
        <ns0:is>
          <ns0:t>0</ns0:t>
        </ns0:is>
      </ns0:c>
      <ns0:c r="C13" t="inlineStr">
        <ns0:is>
          <ns0:t>2026-10-20T21:46:55+00:00</ns0:t>
        </ns0:is>
      </ns0:c>
      <ns0:c r="D13">
        <ns0:f>COUNTIFS('ДАННЫЕ T3'!$A$6:$A$286,A13,'ДАННЫЕ T3'!$E$6:$E$286,"FETCH")</ns0:f>
        <ns0:v>19</ns0:v>
      </ns0:c>
      <ns0:c r="E13">
        <ns0:f>COUNTIF('ДАННЫЕ T3'!$A$6:$A$286,A13)</ns0:f>
        <ns0:v>20</ns0:v>
      </ns0:c>
      <ns0:c r="F13" t="str">
        <ns0:f>IFERROR(INDEX('ДАННЫЕ T3'!$G$6:$G$286,MATCH(A13*1000+E13,'ДАННЫЕ T3'!$K$6:$K$286,0)),"")</ns0:f>
        <ns0:v>0x00000000</ns0:v>
      </ns0:c>
      <ns0:c r="G13">
        <ns0:f>SUMIFS('ДАННЫЕ T3'!$P$6:$P$286,'ДАННЫЕ T3'!$A$6:$A$286,A13)</ns0:f>
        <ns0:v>5</ns0:v>
      </ns0:c>
      <ns0:c r="H13">
        <ns0:f>D13-G13</ns0:f>
        <ns0:v>14</ns0:v>
      </ns0:c>
      <ns0:c r="I13">
        <ns0:f>E13-G13</ns0:f>
        <ns0:v>15</ns0:v>
      </ns0:c>
      <ns0:c r="J13" s="23" t="inlineStr">
        <ns0:is>
          <ns0:t>PASS</ns0:t>
        </ns0:is>
      </ns0:c>
      <ns0:c r="K13" t="inlineStr">
        <ns0:is>
          <ns0:t>raw/run_008_led_0.txt</ns0:t>
        </ns0:is>
      </ns0:c>
      <ns0:c r="L13" s="15" t="inlineStr">
        <ns0:is>
          <ns0:t>9b4786d1db456ec104b6964556c24a02f906711fca9711d68447ca2190594f2e</ns0:t>
        </ns0:is>
      </ns0:c>
      <ns0:c r="M13" t="inlineStr">
        <ns0:is>
          <ns0:t>OK</ns0:t>
        </ns0:is>
      </ns0:c>
      <ns0:c r="O13">
        <ns0:f>IF(B13="0",D13,0)</ns0:f>
        <ns0:v>19</ns0:v>
      </ns0:c>
      <ns0:c r="P13">
        <ns0:f>IF(B13="4",D13,0)</ns0:f>
        <ns0:v>0</ns0:v>
      </ns0:c>
    </ns0:row>
    <ns0:row r="14">
      <ns0:c r="A14" t="n">
        <ns0:v>9</ns0:v>
      </ns0:c>
      <ns0:c r="B14" s="17" t="inlineStr">
        <ns0:is>
          <ns0:t>4</ns0:t>
        </ns0:is>
      </ns0:c>
      <ns0:c r="C14" t="inlineStr">
        <ns0:is>
          <ns0:t>2026-10-20T21:46:57+00:00</ns0:t>
        </ns0:is>
      </ns0:c>
      <ns0:c r="D14">
        <ns0:f>COUNTIFS('ДАННЫЕ T3'!$A$6:$A$286,A14,'ДАННЫЕ T3'!$E$6:$E$286,"FETCH")</ns0:f>
        <ns0:v>25</ns0:v>
      </ns0:c>
      <ns0:c r="E14">
        <ns0:f>COUNTIF('ДАННЫЕ T3'!$A$6:$A$286,A14)</ns0:f>
        <ns0:v>26</ns0:v>
      </ns0:c>
      <ns0:c r="F14" t="str">
        <ns0:f>IFERROR(INDEX('ДАННЫЕ T3'!$G$6:$G$286,MATCH(A14*1000+E14,'ДАННЫЕ T3'!$K$6:$K$286,0)),"")</ns0:f>
        <ns0:v>0x00000008</ns0:v>
      </ns0:c>
      <ns0:c r="G14">
        <ns0:f>SUMIFS('ДАННЫЕ T3'!$P$6:$P$286,'ДАННЫЕ T3'!$A$6:$A$286,A14)</ns0:f>
        <ns0:v>3</ns0:v>
      </ns0:c>
      <ns0:c r="H14">
        <ns0:f>D14-G14</ns0:f>
        <ns0:v>22</ns0:v>
      </ns0:c>
      <ns0:c r="I14">
        <ns0:f>E14-G14</ns0:f>
        <ns0:v>23</ns0:v>
      </ns0:c>
      <ns0:c r="J14" s="23" t="inlineStr">
        <ns0:is>
          <ns0:t>PASS</ns0:t>
        </ns0:is>
      </ns0:c>
      <ns0:c r="K14" t="inlineStr">
        <ns0:is>
          <ns0:t>raw/run_009_led_4.txt</ns0:t>
        </ns0:is>
      </ns0:c>
      <ns0:c r="L14" s="15" t="inlineStr">
        <ns0:is>
          <ns0:t>60cf35d5d2ba61aeb1cd157b97139bd75db83c8adb7ca58cd3f09c99e0cfd170</ns0:t>
        </ns0:is>
      </ns0:c>
      <ns0:c r="M14" t="inlineStr">
        <ns0:is>
          <ns0:t>OK</ns0:t>
        </ns0:is>
      </ns0:c>
      <ns0:c r="O14">
        <ns0:f>IF(B14="0",D14,0)</ns0:f>
        <ns0:v>0</ns0:v>
      </ns0:c>
      <ns0:c r="P14">
        <ns0:f>IF(B14="4",D14,0)</ns0:f>
        <ns0:v>25</ns0:v>
      </ns0:c>
    </ns0:row>
    <ns0:row r="15">
      <ns0:c r="A15" t="n">
        <ns0:v>10</ns0:v>
      </ns0:c>
      <ns0:c r="B15" s="16" t="inlineStr">
        <ns0:is>
          <ns0:t>0</ns0:t>
        </ns0:is>
      </ns0:c>
      <ns0:c r="C15" t="inlineStr">
        <ns0:is>
          <ns0:t>2026-10-20T21:46:59+00:00</ns0:t>
        </ns0:is>
      </ns0:c>
      <ns0:c r="D15">
        <ns0:f>COUNTIFS('ДАННЫЕ T3'!$A$6:$A$286,A15,'ДАННЫЕ T3'!$E$6:$E$286,"FETCH")</ns0:f>
        <ns0:v>20</ns0:v>
      </ns0:c>
      <ns0:c r="E15">
        <ns0:f>COUNTIF('ДАННЫЕ T3'!$A$6:$A$286,A15)</ns0:f>
        <ns0:v>21</ns0:v>
      </ns0:c>
      <ns0:c r="F15" t="str">
        <ns0:f>IFERROR(INDEX('ДАННЫЕ T3'!$G$6:$G$286,MATCH(A15*1000+E15,'ДАННЫЕ T3'!$K$6:$K$286,0)),"")</ns0:f>
        <ns0:v>0x00000000</ns0:v>
      </ns0:c>
      <ns0:c r="G15">
        <ns0:f>SUMIFS('ДАННЫЕ T3'!$P$6:$P$286,'ДАННЫЕ T3'!$A$6:$A$286,A15)</ns0:f>
        <ns0:v>6</ns0:v>
      </ns0:c>
      <ns0:c r="H15">
        <ns0:f>D15-G15</ns0:f>
        <ns0:v>14</ns0:v>
      </ns0:c>
      <ns0:c r="I15">
        <ns0:f>E15-G15</ns0:f>
        <ns0:v>15</ns0:v>
      </ns0:c>
      <ns0:c r="J15" s="23" t="inlineStr">
        <ns0:is>
          <ns0:t>PASS</ns0:t>
        </ns0:is>
      </ns0:c>
      <ns0:c r="K15" t="inlineStr">
        <ns0:is>
          <ns0:t>raw/run_010_led_0.txt</ns0:t>
        </ns0:is>
      </ns0:c>
      <ns0:c r="L15" s="15" t="inlineStr">
        <ns0:is>
          <ns0:t>359552701dd6001a18fa0669d801474aa58d51799f947ac5fa098c0c9657cea8</ns0:t>
        </ns0:is>
      </ns0:c>
      <ns0:c r="M15" t="inlineStr">
        <ns0:is>
          <ns0:t>OK</ns0:t>
        </ns0:is>
      </ns0:c>
      <ns0:c r="O15">
        <ns0:f>IF(B15="0",D15,0)</ns0:f>
        <ns0:v>20</ns0:v>
      </ns0:c>
      <ns0:c r="P15">
        <ns0:f>IF(B15="4",D15,0)</ns0:f>
        <ns0:v>0</ns0:v>
      </ns0:c>
    </ns0:row>
    <ns0:row r="16">
      <ns0:c r="A16" t="n">
        <ns0:v>11</ns0:v>
      </ns0:c>
      <ns0:c r="B16" s="17" t="inlineStr">
        <ns0:is>
          <ns0:t>4</ns0:t>
        </ns0:is>
      </ns0:c>
      <ns0:c r="C16" t="inlineStr">
        <ns0:is>
          <ns0:t>2026-10-20T21:47:00+00:00</ns0:t>
        </ns0:is>
      </ns0:c>
      <ns0:c r="D16">
        <ns0:f>COUNTIFS('ДАННЫЕ T3'!$A$6:$A$286,A16,'ДАННЫЕ T3'!$E$6:$E$286,"FETCH")</ns0:f>
        <ns0:v>27</ns0:v>
      </ns0:c>
      <ns0:c r="E16">
        <ns0:f>COUNTIF('ДАННЫЕ T3'!$A$6:$A$286,A16)</ns0:f>
        <ns0:v>28</ns0:v>
      </ns0:c>
      <ns0:c r="F16" t="str">
        <ns0:f>IFERROR(INDEX('ДАННЫЕ T3'!$G$6:$G$286,MATCH(A16*1000+E16,'ДАННЫЕ T3'!$K$6:$K$286,0)),"")</ns0:f>
        <ns0:v>0x00000008</ns0:v>
      </ns0:c>
      <ns0:c r="G16">
        <ns0:f>SUMIFS('ДАННЫЕ T3'!$P$6:$P$286,'ДАННЫЕ T3'!$A$6:$A$286,A16)</ns0:f>
        <ns0:v>5</ns0:v>
      </ns0:c>
      <ns0:c r="H16">
        <ns0:f>D16-G16</ns0:f>
        <ns0:v>22</ns0:v>
      </ns0:c>
      <ns0:c r="I16">
        <ns0:f>E16-G16</ns0:f>
        <ns0:v>23</ns0:v>
      </ns0:c>
      <ns0:c r="J16" s="23" t="inlineStr">
        <ns0:is>
          <ns0:t>PASS</ns0:t>
        </ns0:is>
      </ns0:c>
      <ns0:c r="K16" t="inlineStr">
        <ns0:is>
          <ns0:t>raw/run_011_led_4.txt</ns0:t>
        </ns0:is>
      </ns0:c>
      <ns0:c r="L16" s="15" t="inlineStr">
        <ns0:is>
          <ns0:t>65475e4357efd71b53c24425eecc3949ef3e5aa5e64b2b8f5f699cd0085fc9c3</ns0:t>
        </ns0:is>
      </ns0:c>
      <ns0:c r="M16" t="inlineStr">
        <ns0:is>
          <ns0:t>OK</ns0:t>
        </ns0:is>
      </ns0:c>
      <ns0:c r="O16">
        <ns0:f>IF(B16="0",D16,0)</ns0:f>
        <ns0:v>0</ns0:v>
      </ns0:c>
      <ns0:c r="P16">
        <ns0:f>IF(B16="4",D16,0)</ns0:f>
        <ns0:v>27</ns0:v>
      </ns0:c>
    </ns0:row>
    <ns0:row r="17">
      <ns0:c r="A17" t="n">
        <ns0:v>12</ns0:v>
      </ns0:c>
      <ns0:c r="B17" s="16" t="inlineStr">
        <ns0:is>
          <ns0:t>0</ns0:t>
        </ns0:is>
      </ns0:c>
      <ns0:c r="C17" t="inlineStr">
        <ns0:is>
          <ns0:t>2026-10-20T21:47:02+00:00</ns0:t>
        </ns0:is>
      </ns0:c>
      <ns0:c r="D17">
        <ns0:f>COUNTIFS('ДАННЫЕ T3'!$A$6:$A$286,A17,'ДАННЫЕ T3'!$E$6:$E$286,"FETCH")</ns0:f>
        <ns0:v>20</ns0:v>
      </ns0:c>
      <ns0:c r="E17">
        <ns0:f>COUNTIF('ДАННЫЕ T3'!$A$6:$A$286,A17)</ns0:f>
        <ns0:v>21</ns0:v>
      </ns0:c>
      <ns0:c r="F17" t="str">
        <ns0:f>IFERROR(INDEX('ДАННЫЕ T3'!$G$6:$G$286,MATCH(A17*1000+E17,'ДАННЫЕ T3'!$K$6:$K$286,0)),"")</ns0:f>
        <ns0:v>0x00000000</ns0:v>
      </ns0:c>
      <ns0:c r="G17">
        <ns0:f>SUMIFS('ДАННЫЕ T3'!$P$6:$P$286,'ДАННЫЕ T3'!$A$6:$A$286,A17)</ns0:f>
        <ns0:v>6</ns0:v>
      </ns0:c>
      <ns0:c r="H17">
        <ns0:f>D17-G17</ns0:f>
        <ns0:v>14</ns0:v>
      </ns0:c>
      <ns0:c r="I17">
        <ns0:f>E17-G17</ns0:f>
        <ns0:v>15</ns0:v>
      </ns0:c>
      <ns0:c r="J17" s="23" t="inlineStr">
        <ns0:is>
          <ns0:t>PASS</ns0:t>
        </ns0:is>
      </ns0:c>
      <ns0:c r="K17" t="inlineStr">
        <ns0:is>
          <ns0:t>raw/run_012_led_0.txt</ns0:t>
        </ns0:is>
      </ns0:c>
      <ns0:c r="L17" s="15" t="inlineStr">
        <ns0:is>
          <ns0:t>6bd27554aad6ff5355dcc97386ac644450566434557e47c4277a2ea41c7c8734</ns0:t>
        </ns0:is>
      </ns0:c>
      <ns0:c r="M17" t="inlineStr">
        <ns0:is>
          <ns0:t>OK</ns0:t>
        </ns0:is>
      </ns0:c>
      <ns0:c r="O17">
        <ns0:f>IF(B17="0",D17,0)</ns0:f>
        <ns0:v>20</ns0:v>
      </ns0:c>
      <ns0:c r="P17">
        <ns0:f>IF(B17="4",D17,0)</ns0:f>
        <ns0:v>0</ns0:v>
      </ns0:c>
    </ns0:row>
    <ns0:row r="19" ht="25" customHeight="1">
      <ns0:c r="A19" s="6" t="inlineStr">
        <ns0:is>
          <ns0:t>СРАВНЕНИЕ ПОВТОРЯЕМОСТИ: ЧИСЛО RAW FETCH</ns0:t>
        </ns0:is>
      </ns0:c>
    </ns0:row>
    <ns0:row r="42">
      <ns0:c r="B42" s="24" t="inlineStr">
        <ns0:is>
          <ns0:t>Отличие полного количества FETCH объясняется вариацией префикса UART polling. Для корректного сопоставления используйте сравнение от единственного PC=0x00000048 до LED_WRITE. Не приравнивайте циклы разных захватов.</ns0:t>
        </ns0:is>
      </ns0:c>
    </ns0:row>
    <ns0:row r="43"/>
  </ns0:sheetData>
  <ns0:autoFilter ref="A5:M17"/>
  <ns0:mergeCells count="4">
    <ns0:mergeCell ref="A19:N19"/>
    <ns0:mergeCell ref="A1:N2"/>
    <ns0:mergeCell ref="A3:N3"/>
    <ns0:mergeCell ref="B42:L43"/>
  </ns0:mergeCells>
  <ns0:hyperlinks>
    <ns0:hyperlink ref="A4" location="'ИНСТРУКЦИЯ'!A1" display="СТАРТ"/>
    <ns0:hyperlink ref="B4" location="'ПУЛЬТ'!A1" display="НАБЛЮДЕНИЕ"/>
    <ns0:hyperlink ref="C4" location="'СРАВНЕНИЕ'!A1" display="СРАВНЕНИЕ"/>
    <ns0:hyperlink ref="D4" location="'МОДЕЛЬ MMIO'!A1" display="LED / MMIO"/>
    <ns0:hyperlink ref="E4" location="'КОМАНДЫ'!A1" display="КОМАНДЫ"/>
    <ns0:hyperlink ref="F4" location="'ЗАХВАТЫ'!A1" display="12 ТРАСС"/>
    <ns0:hyperlink ref="G4" location="'ДАННЫЕ T3'!A1" display="RAW T3"/>
    <ns0:hyperlink ref="H4" location="'ROM LAB03'!A1" display="ROM"/>
    <ns0:hyperlink ref="I4" location="'СЛОВАРЬ'!A1" display="ТЕРМИНЫ"/>
    <ns0:hyperlink ref="J4" location="'ИСТОЧНИКИ'!A1" display="ПРОИСХОЖДЕНИЕ"/>
    <ns0:hyperlink ref="K4" ns1:id="rId1"/>
    <ns0:hyperlink ref="L4" ns1:id="rId2"/>
  </ns0:hyperlinks>
  <ns0:printOptions horizontalCentered="0" gridLines="0"/>
  <ns0:pageMargins left="0.75" right="0.75" top="1" bottom="1" header="0.5" footer="0.5"/>
  <ns0:pageSetup fitToHeight="0" fitToWidth="1"/>
  <ns0:drawing ns1:id="rId3"/>
  <ns0:legacyDrawing ns1:id="anysvml"/>
</ns0:worksheet>
</file>

<file path=xl/worksheets/sheet5.xml><?xml version="1.0" encoding="utf-8"?>
<ns0:worksheet xmlns:ns0="http://schemas.openxmlformats.org/spreadsheetml/2006/main" xmlns:ns1="http://schemas.openxmlformats.org/officeDocument/2006/relationships">
  <ns0:sheetPr>
    <ns0:tabColor rgb="006754B2"/>
    <ns0:outlinePr summaryBelow="1" summaryRight="1"/>
    <ns0:pageSetUpPr fitToPage="1"/>
  </ns0:sheetPr>
  <ns0:dimension ref="A1:N20"/>
  <ns0:sheetViews>
    <ns0:sheetView showGridLines="0" zoomScale="90" workbookViewId="0">
      <ns0:pane xSplit="6" ySplit="6" topLeftCell="G7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9"/>
  <ns0:cols>
    <ns0:col width="13" customWidth="1" min="1" max="1"/>
    <ns0:col width="24" customWidth="1" min="2" max="2"/>
    <ns0:col width="10" customWidth="1" min="3" max="3"/>
    <ns0:col width="30" customWidth="1" min="4" max="4"/>
    <ns0:col width="34" customWidth="1" min="5" max="5"/>
    <ns0:col width="52" customWidth="1" min="6" max="6"/>
    <ns0:col width="14" customWidth="1" min="7" max="7"/>
    <ns0:col width="16" customWidth="1" min="8" max="8"/>
    <ns0:col width="14" customWidth="1" min="9" max="9"/>
    <ns0:col width="19" customWidth="1" min="10" max="10"/>
    <ns0:col width="17" customWidth="1" min="11" max="11"/>
    <ns0:col width="40" customWidth="1" min="12" max="12"/>
    <ns0:col width="19" customWidth="1" min="13" max="13"/>
    <ns0:col width="36" customWidth="1" min="14" max="14"/>
  </ns0:cols>
  <ns0:sheetData>
    <ns0:row r="1" ht="26" customHeight="1">
      <ns0:c r="A1" s="1" t="inlineStr">
        <ns0:is>
          <ns0:t>КОМАНДЫ RV32I  /  ТОЛЬКО НАШИ ДАННЫЕ</ns0:t>
        </ns0:is>
      </ns0:c>
    </ns0:row>
    <ns0:row r="2" ht="20" customHeight="1"/>
    <ns0:row r="3" ht="29" customHeight="1">
      <ns0:c r="A3" s="3" t="inlineStr">
        <ns0:is>
          <ns0:t>6 мнемоник реально встречаются в FETCH • ещё 4 присутствуют в ROM • NOP только хвостовое заполнение</ns0:t>
        </ns0:is>
      </ns0:c>
    </ns0:row>
    <ns0:row r="4" ht="26" customHeight="1">
      <ns0:c r="A4" s="5" t="inlineStr">
        <ns0:is>
          <ns0:t>СТАРТ</ns0:t>
        </ns0:is>
      </ns0:c>
      <ns0:c r="B4" s="5" t="inlineStr">
        <ns0:is>
          <ns0:t>НАБЛЮДЕНИЕ</ns0:t>
        </ns0:is>
      </ns0:c>
      <ns0:c r="C4" s="5" t="inlineStr">
        <ns0:is>
          <ns0:t>СРАВНЕНИЕ</ns0:t>
        </ns0:is>
      </ns0:c>
      <ns0:c r="D4" s="5" t="inlineStr">
        <ns0:is>
          <ns0:t>LED / MMIO</ns0:t>
        </ns0:is>
      </ns0:c>
      <ns0:c r="E4" s="4" t="inlineStr">
        <ns0:is>
          <ns0:t>КОМАНДЫ</ns0:t>
        </ns0:is>
      </ns0:c>
      <ns0:c r="F4" s="5" t="inlineStr">
        <ns0:is>
          <ns0:t>12 ТРАСС</ns0:t>
        </ns0:is>
      </ns0:c>
      <ns0:c r="G4" s="5" t="inlineStr">
        <ns0:is>
          <ns0:t>RAW T3</ns0:t>
        </ns0:is>
      </ns0:c>
      <ns0:c r="H4" s="5" t="inlineStr">
        <ns0:is>
          <ns0:t>ROM</ns0:t>
        </ns0:is>
      </ns0:c>
      <ns0:c r="I4" s="5" t="inlineStr">
        <ns0:is>
          <ns0:t>ТЕРМИНЫ</ns0:t>
        </ns0:is>
      </ns0:c>
      <ns0:c r="J4" s="5" t="inlineStr">
        <ns0:is>
          <ns0:t>ПРОИСХОЖДЕНИЕ</ns0:t>
        </ns0:is>
      </ns0:c>
      <ns0:c r="K4" s="59" t="inlineStr">
        <ns0:is>
          <ns0:t>БИТЫ 202</ns0:t>
        </ns0:is>
      </ns0:c>
      <ns0:c r="L4" s="59" t="inlineStr">
        <ns0:is>
          <ns0:t>10 КАРТОЧЕК</ns0:t>
        </ns0:is>
      </ns0:c>
    </ns0:row>
    <ns0:row r="6" ht="35" customHeight="1">
      <ns0:c r="A6" s="13" t="inlineStr">
        <ns0:is>
          <ns0:t>Команда</ns0:t>
        </ns0:is>
      </ns0:c>
      <ns0:c r="B6" s="13" t="inlineStr">
        <ns0:is>
          <ns0:t>English</ns0:t>
        </ns0:is>
      </ns0:c>
      <ns0:c r="C6" s="13" t="inlineStr">
        <ns0:is>
          <ns0:t>Формат</ns0:t>
        </ns0:is>
      </ns0:c>
      <ns0:c r="D6" s="13" t="inlineStr">
        <ns0:is>
          <ns0:t>Синтаксис</ns0:t>
        </ns0:is>
      </ns0:c>
      <ns0:c r="E6" s="13" t="inlineStr">
        <ns0:is>
          <ns0:t>Действие ISA</ns0:t>
        </ns0:is>
      </ns0:c>
      <ns0:c r="F6" s="13" t="inlineStr">
        <ns0:is>
          <ns0:t>Роль в LAB-03</ns0:t>
        </ns0:is>
      </ns0:c>
      <ns0:c r="G6" s="13" t="inlineStr">
        <ns0:is>
          <ns0:t>FETCH всего</ns0:t>
        </ns0:is>
      </ns0:c>
      <ns0:c r="H6" s="13" t="inlineStr">
        <ns0:is>
          <ns0:t>Разных PC</ns0:t>
        </ns0:is>
      </ns0:c>
      <ns0:c r="I6" s="13" t="inlineStr">
        <ns0:is>
          <ns0:t>ROM слов</ns0:t>
        </ns0:is>
      </ns0:c>
      <ns0:c r="J6" s="13" t="inlineStr">
        <ns0:is>
          <ns0:t>Пример PC</ns0:t>
        </ns0:is>
      </ns0:c>
      <ns0:c r="K6" s="13" t="inlineStr">
        <ns0:is>
          <ns0:t>Машинное слово</ns0:t>
        </ns0:is>
      </ns0:c>
      <ns0:c r="L6" s="13" t="inlineStr">
        <ns0:is>
          <ns0:t>Дизассемблирование</ns0:t>
        </ns0:is>
      </ns0:c>
      <ns0:c r="M6" s="13" t="inlineStr">
        <ns0:is>
          <ns0:t>Наблюдение</ns0:t>
        </ns0:is>
      </ns0:c>
      <ns0:c r="N6" s="13" t="inlineStr">
        <ns0:is>
          <ns0:t>Граница вывода</ns0:t>
        </ns0:is>
      </ns0:c>
    </ns0:row>
    <ns0:row r="7" ht="65" customHeight="1">
      <ns0:c r="A7" s="25" t="inlineStr">
        <ns0:is>
          <ns0:t>addi</ns0:t>
        </ns0:is>
      </ns0:c>
      <ns0:c r="B7" s="26" t="inlineStr">
        <ns0:is>
          <ns0:t>Add Immediate</ns0:t>
        </ns0:is>
      </ns0:c>
      <ns0:c r="C7" s="26" t="inlineStr">
        <ns0:is>
          <ns0:t>I</ns0:t>
        </ns0:is>
      </ns0:c>
      <ns0:c r="D7" s="26" t="inlineStr">
        <ns0:is>
          <ns0:t>addi rd, rs1, imm</ns0:t>
        </ns0:is>
      </ns0:c>
      <ns0:c r="E7" s="26" t="inlineStr">
        <ns0:is>
          <ns0:t>rd ← rs1 + sign_extend(imm)</ns0:t>
        </ns0:is>
      </ns0:c>
      <ns0:c r="F7" s="26" t="inlineStr">
        <ns0:is>
          <ns0:t>Задаёт ASCII-коды команд, маски и небольшие константы.</ns0:t>
        </ns0:is>
      </ns0:c>
      <ns0:c r="G7" s="26">
        <ns0:f>COUNTIF('ДАННЫЕ T3'!$I$6:$I$286,A7)</ns0:f>
        <ns0:v>108</ns0:v>
      </ns0:c>
      <ns0:c r="H7" s="26">
        <ns0:f>SUMIF('ДАННЫЕ T3'!$I$6:$I$286,A7,'ДАННЫЕ T3'!$N$6:$N$286)</ns0:f>
        <ns0:v>13</ns0:v>
      </ns0:c>
      <ns0:c r="I7" s="26">
        <ns0:f>COUNTIF('ROM LAB03'!$D$6:$D$261,A7)</ns0:f>
        <ns0:v>78</ns0:v>
      </ns0:c>
      <ns0:c r="J7" s="27" t="inlineStr">
        <ns0:is>
          <ns0:t>0x00000048</ns0:t>
        </ns0:is>
      </ns0:c>
      <ns0:c r="K7" s="27" t="inlineStr">
        <ns0:is>
          <ns0:t>0x05400413</ns0:t>
        </ns0:is>
      </ns0:c>
      <ns0:c r="L7" s="27" t="inlineStr">
        <ns0:is>
          <ns0:t>addi s0, zero, 84</ns0:t>
        </ns0:is>
      </ns0:c>
      <ns0:c r="M7" s="26" t="str">
        <ns0:f>IF(G7&gt;0,"FETCH Наблюдался",IF(A7="nop","NOP/PADDING","ТОЛЬКО ROM"))</ns0:f>
        <ns0:v>FETCH Наблюдался</ns0:v>
      </ns0:c>
      <ns0:c r="N7" s="26" t="inlineStr">
        <ns0:is>
          <ns0:t>FETCH ≠ retirement</ns0:t>
        </ns0:is>
      </ns0:c>
    </ns0:row>
    <ns0:row r="8" ht="65" customHeight="1">
      <ns0:c r="A8" s="25" t="inlineStr">
        <ns0:is>
          <ns0:t>andi</ns0:t>
        </ns0:is>
      </ns0:c>
      <ns0:c r="B8" s="26" t="inlineStr">
        <ns0:is>
          <ns0:t>AND Immediate</ns0:t>
        </ns0:is>
      </ns0:c>
      <ns0:c r="C8" s="26" t="inlineStr">
        <ns0:is>
          <ns0:t>I</ns0:t>
        </ns0:is>
      </ns0:c>
      <ns0:c r="D8" s="26" t="inlineStr">
        <ns0:is>
          <ns0:t>andi rd, rs1, imm</ns0:t>
        </ns0:is>
      </ns0:c>
      <ns0:c r="E8" s="26" t="inlineStr">
        <ns0:is>
          <ns0:t>rd ← rs1 AND sign_extend(imm)</ns0:t>
        </ns0:is>
      </ns0:c>
      <ns0:c r="F8" s="26" t="inlineStr">
        <ns0:is>
          <ns0:t>PC 0x03C: оставляет бит готовности UART_RX_STATUS.</ns0:t>
        </ns0:is>
      </ns0:c>
      <ns0:c r="G8" s="26">
        <ns0:f>COUNTIF('ДАННЫЕ T3'!$I$6:$I$286,A8)</ns0:f>
        <ns0:v>11</ns0:v>
      </ns0:c>
      <ns0:c r="H8" s="26">
        <ns0:f>SUMIF('ДАННЫЕ T3'!$I$6:$I$286,A8,'ДАННЫЕ T3'!$N$6:$N$286)</ns0:f>
        <ns0:v>1</ns0:v>
      </ns0:c>
      <ns0:c r="I8" s="26">
        <ns0:f>COUNTIF('ROM LAB03'!$D$6:$D$261,A8)</ns0:f>
        <ns0:v>4</ns0:v>
      </ns0:c>
      <ns0:c r="J8" s="27" t="inlineStr">
        <ns0:is>
          <ns0:t>0x0000003C</ns0:t>
        </ns0:is>
      </ns0:c>
      <ns0:c r="K8" s="27" t="inlineStr">
        <ns0:is>
          <ns0:t>0x0013F393</ns0:t>
        </ns0:is>
      </ns0:c>
      <ns0:c r="L8" s="27" t="inlineStr">
        <ns0:is>
          <ns0:t>andi t2, t2, 1</ns0:t>
        </ns0:is>
      </ns0:c>
      <ns0:c r="M8" s="26" t="str">
        <ns0:f>IF(G8&gt;0,"FETCH Наблюдался",IF(A8="nop","NOP/PADDING","ТОЛЬКО ROM"))</ns0:f>
        <ns0:v>FETCH Наблюдался</ns0:v>
      </ns0:c>
      <ns0:c r="N8" s="26" t="inlineStr">
        <ns0:is>
          <ns0:t>FETCH ≠ retirement</ns0:t>
        </ns0:is>
      </ns0:c>
    </ns0:row>
    <ns0:row r="9" ht="65" customHeight="1">
      <ns0:c r="A9" s="25" t="inlineStr">
        <ns0:is>
          <ns0:t>beq</ns0:t>
        </ns0:is>
      </ns0:c>
      <ns0:c r="B9" s="26" t="inlineStr">
        <ns0:is>
          <ns0:t>Branch if Equal</ns0:t>
        </ns0:is>
      </ns0:c>
      <ns0:c r="C9" s="26" t="inlineStr">
        <ns0:is>
          <ns0:t>B</ns0:t>
        </ns0:is>
      </ns0:c>
      <ns0:c r="D9" s="26" t="inlineStr">
        <ns0:is>
          <ns0:t>beq rs1, rs2, target</ns0:t>
        </ns0:is>
      </ns0:c>
      <ns0:c r="E9" s="26" t="inlineStr">
        <ns0:is>
          <ns0:t>Если rs1=rs2, переход к target</ns0:t>
        </ns0:is>
      </ns0:c>
      <ns0:c r="F9" s="26" t="inlineStr">
        <ns0:is>
          <ns0:t>PC 0x040: возврат к polling при отсутствии байта.</ns0:t>
        </ns0:is>
      </ns0:c>
      <ns0:c r="G9" s="26">
        <ns0:f>COUNTIF('ДАННЫЕ T3'!$I$6:$I$286,A9)</ns0:f>
        <ns0:v>87</ns0:v>
      </ns0:c>
      <ns0:c r="H9" s="26">
        <ns0:f>SUMIF('ДАННЫЕ T3'!$I$6:$I$286,A9,'ДАННЫЕ T3'!$N$6:$N$286)</ns0:f>
        <ns0:v>9</ns0:v>
      </ns0:c>
      <ns0:c r="I9" s="26">
        <ns0:f>COUNTIF('ROM LAB03'!$D$6:$D$261,A9)</ns0:f>
        <ns0:v>23</ns0:v>
      </ns0:c>
      <ns0:c r="J9" s="27" t="inlineStr">
        <ns0:is>
          <ns0:t>0x00000040</ns0:t>
        </ns0:is>
      </ns0:c>
      <ns0:c r="K9" s="27" t="inlineStr">
        <ns0:is>
          <ns0:t>0xFE038CE3</ns0:t>
        </ns0:is>
      </ns0:c>
      <ns0:c r="L9" s="27" t="inlineStr">
        <ns0:is>
          <ns0:t>beq t2, zero, 0x00000038</ns0:t>
        </ns0:is>
      </ns0:c>
      <ns0:c r="M9" s="26" t="str">
        <ns0:f>IF(G9&gt;0,"FETCH Наблюдался",IF(A9="nop","NOP/PADDING","ТОЛЬКО ROM"))</ns0:f>
        <ns0:v>FETCH Наблюдался</ns0:v>
      </ns0:c>
      <ns0:c r="N9" s="26" t="inlineStr">
        <ns0:is>
          <ns0:t>FETCH ≠ retirement</ns0:t>
        </ns0:is>
      </ns0:c>
    </ns0:row>
    <ns0:row r="10" ht="65" customHeight="1">
      <ns0:c r="A10" s="25" t="inlineStr">
        <ns0:is>
          <ns0:t>jal</ns0:t>
        </ns0:is>
      </ns0:c>
      <ns0:c r="B10" s="26" t="inlineStr">
        <ns0:is>
          <ns0:t>Jump And Link</ns0:t>
        </ns0:is>
      </ns0:c>
      <ns0:c r="C10" s="26" t="inlineStr">
        <ns0:is>
          <ns0:t>J</ns0:t>
        </ns0:is>
      </ns0:c>
      <ns0:c r="D10" s="26" t="inlineStr">
        <ns0:is>
          <ns0:t>jal rd, target</ns0:t>
        </ns0:is>
      </ns0:c>
      <ns0:c r="E10" s="26" t="inlineStr">
        <ns0:is>
          <ns0:t>rd ← PC+4; PC ← target</ns0:t>
        </ns0:is>
      </ns0:c>
      <ns0:c r="F10" s="26" t="inlineStr">
        <ns0:is>
          <ns0:t>Переход к общей процедуре apply.</ns0:t>
        </ns0:is>
      </ns0:c>
      <ns0:c r="G10" s="26">
        <ns0:f>COUNTIF('ДАННЫЕ T3'!$I$6:$I$286,A10)</ns0:f>
        <ns0:v>12</ns0:v>
      </ns0:c>
      <ns0:c r="H10" s="26">
        <ns0:f>SUMIF('ДАННЫЕ T3'!$I$6:$I$286,A10,'ДАННЫЕ T3'!$N$6:$N$286)</ns0:f>
        <ns0:v>2</ns0:v>
      </ns0:c>
      <ns0:c r="I10" s="26">
        <ns0:f>COUNTIF('ROM LAB03'!$D$6:$D$261,A10)</ns0:f>
        <ns0:v>68</ns0:v>
      </ns0:c>
      <ns0:c r="J10" s="27" t="inlineStr">
        <ns0:is>
          <ns0:t>0x000000B4</ns0:t>
        </ns0:is>
      </ns0:c>
      <ns0:c r="K10" s="27" t="inlineStr">
        <ns0:is>
          <ns0:t>0x04C0006F</ns0:t>
        </ns0:is>
      </ns0:c>
      <ns0:c r="L10" s="27" t="inlineStr">
        <ns0:is>
          <ns0:t>jal zero, 0x00000100</ns0:t>
        </ns0:is>
      </ns0:c>
      <ns0:c r="M10" s="26" t="str">
        <ns0:f>IF(G10&gt;0,"FETCH Наблюдался",IF(A10="nop","NOP/PADDING","ТОЛЬКО ROM"))</ns0:f>
        <ns0:v>FETCH Наблюдался</ns0:v>
      </ns0:c>
      <ns0:c r="N10" s="26" t="inlineStr">
        <ns0:is>
          <ns0:t>FETCH ≠ retirement</ns0:t>
        </ns0:is>
      </ns0:c>
    </ns0:row>
    <ns0:row r="11" ht="65" customHeight="1">
      <ns0:c r="A11" s="25" t="inlineStr">
        <ns0:is>
          <ns0:t>lw</ns0:t>
        </ns0:is>
      </ns0:c>
      <ns0:c r="B11" s="26" t="inlineStr">
        <ns0:is>
          <ns0:t>Load Word</ns0:t>
        </ns0:is>
      </ns0:c>
      <ns0:c r="C11" s="26" t="inlineStr">
        <ns0:is>
          <ns0:t>I</ns0:t>
        </ns0:is>
      </ns0:c>
      <ns0:c r="D11" s="26" t="inlineStr">
        <ns0:is>
          <ns0:t>lw rd, offset(rs1)</ns0:t>
        </ns0:is>
      </ns0:c>
      <ns0:c r="E11" s="26" t="inlineStr">
        <ns0:is>
          <ns0:t>rd ← MEM32[rs1 + offset]</ns0:t>
        </ns0:is>
      </ns0:c>
      <ns0:c r="F11" s="26" t="inlineStr">
        <ns0:is>
          <ns0:t>Читает UART-статус и код команды; после sw — readback LED.</ns0:t>
        </ns0:is>
      </ns0:c>
      <ns0:c r="G11" s="26">
        <ns0:f>COUNTIF('ДАННЫЕ T3'!$I$6:$I$286,A11)</ns0:f>
        <ns0:v>39</ns0:v>
      </ns0:c>
      <ns0:c r="H11" s="26">
        <ns0:f>SUMIF('ДАННЫЕ T3'!$I$6:$I$286,A11,'ДАННЫЕ T3'!$N$6:$N$286)</ns0:f>
        <ns0:v>3</ns0:v>
      </ns0:c>
      <ns0:c r="I11" s="26">
        <ns0:f>COUNTIF('ROM LAB03'!$D$6:$D$261,A11)</ns0:f>
        <ns0:v>10</ns0:v>
      </ns0:c>
      <ns0:c r="J11" s="27" t="inlineStr">
        <ns0:is>
          <ns0:t>0x00000104</ns0:t>
        </ns0:is>
      </ns0:c>
      <ns0:c r="K11" s="27" t="inlineStr">
        <ns0:is>
          <ns0:t>0x0002AF83</ns0:t>
        </ns0:is>
      </ns0:c>
      <ns0:c r="L11" s="27" t="inlineStr">
        <ns0:is>
          <ns0:t>lw t6, 0(t0)</ns0:t>
        </ns0:is>
      </ns0:c>
      <ns0:c r="M11" s="26" t="str">
        <ns0:f>IF(G11&gt;0,"FETCH Наблюдался",IF(A11="nop","NOP/PADDING","ТОЛЬКО ROM"))</ns0:f>
        <ns0:v>FETCH Наблюдался</ns0:v>
      </ns0:c>
      <ns0:c r="N11" s="26" t="inlineStr">
        <ns0:is>
          <ns0:t>FETCH ≠ retirement</ns0:t>
        </ns0:is>
      </ns0:c>
    </ns0:row>
    <ns0:row r="12" ht="65" customHeight="1">
      <ns0:c r="A12" s="25" t="inlineStr">
        <ns0:is>
          <ns0:t>sw</ns0:t>
        </ns0:is>
      </ns0:c>
      <ns0:c r="B12" s="26" t="inlineStr">
        <ns0:is>
          <ns0:t>Store Word</ns0:t>
        </ns0:is>
      </ns0:c>
      <ns0:c r="C12" s="26" t="inlineStr">
        <ns0:is>
          <ns0:t>S</ns0:t>
        </ns0:is>
      </ns0:c>
      <ns0:c r="D12" s="26" t="inlineStr">
        <ns0:is>
          <ns0:t>sw rs2, offset(rs1)</ns0:t>
        </ns0:is>
      </ns0:c>
      <ns0:c r="E12" s="26" t="inlineStr">
        <ns0:is>
          <ns0:t>MEM32[rs1 + offset] ← rs2</ns0:t>
        </ns0:is>
      </ns0:c>
      <ns0:c r="F12" s="26" t="inlineStr">
        <ns0:is>
          <ns0:t>PC 0x100: инструкция записи LED-регистра через MMIO.</ns0:t>
        </ns0:is>
      </ns0:c>
      <ns0:c r="G12" s="26">
        <ns0:f>COUNTIF('ДАННЫЕ T3'!$I$6:$I$286,A12)</ns0:f>
        <ns0:v>12</ns0:v>
      </ns0:c>
      <ns0:c r="H12" s="26">
        <ns0:f>SUMIF('ДАННЫЕ T3'!$I$6:$I$286,A12,'ДАННЫЕ T3'!$N$6:$N$286)</ns0:f>
        <ns0:v>1</ns0:v>
      </ns0:c>
      <ns0:c r="I12" s="26">
        <ns0:f>COUNTIF('ROM LAB03'!$D$6:$D$261,A12)</ns0:f>
        <ns0:v>5</ns0:v>
      </ns0:c>
      <ns0:c r="J12" s="27" t="inlineStr">
        <ns0:is>
          <ns0:t>0x00000100</ns0:t>
        </ns0:is>
      </ns0:c>
      <ns0:c r="K12" s="27" t="inlineStr">
        <ns0:is>
          <ns0:t>0x01D2A023</ns0:t>
        </ns0:is>
      </ns0:c>
      <ns0:c r="L12" s="27" t="inlineStr">
        <ns0:is>
          <ns0:t>sw t4, 0(t0)</ns0:t>
        </ns0:is>
      </ns0:c>
      <ns0:c r="M12" s="26" t="str">
        <ns0:f>IF(G12&gt;0,"FETCH Наблюдался",IF(A12="nop","NOP/PADDING","ТОЛЬКО ROM"))</ns0:f>
        <ns0:v>FETCH Наблюдался</ns0:v>
      </ns0:c>
      <ns0:c r="N12" s="26" t="inlineStr">
        <ns0:is>
          <ns0:t>FETCH ≠ retirement</ns0:t>
        </ns0:is>
      </ns0:c>
    </ns0:row>
    <ns0:row r="13" ht="65" customHeight="1">
      <ns0:c r="A13" s="28" t="inlineStr">
        <ns0:is>
          <ns0:t>lui</ns0:t>
        </ns0:is>
      </ns0:c>
      <ns0:c r="B13" s="26" t="inlineStr">
        <ns0:is>
          <ns0:t>Load Upper Immediate</ns0:t>
        </ns0:is>
      </ns0:c>
      <ns0:c r="C13" s="26" t="inlineStr">
        <ns0:is>
          <ns0:t>U</ns0:t>
        </ns0:is>
      </ns0:c>
      <ns0:c r="D13" s="26" t="inlineStr">
        <ns0:is>
          <ns0:t>lui rd, imm20</ns0:t>
        </ns0:is>
      </ns0:c>
      <ns0:c r="E13" s="26" t="inlineStr">
        <ns0:is>
          <ns0:t>rd ← imm20 &lt;&lt; 12</ns0:t>
        </ns0:is>
      </ns0:c>
      <ns0:c r="F13" s="26" t="inlineStr">
        <ns0:is>
          <ns0:t>PC 0x000: формирует t0=0x20000000.</ns0:t>
        </ns0:is>
      </ns0:c>
      <ns0:c r="G13" s="26">
        <ns0:f>COUNTIF('ДАННЫЕ T3'!$I$6:$I$286,A13)</ns0:f>
        <ns0:v>0</ns0:v>
      </ns0:c>
      <ns0:c r="H13" s="26">
        <ns0:f>SUMIF('ДАННЫЕ T3'!$I$6:$I$286,A13,'ДАННЫЕ T3'!$N$6:$N$286)</ns0:f>
        <ns0:v>0</ns0:v>
      </ns0:c>
      <ns0:c r="I13" s="26">
        <ns0:f>COUNTIF('ROM LAB03'!$D$6:$D$261,A13)</ns0:f>
        <ns0:v>1</ns0:v>
      </ns0:c>
      <ns0:c r="J13" s="27" t="inlineStr">
        <ns0:is>
          <ns0:t>0x00000000</ns0:t>
        </ns0:is>
      </ns0:c>
      <ns0:c r="K13" s="27" t="inlineStr">
        <ns0:is>
          <ns0:t>0x200002B7</ns0:t>
        </ns0:is>
      </ns0:c>
      <ns0:c r="L13" s="27" t="inlineStr">
        <ns0:is>
          <ns0:t>lui t0, 0x20000000</ns0:t>
        </ns0:is>
      </ns0:c>
      <ns0:c r="M13" s="26" t="str">
        <ns0:f>IF(G13&gt;0,"FETCH Наблюдался",IF(A13="nop","NOP/PADDING","ТОЛЬКО ROM"))</ns0:f>
        <ns0:v>ТОЛЬКО ROM</ns0:v>
      </ns0:c>
      <ns0:c r="N13" s="26" t="inlineStr">
        <ns0:is>
          <ns0:t>В 12 трассах нет FETCH</ns0:t>
        </ns0:is>
      </ns0:c>
    </ns0:row>
    <ns0:row r="14" ht="65" customHeight="1">
      <ns0:c r="A14" s="28" t="inlineStr">
        <ns0:is>
          <ns0:t>bne</ns0:t>
        </ns0:is>
      </ns0:c>
      <ns0:c r="B14" s="26" t="inlineStr">
        <ns0:is>
          <ns0:t>Branch if Not Equal</ns0:t>
        </ns0:is>
      </ns0:c>
      <ns0:c r="C14" s="26" t="inlineStr">
        <ns0:is>
          <ns0:t>B</ns0:t>
        </ns0:is>
      </ns0:c>
      <ns0:c r="D14" s="26" t="inlineStr">
        <ns0:is>
          <ns0:t>bne rs1, rs2, target</ns0:t>
        </ns0:is>
      </ns0:c>
      <ns0:c r="E14" s="26" t="inlineStr">
        <ns0:is>
          <ns0:t>Если rs1≠rs2, переход к target</ns0:t>
        </ns0:is>
      </ns0:c>
      <ns0:c r="F14" s="26" t="inlineStr">
        <ns0:is>
          <ns0:t>PC 0x108: сверка readback с записанной маской.</ns0:t>
        </ns0:is>
      </ns0:c>
      <ns0:c r="G14" s="26">
        <ns0:f>COUNTIF('ДАННЫЕ T3'!$I$6:$I$286,A14)</ns0:f>
        <ns0:v>0</ns0:v>
      </ns0:c>
      <ns0:c r="H14" s="26">
        <ns0:f>SUMIF('ДАННЫЕ T3'!$I$6:$I$286,A14,'ДАННЫЕ T3'!$N$6:$N$286)</ns0:f>
        <ns0:v>0</ns0:v>
      </ns0:c>
      <ns0:c r="I14" s="26">
        <ns0:f>COUNTIF('ROM LAB03'!$D$6:$D$261,A14)</ns0:f>
        <ns0:v>1</ns0:v>
      </ns0:c>
      <ns0:c r="J14" s="27" t="inlineStr">
        <ns0:is>
          <ns0:t>0x00000108</ns0:t>
        </ns0:is>
      </ns0:c>
      <ns0:c r="K14" s="27" t="inlineStr">
        <ns0:is>
          <ns0:t>0x0BDF9C63</ns0:t>
        </ns0:is>
      </ns0:c>
      <ns0:c r="L14" s="27" t="inlineStr">
        <ns0:is>
          <ns0:t>bne t6, t4, 0x000001C0</ns0:t>
        </ns0:is>
      </ns0:c>
      <ns0:c r="M14" s="26" t="str">
        <ns0:f>IF(G14&gt;0,"FETCH Наблюдался",IF(A14="nop","NOP/PADDING","ТОЛЬКО ROM"))</ns0:f>
        <ns0:v>ТОЛЬКО ROM</ns0:v>
      </ns0:c>
      <ns0:c r="N14" s="26" t="inlineStr">
        <ns0:is>
          <ns0:t>В 12 трассах нет FETCH</ns0:t>
        </ns0:is>
      </ns0:c>
    </ns0:row>
    <ns0:row r="15" ht="65" customHeight="1">
      <ns0:c r="A15" s="28" t="inlineStr">
        <ns0:is>
          <ns0:t>srli</ns0:t>
        </ns0:is>
      </ns0:c>
      <ns0:c r="B15" s="26" t="inlineStr">
        <ns0:is>
          <ns0:t>Shift Right Logical Immediate</ns0:t>
        </ns0:is>
      </ns0:c>
      <ns0:c r="C15" s="26" t="inlineStr">
        <ns0:is>
          <ns0:t>I</ns0:t>
        </ns0:is>
      </ns0:c>
      <ns0:c r="D15" s="26" t="inlineStr">
        <ns0:is>
          <ns0:t>srli rd, rs1, shamt</ns0:t>
        </ns0:is>
      </ns0:c>
      <ns0:c r="E15" s="26" t="inlineStr">
        <ns0:is>
          <ns0:t>rd ← unsigned(rs1) &gt;&gt; shamt</ns0:t>
        </ns0:is>
      </ns0:c>
      <ns0:c r="F15" s="26" t="inlineStr">
        <ns0:is>
          <ns0:t>Печать T3: получение шестнадцатеричных цифр.</ns0:t>
        </ns0:is>
      </ns0:c>
      <ns0:c r="G15" s="26">
        <ns0:f>COUNTIF('ДАННЫЕ T3'!$I$6:$I$286,A15)</ns0:f>
        <ns0:v>0</ns0:v>
      </ns0:c>
      <ns0:c r="H15" s="26">
        <ns0:f>SUMIF('ДАННЫЕ T3'!$I$6:$I$286,A15,'ДАННЫЕ T3'!$N$6:$N$286)</ns0:f>
        <ns0:v>0</ns0:v>
      </ns0:c>
      <ns0:c r="I15" s="26">
        <ns0:f>COUNTIF('ROM LAB03'!$D$6:$D$261,A15)</ns0:f>
        <ns0:v>8</ns0:v>
      </ns0:c>
      <ns0:c r="J15" s="27" t="inlineStr">
        <ns0:is>
          <ns0:t>0x000002A4</ns0:t>
        </ns0:is>
      </ns0:c>
      <ns0:c r="K15" s="27" t="inlineStr">
        <ns0:is>
          <ns0:t>0x01C55313</ns0:t>
        </ns0:is>
      </ns0:c>
      <ns0:c r="L15" s="27" t="inlineStr">
        <ns0:is>
          <ns0:t>srli t1, a0, 28</ns0:t>
        </ns0:is>
      </ns0:c>
      <ns0:c r="M15" s="26" t="str">
        <ns0:f>IF(G15&gt;0,"FETCH Наблюдался",IF(A15="nop","NOP/PADDING","ТОЛЬКО ROM"))</ns0:f>
        <ns0:v>ТОЛЬКО ROM</ns0:v>
      </ns0:c>
      <ns0:c r="N15" s="26" t="inlineStr">
        <ns0:is>
          <ns0:t>В 12 трассах нет FETCH</ns0:t>
        </ns0:is>
      </ns0:c>
    </ns0:row>
    <ns0:row r="16" ht="65" customHeight="1">
      <ns0:c r="A16" s="28" t="inlineStr">
        <ns0:is>
          <ns0:t>jalr</ns0:t>
        </ns0:is>
      </ns0:c>
      <ns0:c r="B16" s="26" t="inlineStr">
        <ns0:is>
          <ns0:t>Jump And Link Register</ns0:t>
        </ns0:is>
      </ns0:c>
      <ns0:c r="C16" s="26" t="inlineStr">
        <ns0:is>
          <ns0:t>I</ns0:t>
        </ns0:is>
      </ns0:c>
      <ns0:c r="D16" s="26" t="inlineStr">
        <ns0:is>
          <ns0:t>jalr rd, offset(rs1)</ns0:t>
        </ns0:is>
      </ns0:c>
      <ns0:c r="E16" s="26" t="inlineStr">
        <ns0:is>
          <ns0:t>rd ← PC+4; PC ← (rs1+offset) &amp; ~1</ns0:t>
        </ns0:is>
      </ns0:c>
      <ns0:c r="F16" s="26" t="inlineStr">
        <ns0:is>
          <ns0:t>Возвраты из функций UART-печати.</ns0:t>
        </ns0:is>
      </ns0:c>
      <ns0:c r="G16" s="26">
        <ns0:f>COUNTIF('ДАННЫЕ T3'!$I$6:$I$286,A16)</ns0:f>
        <ns0:v>0</ns0:v>
      </ns0:c>
      <ns0:c r="H16" s="26">
        <ns0:f>SUMIF('ДАННЫЕ T3'!$I$6:$I$286,A16,'ДАННЫЕ T3'!$N$6:$N$286)</ns0:f>
        <ns0:v>0</ns0:v>
      </ns0:c>
      <ns0:c r="I16" s="26">
        <ns0:f>COUNTIF('ROM LAB03'!$D$6:$D$261,A16)</ns0:f>
        <ns0:v>4</ns0:v>
      </ns0:c>
      <ns0:c r="J16" s="27" t="inlineStr">
        <ns0:is>
          <ns0:t>0x000002E4</ns0:t>
        </ns0:is>
      </ns0:c>
      <ns0:c r="K16" s="27" t="inlineStr">
        <ns0:is>
          <ns0:t>0x000B8067</ns0:t>
        </ns0:is>
      </ns0:c>
      <ns0:c r="L16" s="27" t="inlineStr">
        <ns0:is>
          <ns0:t>jalr zero, 0(s7)</ns0:t>
        </ns0:is>
      </ns0:c>
      <ns0:c r="M16" s="26" t="str">
        <ns0:f>IF(G16&gt;0,"FETCH Наблюдался",IF(A16="nop","NOP/PADDING","ТОЛЬКО ROM"))</ns0:f>
        <ns0:v>ТОЛЬКО ROM</ns0:v>
      </ns0:c>
      <ns0:c r="N16" s="26" t="inlineStr">
        <ns0:is>
          <ns0:t>В 12 трассах нет FETCH</ns0:t>
        </ns0:is>
      </ns0:c>
    </ns0:row>
    <ns0:row r="17" ht="65" customHeight="1">
      <ns0:c r="A17" s="29" t="inlineStr">
        <ns0:is>
          <ns0:t>nop</ns0:t>
        </ns0:is>
      </ns0:c>
      <ns0:c r="B17" s="26" t="inlineStr">
        <ns0:is>
          <ns0:t>No Operation</ns0:t>
        </ns0:is>
      </ns0:c>
      <ns0:c r="C17" s="26" t="inlineStr">
        <ns0:is>
          <ns0:t>I</ns0:t>
        </ns0:is>
      </ns0:c>
      <ns0:c r="D17" s="26" t="inlineStr">
        <ns0:is>
          <ns0:t>nop (addi zero, zero, 0)</ns0:t>
        </ns0:is>
      </ns0:c>
      <ns0:c r="E17" s="26" t="inlineStr">
        <ns0:is>
          <ns0:t>Не изменяет архитектурного состояния</ns0:t>
        </ns0:is>
      </ns0:c>
      <ns0:c r="F17" s="26" t="inlineStr">
        <ns0:is>
          <ns0:t>54 слова заполнения ROM, не наблюдаются в трассах.</ns0:t>
        </ns0:is>
      </ns0:c>
      <ns0:c r="G17" s="26">
        <ns0:f>COUNTIF('ДАННЫЕ T3'!$I$6:$I$286,A17)</ns0:f>
        <ns0:v>0</ns0:v>
      </ns0:c>
      <ns0:c r="H17" s="26">
        <ns0:f>SUMIF('ДАННЫЕ T3'!$I$6:$I$286,A17,'ДАННЫЕ T3'!$N$6:$N$286)</ns0:f>
        <ns0:v>0</ns0:v>
      </ns0:c>
      <ns0:c r="I17" s="26">
        <ns0:f>COUNTIF('ROM LAB03'!$D$6:$D$261,A17)</ns0:f>
        <ns0:v>54</ns0:v>
      </ns0:c>
      <ns0:c r="J17" s="27" t="inlineStr">
        <ns0:is>
          <ns0:t>0x00000328</ns0:t>
        </ns0:is>
      </ns0:c>
      <ns0:c r="K17" s="27" t="inlineStr">
        <ns0:is>
          <ns0:t>0x00000013</ns0:t>
        </ns0:is>
      </ns0:c>
      <ns0:c r="L17" s="27" t="inlineStr">
        <ns0:is>
          <ns0:t>nop</ns0:t>
        </ns0:is>
      </ns0:c>
      <ns0:c r="M17" s="26" t="str">
        <ns0:f>IF(G17&gt;0,"FETCH Наблюдался",IF(A17="nop","NOP/PADDING","ТОЛЬКО ROM"))</ns0:f>
        <ns0:v>NOP/PADDING</ns0:v>
      </ns0:c>
      <ns0:c r="N17" s="26" t="inlineStr">
        <ns0:is>
          <ns0:t>В 12 трассах нет FETCH</ns0:t>
        </ns0:is>
      </ns0:c>
    </ns0:row>
    <ns0:row r="19">
      <ns0:c r="A19" s="30" t="inlineStr">
        <ns0:is>
          <ns0:t>Сведения о назначении команд — по исходному коду LAB-03 и зафиксированной ROM. Числа FETCH вычисляются из листа «ДАННЫЕ T3». Команды только из ROM не объявляются аппаратно выполненными.</ns0:t>
        </ns0:is>
      </ns0:c>
    </ns0:row>
    <ns0:row r="20"/>
  </ns0:sheetData>
  <ns0:autoFilter ref="A6:N17"/>
  <ns0:mergeCells count="3">
    <ns0:mergeCell ref="A1:N2"/>
    <ns0:mergeCell ref="A3:N3"/>
    <ns0:mergeCell ref="A19:N20"/>
  </ns0:mergeCells>
  <ns0:hyperlinks>
    <ns0:hyperlink ref="A4" location="'ИНСТРУКЦИЯ'!A1" display="СТАРТ"/>
    <ns0:hyperlink ref="B4" location="'ПУЛЬТ'!A1" display="НАБЛЮДЕНИЕ"/>
    <ns0:hyperlink ref="C4" location="'СРАВНЕНИЕ'!A1" display="СРАВНЕНИЕ"/>
    <ns0:hyperlink ref="D4" location="'МОДЕЛЬ MMIO'!A1" display="LED / MMIO"/>
    <ns0:hyperlink ref="E4" location="'КОМАНДЫ'!A1" display="КОМАНДЫ"/>
    <ns0:hyperlink ref="F4" location="'ЗАХВАТЫ'!A1" display="12 ТРАСС"/>
    <ns0:hyperlink ref="G4" location="'ДАННЫЕ T3'!A1" display="RAW T3"/>
    <ns0:hyperlink ref="H4" location="'ROM LAB03'!A1" display="ROM"/>
    <ns0:hyperlink ref="I4" location="'СЛОВАРЬ'!A1" display="ТЕРМИНЫ"/>
    <ns0:hyperlink ref="J4" location="'ИСТОЧНИКИ'!A1" display="ПРОИСХОЖДЕНИЕ"/>
    <ns0:hyperlink ref="K4" ns1:id="rId1"/>
    <ns0:hyperlink ref="L4" ns1:id="rId2"/>
  </ns0:hyperlinks>
  <ns0:printOptions horizontalCentered="0" gridLines="0"/>
  <ns0:pageMargins left="0.75" right="0.75" top="1" bottom="1" header="0.5" footer="0.5"/>
  <ns0:pageSetup fitToHeight="0" fitToWidth="1"/>
  <ns0:legacyDrawing ns1:id="anysvml"/>
</ns0:worksheet>
</file>

<file path=xl/worksheets/sheet6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T210"/>
  <ns0:sheetViews>
    <ns0:sheetView showGridLines="0" tabSelected="0" zoomScale="85" workbookViewId="0">
      <ns0:pane xSplit="3" ySplit="8" topLeftCell="D9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7" customWidth="1" min="1" max="1"/>
    <ns0:col width="17" customWidth="1" min="2" max="2"/>
    <ns0:col width="16" customWidth="1" min="3" max="3"/>
    <ns0:col width="37" customWidth="1" min="4" max="4"/>
    <ns0:col width="14" customWidth="1" min="5" max="5"/>
    <ns0:col width="12" customWidth="1" min="6" max="6"/>
    <ns0:col width="14" customWidth="1" min="7" max="7"/>
    <ns0:col width="14" customWidth="1" min="8" max="8"/>
    <ns0:col width="17" customWidth="1" min="9" max="9"/>
    <ns0:col width="38" customWidth="1" min="10" max="10"/>
    <ns0:col width="65" customWidth="1" min="11" max="11"/>
    <ns0:col width="21" customWidth="1" min="12" max="12"/>
    <ns0:col width="27" customWidth="1" min="13" max="13"/>
    <ns0:col width="27" customWidth="1" min="14" max="14"/>
    <ns0:col width="27" customWidth="1" min="15" max="15"/>
    <ns0:col width="27" customWidth="1" min="16" max="16"/>
    <ns0:col width="27" customWidth="1" min="17" max="17"/>
    <ns0:col width="27" customWidth="1" min="18" max="18"/>
    <ns0:col width="27" customWidth="1" min="19" max="19"/>
    <ns0:col width="27" customWidth="1" min="20" max="20"/>
  </ns0:cols>
  <ns0:sheetData>
    <ns0:row r="1" ht="29" customHeight="1">
      <ns0:c r="A1" s="61" t="inlineStr">
        <ns0:is>
          <ns0:t>LAB-03 / МАШИННЫЕ КОМАНДЫ — 202 РАЗБОРА</ns0:t>
        </ns0:is>
      </ns0:c>
      <ns0:c r="B1" s="2" t="n"/>
      <ns0:c r="C1" s="2" t="n"/>
      <ns0:c r="D1" s="2" t="n"/>
      <ns0:c r="E1" s="2" t="n"/>
      <ns0:c r="F1" s="2" t="n"/>
      <ns0:c r="G1" s="2" t="n"/>
      <ns0:c r="H1" s="2" t="n"/>
      <ns0:c r="I1" s="2" t="n"/>
      <ns0:c r="J1" s="2" t="n"/>
      <ns0:c r="K1" s="2" t="n"/>
      <ns0:c r="L1" s="2" t="n"/>
      <ns0:c r="M1" s="2" t="n"/>
      <ns0:c r="N1" s="2" t="n"/>
    </ns0:row>
    <ns0:row r="2" ht="17" customHeight="1">
      <ns0:c r="A2" s="2" t="n"/>
      <ns0:c r="B2" s="2" t="n"/>
      <ns0:c r="C2" s="2" t="n"/>
      <ns0:c r="D2" s="2" t="n"/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</ns0:row>
    <ns0:row r="3" ht="44" customHeight="1">
      <ns0:c r="A3" s="62" t="inlineStr">
        <ns0:is>
          <ns0:t>Все 202 слова действующей прошивки (ROM 0x000…0x324). Только 29 PC наблюдались в серии 12 T3. 54 хвостовых NOP — заполнение, не активная программа.</ns0:t>
        </ns0:is>
      </ns0:c>
      <ns0:c r="B3" s="7" t="n"/>
      <ns0:c r="C3" s="7" t="n"/>
      <ns0:c r="D3" s="7" t="n"/>
      <ns0:c r="E3" s="7" t="n"/>
      <ns0:c r="F3" s="7" t="n"/>
      <ns0:c r="G3" s="7" t="n"/>
      <ns0:c r="H3" s="7" t="n"/>
      <ns0:c r="I3" s="7" t="n"/>
      <ns0:c r="J3" s="7" t="n"/>
      <ns0:c r="K3" s="7" t="n"/>
      <ns0:c r="L3" s="7" t="n"/>
      <ns0:c r="M3" s="7" t="n"/>
      <ns0:c r="N3" s="7" t="n"/>
    </ns0:row>
    <ns0:row r="4" ht="28" customHeight="1">
      <ns0:c r="A4" s="63" t="inlineStr">
        <ns0:is>
          <ns0:t>СТАРТ</ns0:t>
        </ns0:is>
      </ns0:c>
      <ns0:c r="B4" s="63" t="inlineStr">
        <ns0:is>
          <ns0:t>НАБЛЮДЕНИЕ</ns0:t>
        </ns0:is>
      </ns0:c>
      <ns0:c r="C4" s="63" t="inlineStr">
        <ns0:is>
          <ns0:t>СРАВНЕНИЕ</ns0:t>
        </ns0:is>
      </ns0:c>
      <ns0:c r="D4" s="63" t="inlineStr">
        <ns0:is>
          <ns0:t>LED / MMIO</ns0:t>
        </ns0:is>
      </ns0:c>
      <ns0:c r="E4" s="63" t="inlineStr">
        <ns0:is>
          <ns0:t>КОМАНДЫ</ns0:t>
        </ns0:is>
      </ns0:c>
      <ns0:c r="F4" s="63" t="inlineStr">
        <ns0:is>
          <ns0:t>12 ТРАСС</ns0:t>
        </ns0:is>
      </ns0:c>
      <ns0:c r="G4" s="63" t="inlineStr">
        <ns0:is>
          <ns0:t>RAW T3</ns0:t>
        </ns0:is>
      </ns0:c>
      <ns0:c r="H4" s="63" t="inlineStr">
        <ns0:is>
          <ns0:t>ROM</ns0:t>
        </ns0:is>
      </ns0:c>
      <ns0:c r="I4" s="63" t="inlineStr">
        <ns0:is>
          <ns0:t>ТЕРМИНЫ</ns0:t>
        </ns0:is>
      </ns0:c>
      <ns0:c r="J4" s="63" t="inlineStr">
        <ns0:is>
          <ns0:t>ПРОИСХОЖДЕНИЕ</ns0:t>
        </ns0:is>
      </ns0:c>
      <ns0:c r="K4" s="63" t="inlineStr">
        <ns0:is>
          <ns0:t>БИТЫ 202</ns0:t>
        </ns0:is>
      </ns0:c>
      <ns0:c r="L4" s="63" t="inlineStr">
        <ns0:is>
          <ns0:t>10 КАРТОЧЕК</ns0:t>
        </ns0:is>
      </ns0:c>
    </ns0:row>
    <ns0:row r="6">
      <ns0:c r="B6" s="64" t="inlineStr">
        <ns0:is>
          <ns0:t>Каталог: каждый адрес PC, машинное слово, инструкция, тип кодирования и поля [31:0] из неизменной LAB-03 ROM.</ns0:t>
        </ns0:is>
      </ns0:c>
      <ns0:c r="C6" s="65" t="n"/>
      <ns0:c r="D6" s="65" t="n"/>
      <ns0:c r="E6" s="65" t="n"/>
      <ns0:c r="F6" s="65" t="n"/>
      <ns0:c r="G6" s="65" t="n"/>
      <ns0:c r="H6" s="65" t="n"/>
      <ns0:c r="I6" s="65" t="n"/>
      <ns0:c r="J6" s="65" t="n"/>
      <ns0:c r="K6" s="65" t="n"/>
      <ns0:c r="L6" s="65" t="n"/>
      <ns0:c r="M6" s="65" t="n"/>
      <ns0:c r="N6" s="65" t="n"/>
    </ns0:row>
    <ns0:row r="8" ht="38" customHeight="1">
      <ns0:c r="A8" s="66" t="inlineStr">
        <ns0:is>
          <ns0:t>№</ns0:t>
        </ns0:is>
      </ns0:c>
      <ns0:c r="B8" s="66" t="inlineStr">
        <ns0:is>
          <ns0:t>PC</ns0:t>
        </ns0:is>
      </ns0:c>
      <ns0:c r="C8" s="66" t="inlineStr">
        <ns0:is>
          <ns0:t>WORD</ns0:t>
        </ns0:is>
      </ns0:c>
      <ns0:c r="D8" s="66" t="inlineStr">
        <ns0:is>
          <ns0:t>RV32I ASM</ns0:t>
        </ns0:is>
      </ns0:c>
      <ns0:c r="E8" s="66" t="inlineStr">
        <ns0:is>
          <ns0:t>Команда</ns0:t>
        </ns0:is>
      </ns0:c>
      <ns0:c r="F8" s="66" t="inlineStr">
        <ns0:is>
          <ns0:t>Формат</ns0:t>
        </ns0:is>
      </ns0:c>
      <ns0:c r="G8" s="66" t="inlineStr">
        <ns0:is>
          <ns0:t>FETCH (12)</ns0:t>
        </ns0:is>
      </ns0:c>
      <ns0:c r="H8" s="66" t="inlineStr">
        <ns0:is>
          <ns0:t>imm, dec</ns0:t>
        </ns0:is>
      </ns0:c>
      <ns0:c r="I8" s="66" t="inlineStr">
        <ns0:is>
          <ns0:t>Target</ns0:t>
        </ns0:is>
      </ns0:c>
      <ns0:c r="J8" s="66" t="inlineStr">
        <ns0:is>
          <ns0:t>Binary [31:0]</ns0:t>
        </ns0:is>
      </ns0:c>
      <ns0:c r="K8" s="66" t="inlineStr">
        <ns0:is>
          <ns0:t>Действие / замечание</ns0:t>
        </ns0:is>
      </ns0:c>
      <ns0:c r="L8" s="66" t="inlineStr">
        <ns0:is>
          <ns0:t>Статус</ns0:t>
        </ns0:is>
      </ns0:c>
      <ns0:c r="M8" s="67" t="inlineStr">
        <ns0:is>
          <ns0:t>Поле 1 · биты / значение / имя</ns0:t>
        </ns0:is>
      </ns0:c>
      <ns0:c r="N8" s="67" t="inlineStr">
        <ns0:is>
          <ns0:t>Поле 2 · биты / значение / имя</ns0:t>
        </ns0:is>
      </ns0:c>
      <ns0:c r="O8" s="67" t="inlineStr">
        <ns0:is>
          <ns0:t>Поле 3 · биты / значение / имя</ns0:t>
        </ns0:is>
      </ns0:c>
      <ns0:c r="P8" s="67" t="inlineStr">
        <ns0:is>
          <ns0:t>Поле 4 · биты / значение / имя</ns0:t>
        </ns0:is>
      </ns0:c>
      <ns0:c r="Q8" s="67" t="inlineStr">
        <ns0:is>
          <ns0:t>Поле 5 · биты / значение / имя</ns0:t>
        </ns0:is>
      </ns0:c>
      <ns0:c r="R8" s="67" t="inlineStr">
        <ns0:is>
          <ns0:t>Поле 6 · биты / значение / имя</ns0:t>
        </ns0:is>
      </ns0:c>
      <ns0:c r="S8" s="67" t="inlineStr">
        <ns0:is>
          <ns0:t>Поле 7 · биты / значение / имя</ns0:t>
        </ns0:is>
      </ns0:c>
      <ns0:c r="T8" s="67" t="inlineStr">
        <ns0:is>
          <ns0:t>Поле 8 · биты / значение / имя</ns0:t>
        </ns0:is>
      </ns0:c>
    </ns0:row>
    <ns0:row r="9" ht="52" customHeight="1">
      <ns0:c r="A9" s="68" t="n">
        <ns0:v>1</ns0:v>
      </ns0:c>
      <ns0:c r="B9" s="69" t="inlineStr">
        <ns0:is>
          <ns0:t>0x00000000</ns0:t>
        </ns0:is>
      </ns0:c>
      <ns0:c r="C9" s="69" t="inlineStr">
        <ns0:is>
          <ns0:t>0x200002B7</ns0:t>
        </ns0:is>
      </ns0:c>
      <ns0:c r="D9" s="70" t="inlineStr">
        <ns0:is>
          <ns0:t>lui t0, 0x20000000</ns0:t>
        </ns0:is>
      </ns0:c>
      <ns0:c r="E9" s="71" t="inlineStr">
        <ns0:is>
          <ns0:t>lui</ns0:t>
        </ns0:is>
      </ns0:c>
      <ns0:c r="F9" s="71" t="inlineStr">
        <ns0:is>
          <ns0:t>U</ns0:t>
        </ns0:is>
      </ns0:c>
      <ns0:c r="G9" s="71" t="n">
        <ns0:v>0</ns0:v>
      </ns0:c>
      <ns0:c r="H9" s="71" t="n">
        <ns0:v>131072</ns0:v>
      </ns0:c>
      <ns0:c r="I9" s="72" t="inlineStr">
        <ns0:is>
          <ns0:t>—</ns0:t>
        </ns0:is>
      </ns0:c>
      <ns0:c r="J9" s="72" t="inlineStr">
        <ns0:is>
          <ns0:t>00100000000000000000001010110111</ns0:t>
        </ns0:is>
      </ns0:c>
      <ns0:c r="K9" s="73" t="inlineStr">
        <ns0:is>
          <ns0:t>rd (t0) ← 0x20000000. Здесь формируется старшая часть адреса периферии.</ns0:t>
        </ns0:is>
      </ns0:c>
      <ns0:c r="L9" s="70" t="inlineStr">
        <ns0:is>
          <ns0:t>Только ROM</ns0:t>
        </ns0:is>
      </ns0:c>
      <ns0:c r="M9" s="74" t="inlineStr">
        <ns0:is>
          <ns0:t>31–12
00100000000000000000
imm[31:12]</ns0:t>
        </ns0:is>
      </ns0:c>
      <ns0:c r="N9" s="75" t="inlineStr">
        <ns0:is>
          <ns0:t>11–7
00101
rd</ns0:t>
        </ns0:is>
      </ns0:c>
      <ns0:c r="O9" s="76" t="inlineStr">
        <ns0:is>
          <ns0:t>6–0
0110111
opcode</ns0:t>
        </ns0:is>
      </ns0:c>
    </ns0:row>
    <ns0:row r="10" ht="52" customHeight="1">
      <ns0:c r="A10" s="77" t="n">
        <ns0:v>2</ns0:v>
      </ns0:c>
      <ns0:c r="B10" s="78" t="inlineStr">
        <ns0:is>
          <ns0:t>0x00000004</ns0:t>
        </ns0:is>
      </ns0:c>
      <ns0:c r="C10" s="78" t="inlineStr">
        <ns0:is>
          <ns0:t>0x0002A023</ns0:t>
        </ns0:is>
      </ns0:c>
      <ns0:c r="D10" s="79" t="inlineStr">
        <ns0:is>
          <ns0:t>sw zero, 0(t0)</ns0:t>
        </ns0:is>
      </ns0:c>
      <ns0:c r="E10" s="80" t="inlineStr">
        <ns0:is>
          <ns0:t>sw</ns0:t>
        </ns0:is>
      </ns0:c>
      <ns0:c r="F10" s="80" t="inlineStr">
        <ns0:is>
          <ns0:t>S</ns0:t>
        </ns0:is>
      </ns0:c>
      <ns0:c r="G10" s="80" t="n">
        <ns0:v>0</ns0:v>
      </ns0:c>
      <ns0:c r="H10" s="80" t="n">
        <ns0:v>0</ns0:v>
      </ns0:c>
      <ns0:c r="I10" s="81" t="inlineStr">
        <ns0:is>
          <ns0:t>—</ns0:t>
        </ns0:is>
      </ns0:c>
      <ns0:c r="J10" s="81" t="inlineStr">
        <ns0:is>
          <ns0:t>00000000000000101010000000100011</ns0:t>
        </ns0:is>
      </ns0:c>
      <ns0:c r="K10" s="82" t="inlineStr">
        <ns0:is>
          <ns0:t>MEM32[t0 +0] ← zero. Число, находящееся в rs2, не кодируется в самой инструкции.</ns0:t>
        </ns0:is>
      </ns0:c>
      <ns0:c r="L10" s="79" t="inlineStr">
        <ns0:is>
          <ns0:t>Только ROM</ns0:t>
        </ns0:is>
      </ns0:c>
      <ns0:c r="M10" s="74" t="inlineStr">
        <ns0:is>
          <ns0:t>31–25
0000000
imm[11:5]</ns0:t>
        </ns0:is>
      </ns0:c>
      <ns0:c r="N10" s="75" t="inlineStr">
        <ns0:is>
          <ns0:t>24–20
00000
rs2</ns0:t>
        </ns0:is>
      </ns0:c>
      <ns0:c r="O10" s="75" t="inlineStr">
        <ns0:is>
          <ns0:t>19–15
00101
rs1</ns0:t>
        </ns0:is>
      </ns0:c>
      <ns0:c r="P10" s="83" t="inlineStr">
        <ns0:is>
          <ns0:t>14–12
010
funct3</ns0:t>
        </ns0:is>
      </ns0:c>
      <ns0:c r="Q10" s="74" t="inlineStr">
        <ns0:is>
          <ns0:t>11–7
00000
imm[4:0]</ns0:t>
        </ns0:is>
      </ns0:c>
      <ns0:c r="R10" s="76" t="inlineStr">
        <ns0:is>
          <ns0:t>6–0
0100011
opcode</ns0:t>
        </ns0:is>
      </ns0:c>
    </ns0:row>
    <ns0:row r="11" ht="52" customHeight="1">
      <ns0:c r="A11" s="68" t="n">
        <ns0:v>3</ns0:v>
      </ns0:c>
      <ns0:c r="B11" s="69" t="inlineStr">
        <ns0:is>
          <ns0:t>0x00000008</ns0:t>
        </ns0:is>
      </ns0:c>
      <ns0:c r="C11" s="69" t="inlineStr">
        <ns0:is>
          <ns0:t>0x05200313</ns0:t>
        </ns0:is>
      </ns0:c>
      <ns0:c r="D11" s="70" t="inlineStr">
        <ns0:is>
          <ns0:t>addi t1, zero, 82</ns0:t>
        </ns0:is>
      </ns0:c>
      <ns0:c r="E11" s="71" t="inlineStr">
        <ns0:is>
          <ns0:t>addi</ns0:t>
        </ns0:is>
      </ns0:c>
      <ns0:c r="F11" s="71" t="inlineStr">
        <ns0:is>
          <ns0:t>I</ns0:t>
        </ns0:is>
      </ns0:c>
      <ns0:c r="G11" s="71" t="n">
        <ns0:v>0</ns0:v>
      </ns0:c>
      <ns0:c r="H11" s="71" t="n">
        <ns0:v>82</ns0:v>
      </ns0:c>
      <ns0:c r="I11" s="72" t="inlineStr">
        <ns0:is>
          <ns0:t>—</ns0:t>
        </ns0:is>
      </ns0:c>
      <ns0:c r="J11" s="72" t="inlineStr">
        <ns0:is>
          <ns0:t>00000101001000000000001100010011</ns0:t>
        </ns0:is>
      </ns0:c>
      <ns0:c r="K11" s="73" t="inlineStr">
        <ns0:is>
          <ns0:t>t1 ← zero + (+82); арифметика RV32I по модулю 2³².</ns0:t>
        </ns0:is>
      </ns0:c>
      <ns0:c r="L11" s="70" t="inlineStr">
        <ns0:is>
          <ns0:t>Только ROM</ns0:t>
        </ns0:is>
      </ns0:c>
      <ns0:c r="M11" s="74" t="inlineStr">
        <ns0:is>
          <ns0:t>31–20
000001010010
imm[11:0]</ns0:t>
        </ns0:is>
      </ns0:c>
      <ns0:c r="N11" s="75" t="inlineStr">
        <ns0:is>
          <ns0:t>19–15
00000
rs1</ns0:t>
        </ns0:is>
      </ns0:c>
      <ns0:c r="O11" s="83" t="inlineStr">
        <ns0:is>
          <ns0:t>14–12
000
funct3</ns0:t>
        </ns0:is>
      </ns0:c>
      <ns0:c r="P11" s="75" t="inlineStr">
        <ns0:is>
          <ns0:t>11–7
00110
rd</ns0:t>
        </ns0:is>
      </ns0:c>
      <ns0:c r="Q11" s="76" t="inlineStr">
        <ns0:is>
          <ns0:t>6–0
0010011
opcode</ns0:t>
        </ns0:is>
      </ns0:c>
    </ns0:row>
    <ns0:row r="12" ht="52" customHeight="1">
      <ns0:c r="A12" s="77" t="n">
        <ns0:v>4</ns0:v>
      </ns0:c>
      <ns0:c r="B12" s="78" t="inlineStr">
        <ns0:is>
          <ns0:t>0x0000000C</ns0:t>
        </ns0:is>
      </ns0:c>
      <ns0:c r="C12" s="78" t="inlineStr">
        <ns0:is>
          <ns0:t>0x308000EF</ns0:t>
        </ns0:is>
      </ns0:c>
      <ns0:c r="D12" s="79" t="inlineStr">
        <ns0:is>
          <ns0:t>jal ra, 0x00000314</ns0:t>
        </ns0:is>
      </ns0:c>
      <ns0:c r="E12" s="80" t="inlineStr">
        <ns0:is>
          <ns0:t>jal</ns0:t>
        </ns0:is>
      </ns0:c>
      <ns0:c r="F12" s="80" t="inlineStr">
        <ns0:is>
          <ns0:t>J</ns0:t>
        </ns0:is>
      </ns0:c>
      <ns0:c r="G12" s="80" t="n">
        <ns0:v>0</ns0:v>
      </ns0:c>
      <ns0:c r="H12" s="80" t="n">
        <ns0:v>776</ns0:v>
      </ns0:c>
      <ns0:c r="I12" s="81" t="inlineStr">
        <ns0:is>
          <ns0:t>0x00000314</ns0:t>
        </ns0:is>
      </ns0:c>
      <ns0:c r="J12" s="81" t="inlineStr">
        <ns0:is>
          <ns0:t>00110000100000000000000011101111</ns0:t>
        </ns0:is>
      </ns0:c>
      <ns0:c r="K12" s="82" t="inlineStr">
        <ns0:is>
          <ns0:t>PC ← 0x00000314; rd (ra) ← PC+4. Смещение +776 байт относительно PC.</ns0:t>
        </ns0:is>
      </ns0:c>
      <ns0:c r="L12" s="79" t="inlineStr">
        <ns0:is>
          <ns0:t>Только ROM</ns0:t>
        </ns0:is>
      </ns0:c>
      <ns0:c r="M12" s="74" t="inlineStr">
        <ns0:is>
          <ns0:t>31
0
imm[20]</ns0:t>
        </ns0:is>
      </ns0:c>
      <ns0:c r="N12" s="74" t="inlineStr">
        <ns0:is>
          <ns0:t>30–21
0110000100
imm[10:1]</ns0:t>
        </ns0:is>
      </ns0:c>
      <ns0:c r="O12" s="74" t="inlineStr">
        <ns0:is>
          <ns0:t>20
0
imm[11]</ns0:t>
        </ns0:is>
      </ns0:c>
      <ns0:c r="P12" s="74" t="inlineStr">
        <ns0:is>
          <ns0:t>19–12
00000000
imm[19:12]</ns0:t>
        </ns0:is>
      </ns0:c>
      <ns0:c r="Q12" s="75" t="inlineStr">
        <ns0:is>
          <ns0:t>11–7
00001
rd</ns0:t>
        </ns0:is>
      </ns0:c>
      <ns0:c r="R12" s="76" t="inlineStr">
        <ns0:is>
          <ns0:t>6–0
1101111
opcode</ns0:t>
        </ns0:is>
      </ns0:c>
    </ns0:row>
    <ns0:row r="13" ht="52" customHeight="1">
      <ns0:c r="A13" s="68" t="n">
        <ns0:v>5</ns0:v>
      </ns0:c>
      <ns0:c r="B13" s="69" t="inlineStr">
        <ns0:is>
          <ns0:t>0x00000010</ns0:t>
        </ns0:is>
      </ns0:c>
      <ns0:c r="C13" s="69" t="inlineStr">
        <ns0:is>
          <ns0:t>0x04500313</ns0:t>
        </ns0:is>
      </ns0:c>
      <ns0:c r="D13" s="70" t="inlineStr">
        <ns0:is>
          <ns0:t>addi t1, zero, 69</ns0:t>
        </ns0:is>
      </ns0:c>
      <ns0:c r="E13" s="71" t="inlineStr">
        <ns0:is>
          <ns0:t>addi</ns0:t>
        </ns0:is>
      </ns0:c>
      <ns0:c r="F13" s="71" t="inlineStr">
        <ns0:is>
          <ns0:t>I</ns0:t>
        </ns0:is>
      </ns0:c>
      <ns0:c r="G13" s="71" t="n">
        <ns0:v>0</ns0:v>
      </ns0:c>
      <ns0:c r="H13" s="71" t="n">
        <ns0:v>69</ns0:v>
      </ns0:c>
      <ns0:c r="I13" s="72" t="inlineStr">
        <ns0:is>
          <ns0:t>—</ns0:t>
        </ns0:is>
      </ns0:c>
      <ns0:c r="J13" s="72" t="inlineStr">
        <ns0:is>
          <ns0:t>00000100010100000000001100010011</ns0:t>
        </ns0:is>
      </ns0:c>
      <ns0:c r="K13" s="73" t="inlineStr">
        <ns0:is>
          <ns0:t>t1 ← zero + (+69); арифметика RV32I по модулю 2³².</ns0:t>
        </ns0:is>
      </ns0:c>
      <ns0:c r="L13" s="70" t="inlineStr">
        <ns0:is>
          <ns0:t>Только ROM</ns0:t>
        </ns0:is>
      </ns0:c>
      <ns0:c r="M13" s="74" t="inlineStr">
        <ns0:is>
          <ns0:t>31–20
000001000101
imm[11:0]</ns0:t>
        </ns0:is>
      </ns0:c>
      <ns0:c r="N13" s="75" t="inlineStr">
        <ns0:is>
          <ns0:t>19–15
00000
rs1</ns0:t>
        </ns0:is>
      </ns0:c>
      <ns0:c r="O13" s="83" t="inlineStr">
        <ns0:is>
          <ns0:t>14–12
000
funct3</ns0:t>
        </ns0:is>
      </ns0:c>
      <ns0:c r="P13" s="75" t="inlineStr">
        <ns0:is>
          <ns0:t>11–7
00110
rd</ns0:t>
        </ns0:is>
      </ns0:c>
      <ns0:c r="Q13" s="76" t="inlineStr">
        <ns0:is>
          <ns0:t>6–0
0010011
opcode</ns0:t>
        </ns0:is>
      </ns0:c>
    </ns0:row>
    <ns0:row r="14" ht="52" customHeight="1">
      <ns0:c r="A14" s="77" t="n">
        <ns0:v>6</ns0:v>
      </ns0:c>
      <ns0:c r="B14" s="78" t="inlineStr">
        <ns0:is>
          <ns0:t>0x00000014</ns0:t>
        </ns0:is>
      </ns0:c>
      <ns0:c r="C14" s="78" t="inlineStr">
        <ns0:is>
          <ns0:t>0x300000EF</ns0:t>
        </ns0:is>
      </ns0:c>
      <ns0:c r="D14" s="79" t="inlineStr">
        <ns0:is>
          <ns0:t>jal ra, 0x00000314</ns0:t>
        </ns0:is>
      </ns0:c>
      <ns0:c r="E14" s="80" t="inlineStr">
        <ns0:is>
          <ns0:t>jal</ns0:t>
        </ns0:is>
      </ns0:c>
      <ns0:c r="F14" s="80" t="inlineStr">
        <ns0:is>
          <ns0:t>J</ns0:t>
        </ns0:is>
      </ns0:c>
      <ns0:c r="G14" s="80" t="n">
        <ns0:v>0</ns0:v>
      </ns0:c>
      <ns0:c r="H14" s="80" t="n">
        <ns0:v>768</ns0:v>
      </ns0:c>
      <ns0:c r="I14" s="81" t="inlineStr">
        <ns0:is>
          <ns0:t>0x00000314</ns0:t>
        </ns0:is>
      </ns0:c>
      <ns0:c r="J14" s="81" t="inlineStr">
        <ns0:is>
          <ns0:t>00110000000000000000000011101111</ns0:t>
        </ns0:is>
      </ns0:c>
      <ns0:c r="K14" s="82" t="inlineStr">
        <ns0:is>
          <ns0:t>PC ← 0x00000314; rd (ra) ← PC+4. Смещение +768 байт относительно PC.</ns0:t>
        </ns0:is>
      </ns0:c>
      <ns0:c r="L14" s="79" t="inlineStr">
        <ns0:is>
          <ns0:t>Только ROM</ns0:t>
        </ns0:is>
      </ns0:c>
      <ns0:c r="M14" s="74" t="inlineStr">
        <ns0:is>
          <ns0:t>31
0
imm[20]</ns0:t>
        </ns0:is>
      </ns0:c>
      <ns0:c r="N14" s="74" t="inlineStr">
        <ns0:is>
          <ns0:t>30–21
0110000000
imm[10:1]</ns0:t>
        </ns0:is>
      </ns0:c>
      <ns0:c r="O14" s="74" t="inlineStr">
        <ns0:is>
          <ns0:t>20
0
imm[11]</ns0:t>
        </ns0:is>
      </ns0:c>
      <ns0:c r="P14" s="74" t="inlineStr">
        <ns0:is>
          <ns0:t>19–12
00000000
imm[19:12]</ns0:t>
        </ns0:is>
      </ns0:c>
      <ns0:c r="Q14" s="75" t="inlineStr">
        <ns0:is>
          <ns0:t>11–7
00001
rd</ns0:t>
        </ns0:is>
      </ns0:c>
      <ns0:c r="R14" s="76" t="inlineStr">
        <ns0:is>
          <ns0:t>6–0
1101111
opcode</ns0:t>
        </ns0:is>
      </ns0:c>
    </ns0:row>
    <ns0:row r="15" ht="52" customHeight="1">
      <ns0:c r="A15" s="68" t="n">
        <ns0:v>7</ns0:v>
      </ns0:c>
      <ns0:c r="B15" s="69" t="inlineStr">
        <ns0:is>
          <ns0:t>0x00000018</ns0:t>
        </ns0:is>
      </ns0:c>
      <ns0:c r="C15" s="69" t="inlineStr">
        <ns0:is>
          <ns0:t>0x04100313</ns0:t>
        </ns0:is>
      </ns0:c>
      <ns0:c r="D15" s="70" t="inlineStr">
        <ns0:is>
          <ns0:t>addi t1, zero, 65</ns0:t>
        </ns0:is>
      </ns0:c>
      <ns0:c r="E15" s="71" t="inlineStr">
        <ns0:is>
          <ns0:t>addi</ns0:t>
        </ns0:is>
      </ns0:c>
      <ns0:c r="F15" s="71" t="inlineStr">
        <ns0:is>
          <ns0:t>I</ns0:t>
        </ns0:is>
      </ns0:c>
      <ns0:c r="G15" s="71" t="n">
        <ns0:v>0</ns0:v>
      </ns0:c>
      <ns0:c r="H15" s="71" t="n">
        <ns0:v>65</ns0:v>
      </ns0:c>
      <ns0:c r="I15" s="72" t="inlineStr">
        <ns0:is>
          <ns0:t>—</ns0:t>
        </ns0:is>
      </ns0:c>
      <ns0:c r="J15" s="72" t="inlineStr">
        <ns0:is>
          <ns0:t>00000100000100000000001100010011</ns0:t>
        </ns0:is>
      </ns0:c>
      <ns0:c r="K15" s="73" t="inlineStr">
        <ns0:is>
          <ns0:t>t1 ← zero + (+65); арифметика RV32I по модулю 2³².</ns0:t>
        </ns0:is>
      </ns0:c>
      <ns0:c r="L15" s="70" t="inlineStr">
        <ns0:is>
          <ns0:t>Только ROM</ns0:t>
        </ns0:is>
      </ns0:c>
      <ns0:c r="M15" s="74" t="inlineStr">
        <ns0:is>
          <ns0:t>31–20
000001000001
imm[11:0]</ns0:t>
        </ns0:is>
      </ns0:c>
      <ns0:c r="N15" s="75" t="inlineStr">
        <ns0:is>
          <ns0:t>19–15
00000
rs1</ns0:t>
        </ns0:is>
      </ns0:c>
      <ns0:c r="O15" s="83" t="inlineStr">
        <ns0:is>
          <ns0:t>14–12
000
funct3</ns0:t>
        </ns0:is>
      </ns0:c>
      <ns0:c r="P15" s="75" t="inlineStr">
        <ns0:is>
          <ns0:t>11–7
00110
rd</ns0:t>
        </ns0:is>
      </ns0:c>
      <ns0:c r="Q15" s="76" t="inlineStr">
        <ns0:is>
          <ns0:t>6–0
0010011
opcode</ns0:t>
        </ns0:is>
      </ns0:c>
    </ns0:row>
    <ns0:row r="16" ht="52" customHeight="1">
      <ns0:c r="A16" s="77" t="n">
        <ns0:v>8</ns0:v>
      </ns0:c>
      <ns0:c r="B16" s="78" t="inlineStr">
        <ns0:is>
          <ns0:t>0x0000001C</ns0:t>
        </ns0:is>
      </ns0:c>
      <ns0:c r="C16" s="78" t="inlineStr">
        <ns0:is>
          <ns0:t>0x2F8000EF</ns0:t>
        </ns0:is>
      </ns0:c>
      <ns0:c r="D16" s="79" t="inlineStr">
        <ns0:is>
          <ns0:t>jal ra, 0x00000314</ns0:t>
        </ns0:is>
      </ns0:c>
      <ns0:c r="E16" s="80" t="inlineStr">
        <ns0:is>
          <ns0:t>jal</ns0:t>
        </ns0:is>
      </ns0:c>
      <ns0:c r="F16" s="80" t="inlineStr">
        <ns0:is>
          <ns0:t>J</ns0:t>
        </ns0:is>
      </ns0:c>
      <ns0:c r="G16" s="80" t="n">
        <ns0:v>0</ns0:v>
      </ns0:c>
      <ns0:c r="H16" s="80" t="n">
        <ns0:v>760</ns0:v>
      </ns0:c>
      <ns0:c r="I16" s="81" t="inlineStr">
        <ns0:is>
          <ns0:t>0x00000314</ns0:t>
        </ns0:is>
      </ns0:c>
      <ns0:c r="J16" s="81" t="inlineStr">
        <ns0:is>
          <ns0:t>00101111100000000000000011101111</ns0:t>
        </ns0:is>
      </ns0:c>
      <ns0:c r="K16" s="82" t="inlineStr">
        <ns0:is>
          <ns0:t>PC ← 0x00000314; rd (ra) ← PC+4. Смещение +760 байт относительно PC.</ns0:t>
        </ns0:is>
      </ns0:c>
      <ns0:c r="L16" s="79" t="inlineStr">
        <ns0:is>
          <ns0:t>Только ROM</ns0:t>
        </ns0:is>
      </ns0:c>
      <ns0:c r="M16" s="74" t="inlineStr">
        <ns0:is>
          <ns0:t>31
0
imm[20]</ns0:t>
        </ns0:is>
      </ns0:c>
      <ns0:c r="N16" s="74" t="inlineStr">
        <ns0:is>
          <ns0:t>30–21
0101111100
imm[10:1]</ns0:t>
        </ns0:is>
      </ns0:c>
      <ns0:c r="O16" s="74" t="inlineStr">
        <ns0:is>
          <ns0:t>20
0
imm[11]</ns0:t>
        </ns0:is>
      </ns0:c>
      <ns0:c r="P16" s="74" t="inlineStr">
        <ns0:is>
          <ns0:t>19–12
00000000
imm[19:12]</ns0:t>
        </ns0:is>
      </ns0:c>
      <ns0:c r="Q16" s="75" t="inlineStr">
        <ns0:is>
          <ns0:t>11–7
00001
rd</ns0:t>
        </ns0:is>
      </ns0:c>
      <ns0:c r="R16" s="76" t="inlineStr">
        <ns0:is>
          <ns0:t>6–0
1101111
opcode</ns0:t>
        </ns0:is>
      </ns0:c>
    </ns0:row>
    <ns0:row r="17" ht="52" customHeight="1">
      <ns0:c r="A17" s="68" t="n">
        <ns0:v>9</ns0:v>
      </ns0:c>
      <ns0:c r="B17" s="69" t="inlineStr">
        <ns0:is>
          <ns0:t>0x00000020</ns0:t>
        </ns0:is>
      </ns0:c>
      <ns0:c r="C17" s="69" t="inlineStr">
        <ns0:is>
          <ns0:t>0x04400313</ns0:t>
        </ns0:is>
      </ns0:c>
      <ns0:c r="D17" s="70" t="inlineStr">
        <ns0:is>
          <ns0:t>addi t1, zero, 68</ns0:t>
        </ns0:is>
      </ns0:c>
      <ns0:c r="E17" s="71" t="inlineStr">
        <ns0:is>
          <ns0:t>addi</ns0:t>
        </ns0:is>
      </ns0:c>
      <ns0:c r="F17" s="71" t="inlineStr">
        <ns0:is>
          <ns0:t>I</ns0:t>
        </ns0:is>
      </ns0:c>
      <ns0:c r="G17" s="71" t="n">
        <ns0:v>0</ns0:v>
      </ns0:c>
      <ns0:c r="H17" s="71" t="n">
        <ns0:v>68</ns0:v>
      </ns0:c>
      <ns0:c r="I17" s="72" t="inlineStr">
        <ns0:is>
          <ns0:t>—</ns0:t>
        </ns0:is>
      </ns0:c>
      <ns0:c r="J17" s="72" t="inlineStr">
        <ns0:is>
          <ns0:t>00000100010000000000001100010011</ns0:t>
        </ns0:is>
      </ns0:c>
      <ns0:c r="K17" s="73" t="inlineStr">
        <ns0:is>
          <ns0:t>t1 ← zero + (+68); арифметика RV32I по модулю 2³².</ns0:t>
        </ns0:is>
      </ns0:c>
      <ns0:c r="L17" s="70" t="inlineStr">
        <ns0:is>
          <ns0:t>Только ROM</ns0:t>
        </ns0:is>
      </ns0:c>
      <ns0:c r="M17" s="74" t="inlineStr">
        <ns0:is>
          <ns0:t>31–20
000001000100
imm[11:0]</ns0:t>
        </ns0:is>
      </ns0:c>
      <ns0:c r="N17" s="75" t="inlineStr">
        <ns0:is>
          <ns0:t>19–15
00000
rs1</ns0:t>
        </ns0:is>
      </ns0:c>
      <ns0:c r="O17" s="83" t="inlineStr">
        <ns0:is>
          <ns0:t>14–12
000
funct3</ns0:t>
        </ns0:is>
      </ns0:c>
      <ns0:c r="P17" s="75" t="inlineStr">
        <ns0:is>
          <ns0:t>11–7
00110
rd</ns0:t>
        </ns0:is>
      </ns0:c>
      <ns0:c r="Q17" s="76" t="inlineStr">
        <ns0:is>
          <ns0:t>6–0
0010011
opcode</ns0:t>
        </ns0:is>
      </ns0:c>
    </ns0:row>
    <ns0:row r="18" ht="52" customHeight="1">
      <ns0:c r="A18" s="77" t="n">
        <ns0:v>10</ns0:v>
      </ns0:c>
      <ns0:c r="B18" s="78" t="inlineStr">
        <ns0:is>
          <ns0:t>0x00000024</ns0:t>
        </ns0:is>
      </ns0:c>
      <ns0:c r="C18" s="78" t="inlineStr">
        <ns0:is>
          <ns0:t>0x2F0000EF</ns0:t>
        </ns0:is>
      </ns0:c>
      <ns0:c r="D18" s="79" t="inlineStr">
        <ns0:is>
          <ns0:t>jal ra, 0x00000314</ns0:t>
        </ns0:is>
      </ns0:c>
      <ns0:c r="E18" s="80" t="inlineStr">
        <ns0:is>
          <ns0:t>jal</ns0:t>
        </ns0:is>
      </ns0:c>
      <ns0:c r="F18" s="80" t="inlineStr">
        <ns0:is>
          <ns0:t>J</ns0:t>
        </ns0:is>
      </ns0:c>
      <ns0:c r="G18" s="80" t="n">
        <ns0:v>0</ns0:v>
      </ns0:c>
      <ns0:c r="H18" s="80" t="n">
        <ns0:v>752</ns0:v>
      </ns0:c>
      <ns0:c r="I18" s="81" t="inlineStr">
        <ns0:is>
          <ns0:t>0x00000314</ns0:t>
        </ns0:is>
      </ns0:c>
      <ns0:c r="J18" s="81" t="inlineStr">
        <ns0:is>
          <ns0:t>00101111000000000000000011101111</ns0:t>
        </ns0:is>
      </ns0:c>
      <ns0:c r="K18" s="82" t="inlineStr">
        <ns0:is>
          <ns0:t>PC ← 0x00000314; rd (ra) ← PC+4. Смещение +752 байт относительно PC.</ns0:t>
        </ns0:is>
      </ns0:c>
      <ns0:c r="L18" s="79" t="inlineStr">
        <ns0:is>
          <ns0:t>Только ROM</ns0:t>
        </ns0:is>
      </ns0:c>
      <ns0:c r="M18" s="74" t="inlineStr">
        <ns0:is>
          <ns0:t>31
0
imm[20]</ns0:t>
        </ns0:is>
      </ns0:c>
      <ns0:c r="N18" s="74" t="inlineStr">
        <ns0:is>
          <ns0:t>30–21
0101111000
imm[10:1]</ns0:t>
        </ns0:is>
      </ns0:c>
      <ns0:c r="O18" s="74" t="inlineStr">
        <ns0:is>
          <ns0:t>20
0
imm[11]</ns0:t>
        </ns0:is>
      </ns0:c>
      <ns0:c r="P18" s="74" t="inlineStr">
        <ns0:is>
          <ns0:t>19–12
00000000
imm[19:12]</ns0:t>
        </ns0:is>
      </ns0:c>
      <ns0:c r="Q18" s="75" t="inlineStr">
        <ns0:is>
          <ns0:t>11–7
00001
rd</ns0:t>
        </ns0:is>
      </ns0:c>
      <ns0:c r="R18" s="76" t="inlineStr">
        <ns0:is>
          <ns0:t>6–0
1101111
opcode</ns0:t>
        </ns0:is>
      </ns0:c>
    </ns0:row>
    <ns0:row r="19" ht="52" customHeight="1">
      <ns0:c r="A19" s="68" t="n">
        <ns0:v>11</ns0:v>
      </ns0:c>
      <ns0:c r="B19" s="69" t="inlineStr">
        <ns0:is>
          <ns0:t>0x00000028</ns0:t>
        </ns0:is>
      </ns0:c>
      <ns0:c r="C19" s="69" t="inlineStr">
        <ns0:is>
          <ns0:t>0x05900313</ns0:t>
        </ns0:is>
      </ns0:c>
      <ns0:c r="D19" s="70" t="inlineStr">
        <ns0:is>
          <ns0:t>addi t1, zero, 89</ns0:t>
        </ns0:is>
      </ns0:c>
      <ns0:c r="E19" s="71" t="inlineStr">
        <ns0:is>
          <ns0:t>addi</ns0:t>
        </ns0:is>
      </ns0:c>
      <ns0:c r="F19" s="71" t="inlineStr">
        <ns0:is>
          <ns0:t>I</ns0:t>
        </ns0:is>
      </ns0:c>
      <ns0:c r="G19" s="71" t="n">
        <ns0:v>0</ns0:v>
      </ns0:c>
      <ns0:c r="H19" s="71" t="n">
        <ns0:v>89</ns0:v>
      </ns0:c>
      <ns0:c r="I19" s="72" t="inlineStr">
        <ns0:is>
          <ns0:t>—</ns0:t>
        </ns0:is>
      </ns0:c>
      <ns0:c r="J19" s="72" t="inlineStr">
        <ns0:is>
          <ns0:t>00000101100100000000001100010011</ns0:t>
        </ns0:is>
      </ns0:c>
      <ns0:c r="K19" s="73" t="inlineStr">
        <ns0:is>
          <ns0:t>t1 ← zero + (+89); арифметика RV32I по модулю 2³².</ns0:t>
        </ns0:is>
      </ns0:c>
      <ns0:c r="L19" s="70" t="inlineStr">
        <ns0:is>
          <ns0:t>Только ROM</ns0:t>
        </ns0:is>
      </ns0:c>
      <ns0:c r="M19" s="74" t="inlineStr">
        <ns0:is>
          <ns0:t>31–20
000001011001
imm[11:0]</ns0:t>
        </ns0:is>
      </ns0:c>
      <ns0:c r="N19" s="75" t="inlineStr">
        <ns0:is>
          <ns0:t>19–15
00000
rs1</ns0:t>
        </ns0:is>
      </ns0:c>
      <ns0:c r="O19" s="83" t="inlineStr">
        <ns0:is>
          <ns0:t>14–12
000
funct3</ns0:t>
        </ns0:is>
      </ns0:c>
      <ns0:c r="P19" s="75" t="inlineStr">
        <ns0:is>
          <ns0:t>11–7
00110
rd</ns0:t>
        </ns0:is>
      </ns0:c>
      <ns0:c r="Q19" s="76" t="inlineStr">
        <ns0:is>
          <ns0:t>6–0
0010011
opcode</ns0:t>
        </ns0:is>
      </ns0:c>
    </ns0:row>
    <ns0:row r="20" ht="52" customHeight="1">
      <ns0:c r="A20" s="77" t="n">
        <ns0:v>12</ns0:v>
      </ns0:c>
      <ns0:c r="B20" s="78" t="inlineStr">
        <ns0:is>
          <ns0:t>0x0000002C</ns0:t>
        </ns0:is>
      </ns0:c>
      <ns0:c r="C20" s="78" t="inlineStr">
        <ns0:is>
          <ns0:t>0x2E8000EF</ns0:t>
        </ns0:is>
      </ns0:c>
      <ns0:c r="D20" s="79" t="inlineStr">
        <ns0:is>
          <ns0:t>jal ra, 0x00000314</ns0:t>
        </ns0:is>
      </ns0:c>
      <ns0:c r="E20" s="80" t="inlineStr">
        <ns0:is>
          <ns0:t>jal</ns0:t>
        </ns0:is>
      </ns0:c>
      <ns0:c r="F20" s="80" t="inlineStr">
        <ns0:is>
          <ns0:t>J</ns0:t>
        </ns0:is>
      </ns0:c>
      <ns0:c r="G20" s="80" t="n">
        <ns0:v>0</ns0:v>
      </ns0:c>
      <ns0:c r="H20" s="80" t="n">
        <ns0:v>744</ns0:v>
      </ns0:c>
      <ns0:c r="I20" s="81" t="inlineStr">
        <ns0:is>
          <ns0:t>0x00000314</ns0:t>
        </ns0:is>
      </ns0:c>
      <ns0:c r="J20" s="81" t="inlineStr">
        <ns0:is>
          <ns0:t>00101110100000000000000011101111</ns0:t>
        </ns0:is>
      </ns0:c>
      <ns0:c r="K20" s="82" t="inlineStr">
        <ns0:is>
          <ns0:t>PC ← 0x00000314; rd (ra) ← PC+4. Смещение +744 байт относительно PC.</ns0:t>
        </ns0:is>
      </ns0:c>
      <ns0:c r="L20" s="79" t="inlineStr">
        <ns0:is>
          <ns0:t>Только ROM</ns0:t>
        </ns0:is>
      </ns0:c>
      <ns0:c r="M20" s="74" t="inlineStr">
        <ns0:is>
          <ns0:t>31
0
imm[20]</ns0:t>
        </ns0:is>
      </ns0:c>
      <ns0:c r="N20" s="74" t="inlineStr">
        <ns0:is>
          <ns0:t>30–21
0101110100
imm[10:1]</ns0:t>
        </ns0:is>
      </ns0:c>
      <ns0:c r="O20" s="74" t="inlineStr">
        <ns0:is>
          <ns0:t>20
0
imm[11]</ns0:t>
        </ns0:is>
      </ns0:c>
      <ns0:c r="P20" s="74" t="inlineStr">
        <ns0:is>
          <ns0:t>19–12
00000000
imm[19:12]</ns0:t>
        </ns0:is>
      </ns0:c>
      <ns0:c r="Q20" s="75" t="inlineStr">
        <ns0:is>
          <ns0:t>11–7
00001
rd</ns0:t>
        </ns0:is>
      </ns0:c>
      <ns0:c r="R20" s="76" t="inlineStr">
        <ns0:is>
          <ns0:t>6–0
1101111
opcode</ns0:t>
        </ns0:is>
      </ns0:c>
    </ns0:row>
    <ns0:row r="21" ht="52" customHeight="1">
      <ns0:c r="A21" s="68" t="n">
        <ns0:v>13</ns0:v>
      </ns0:c>
      <ns0:c r="B21" s="69" t="inlineStr">
        <ns0:is>
          <ns0:t>0x00000030</ns0:t>
        </ns0:is>
      </ns0:c>
      <ns0:c r="C21" s="69" t="inlineStr">
        <ns0:is>
          <ns0:t>0x00A00313</ns0:t>
        </ns0:is>
      </ns0:c>
      <ns0:c r="D21" s="70" t="inlineStr">
        <ns0:is>
          <ns0:t>addi t1, zero, 10</ns0:t>
        </ns0:is>
      </ns0:c>
      <ns0:c r="E21" s="71" t="inlineStr">
        <ns0:is>
          <ns0:t>addi</ns0:t>
        </ns0:is>
      </ns0:c>
      <ns0:c r="F21" s="71" t="inlineStr">
        <ns0:is>
          <ns0:t>I</ns0:t>
        </ns0:is>
      </ns0:c>
      <ns0:c r="G21" s="71" t="n">
        <ns0:v>0</ns0:v>
      </ns0:c>
      <ns0:c r="H21" s="71" t="n">
        <ns0:v>10</ns0:v>
      </ns0:c>
      <ns0:c r="I21" s="72" t="inlineStr">
        <ns0:is>
          <ns0:t>—</ns0:t>
        </ns0:is>
      </ns0:c>
      <ns0:c r="J21" s="72" t="inlineStr">
        <ns0:is>
          <ns0:t>00000000101000000000001100010011</ns0:t>
        </ns0:is>
      </ns0:c>
      <ns0:c r="K21" s="73" t="inlineStr">
        <ns0:is>
          <ns0:t>t1 ← zero + (+10); арифметика RV32I по модулю 2³².</ns0:t>
        </ns0:is>
      </ns0:c>
      <ns0:c r="L21" s="70" t="inlineStr">
        <ns0:is>
          <ns0:t>Только ROM</ns0:t>
        </ns0:is>
      </ns0:c>
      <ns0:c r="M21" s="74" t="inlineStr">
        <ns0:is>
          <ns0:t>31–20
000000001010
imm[11:0]</ns0:t>
        </ns0:is>
      </ns0:c>
      <ns0:c r="N21" s="75" t="inlineStr">
        <ns0:is>
          <ns0:t>19–15
00000
rs1</ns0:t>
        </ns0:is>
      </ns0:c>
      <ns0:c r="O21" s="83" t="inlineStr">
        <ns0:is>
          <ns0:t>14–12
000
funct3</ns0:t>
        </ns0:is>
      </ns0:c>
      <ns0:c r="P21" s="75" t="inlineStr">
        <ns0:is>
          <ns0:t>11–7
00110
rd</ns0:t>
        </ns0:is>
      </ns0:c>
      <ns0:c r="Q21" s="76" t="inlineStr">
        <ns0:is>
          <ns0:t>6–0
0010011
opcode</ns0:t>
        </ns0:is>
      </ns0:c>
    </ns0:row>
    <ns0:row r="22" ht="52" customHeight="1">
      <ns0:c r="A22" s="77" t="n">
        <ns0:v>14</ns0:v>
      </ns0:c>
      <ns0:c r="B22" s="78" t="inlineStr">
        <ns0:is>
          <ns0:t>0x00000034</ns0:t>
        </ns0:is>
      </ns0:c>
      <ns0:c r="C22" s="78" t="inlineStr">
        <ns0:is>
          <ns0:t>0x2E0000EF</ns0:t>
        </ns0:is>
      </ns0:c>
      <ns0:c r="D22" s="79" t="inlineStr">
        <ns0:is>
          <ns0:t>jal ra, 0x00000314</ns0:t>
        </ns0:is>
      </ns0:c>
      <ns0:c r="E22" s="80" t="inlineStr">
        <ns0:is>
          <ns0:t>jal</ns0:t>
        </ns0:is>
      </ns0:c>
      <ns0:c r="F22" s="80" t="inlineStr">
        <ns0:is>
          <ns0:t>J</ns0:t>
        </ns0:is>
      </ns0:c>
      <ns0:c r="G22" s="80" t="n">
        <ns0:v>0</ns0:v>
      </ns0:c>
      <ns0:c r="H22" s="80" t="n">
        <ns0:v>736</ns0:v>
      </ns0:c>
      <ns0:c r="I22" s="81" t="inlineStr">
        <ns0:is>
          <ns0:t>0x00000314</ns0:t>
        </ns0:is>
      </ns0:c>
      <ns0:c r="J22" s="81" t="inlineStr">
        <ns0:is>
          <ns0:t>00101110000000000000000011101111</ns0:t>
        </ns0:is>
      </ns0:c>
      <ns0:c r="K22" s="82" t="inlineStr">
        <ns0:is>
          <ns0:t>PC ← 0x00000314; rd (ra) ← PC+4. Смещение +736 байт относительно PC.</ns0:t>
        </ns0:is>
      </ns0:c>
      <ns0:c r="L22" s="79" t="inlineStr">
        <ns0:is>
          <ns0:t>Только ROM</ns0:t>
        </ns0:is>
      </ns0:c>
      <ns0:c r="M22" s="74" t="inlineStr">
        <ns0:is>
          <ns0:t>31
0
imm[20]</ns0:t>
        </ns0:is>
      </ns0:c>
      <ns0:c r="N22" s="74" t="inlineStr">
        <ns0:is>
          <ns0:t>30–21
0101110000
imm[10:1]</ns0:t>
        </ns0:is>
      </ns0:c>
      <ns0:c r="O22" s="74" t="inlineStr">
        <ns0:is>
          <ns0:t>20
0
imm[11]</ns0:t>
        </ns0:is>
      </ns0:c>
      <ns0:c r="P22" s="74" t="inlineStr">
        <ns0:is>
          <ns0:t>19–12
00000000
imm[19:12]</ns0:t>
        </ns0:is>
      </ns0:c>
      <ns0:c r="Q22" s="75" t="inlineStr">
        <ns0:is>
          <ns0:t>11–7
00001
rd</ns0:t>
        </ns0:is>
      </ns0:c>
      <ns0:c r="R22" s="76" t="inlineStr">
        <ns0:is>
          <ns0:t>6–0
1101111
opcode</ns0:t>
        </ns0:is>
      </ns0:c>
    </ns0:row>
    <ns0:row r="23" ht="52" customHeight="1">
      <ns0:c r="A23" s="68" t="n">
        <ns0:v>15</ns0:v>
      </ns0:c>
      <ns0:c r="B23" s="69" t="inlineStr">
        <ns0:is>
          <ns0:t>0x00000038</ns0:t>
        </ns0:is>
      </ns0:c>
      <ns0:c r="C23" s="84" t="inlineStr">
        <ns0:is>
          <ns0:t>0x01C2A383</ns0:t>
        </ns0:is>
      </ns0:c>
      <ns0:c r="D23" s="70" t="inlineStr">
        <ns0:is>
          <ns0:t>lw t2, 28(t0)</ns0:t>
        </ns0:is>
      </ns0:c>
      <ns0:c r="E23" s="71" t="inlineStr">
        <ns0:is>
          <ns0:t>lw</ns0:t>
        </ns0:is>
      </ns0:c>
      <ns0:c r="F23" s="71" t="inlineStr">
        <ns0:is>
          <ns0:t>I</ns0:t>
        </ns0:is>
      </ns0:c>
      <ns0:c r="G23" s="85" t="n">
        <ns0:v>8</ns0:v>
      </ns0:c>
      <ns0:c r="H23" s="71" t="n">
        <ns0:v>28</ns0:v>
      </ns0:c>
      <ns0:c r="I23" s="72" t="inlineStr">
        <ns0:is>
          <ns0:t>—</ns0:t>
        </ns0:is>
      </ns0:c>
      <ns0:c r="J23" s="72" t="inlineStr">
        <ns0:is>
          <ns0:t>00000001110000101010001110000011</ns0:t>
        </ns0:is>
      </ns0:c>
      <ns0:c r="K23" s="73" t="inlineStr">
        <ns0:is>
          <ns0:t>t2 ← MEM32[t0 +28]. FETCH этой инструкции не удостоверяет регистрацию DATA_READ.</ns0:t>
        </ns0:is>
      </ns0:c>
      <ns0:c r="L23" s="86" t="inlineStr">
        <ns0:is>
          <ns0:t>FETCH был</ns0:t>
        </ns0:is>
      </ns0:c>
      <ns0:c r="M23" s="74" t="inlineStr">
        <ns0:is>
          <ns0:t>31–20
000000011100
imm[11:0]</ns0:t>
        </ns0:is>
      </ns0:c>
      <ns0:c r="N23" s="75" t="inlineStr">
        <ns0:is>
          <ns0:t>19–15
00101
rs1</ns0:t>
        </ns0:is>
      </ns0:c>
      <ns0:c r="O23" s="83" t="inlineStr">
        <ns0:is>
          <ns0:t>14–12
010
funct3</ns0:t>
        </ns0:is>
      </ns0:c>
      <ns0:c r="P23" s="75" t="inlineStr">
        <ns0:is>
          <ns0:t>11–7
00111
rd</ns0:t>
        </ns0:is>
      </ns0:c>
      <ns0:c r="Q23" s="76" t="inlineStr">
        <ns0:is>
          <ns0:t>6–0
0000011
opcode</ns0:t>
        </ns0:is>
      </ns0:c>
    </ns0:row>
    <ns0:row r="24" ht="52" customHeight="1">
      <ns0:c r="A24" s="77" t="n">
        <ns0:v>16</ns0:v>
      </ns0:c>
      <ns0:c r="B24" s="78" t="inlineStr">
        <ns0:is>
          <ns0:t>0x0000003C</ns0:t>
        </ns0:is>
      </ns0:c>
      <ns0:c r="C24" s="84" t="inlineStr">
        <ns0:is>
          <ns0:t>0x0013F393</ns0:t>
        </ns0:is>
      </ns0:c>
      <ns0:c r="D24" s="79" t="inlineStr">
        <ns0:is>
          <ns0:t>andi t2, t2, 1</ns0:t>
        </ns0:is>
      </ns0:c>
      <ns0:c r="E24" s="80" t="inlineStr">
        <ns0:is>
          <ns0:t>andi</ns0:t>
        </ns0:is>
      </ns0:c>
      <ns0:c r="F24" s="80" t="inlineStr">
        <ns0:is>
          <ns0:t>I</ns0:t>
        </ns0:is>
      </ns0:c>
      <ns0:c r="G24" s="85" t="n">
        <ns0:v>11</ns0:v>
      </ns0:c>
      <ns0:c r="H24" s="80" t="n">
        <ns0:v>1</ns0:v>
      </ns0:c>
      <ns0:c r="I24" s="81" t="inlineStr">
        <ns0:is>
          <ns0:t>—</ns0:t>
        </ns0:is>
      </ns0:c>
      <ns0:c r="J24" s="81" t="inlineStr">
        <ns0:is>
          <ns0:t>00000000000100111111001110010011</ns0:t>
        </ns0:is>
      </ns0:c>
      <ns0:c r="K24" s="82" t="inlineStr">
        <ns0:is>
          <ns0:t>t2 ← t2 AND (+1); побитовое И с sign_extend(imm).</ns0:t>
        </ns0:is>
      </ns0:c>
      <ns0:c r="L24" s="86" t="inlineStr">
        <ns0:is>
          <ns0:t>FETCH был</ns0:t>
        </ns0:is>
      </ns0:c>
      <ns0:c r="M24" s="74" t="inlineStr">
        <ns0:is>
          <ns0:t>31–20
000000000001
imm[11:0]</ns0:t>
        </ns0:is>
      </ns0:c>
      <ns0:c r="N24" s="75" t="inlineStr">
        <ns0:is>
          <ns0:t>19–15
00111
rs1</ns0:t>
        </ns0:is>
      </ns0:c>
      <ns0:c r="O24" s="83" t="inlineStr">
        <ns0:is>
          <ns0:t>14–12
111
funct3</ns0:t>
        </ns0:is>
      </ns0:c>
      <ns0:c r="P24" s="75" t="inlineStr">
        <ns0:is>
          <ns0:t>11–7
00111
rd</ns0:t>
        </ns0:is>
      </ns0:c>
      <ns0:c r="Q24" s="76" t="inlineStr">
        <ns0:is>
          <ns0:t>6–0
0010011
opcode</ns0:t>
        </ns0:is>
      </ns0:c>
    </ns0:row>
    <ns0:row r="25" ht="52" customHeight="1">
      <ns0:c r="A25" s="68" t="n">
        <ns0:v>17</ns0:v>
      </ns0:c>
      <ns0:c r="B25" s="69" t="inlineStr">
        <ns0:is>
          <ns0:t>0x00000040</ns0:t>
        </ns0:is>
      </ns0:c>
      <ns0:c r="C25" s="84" t="inlineStr">
        <ns0:is>
          <ns0:t>0xFE038CE3</ns0:t>
        </ns0:is>
      </ns0:c>
      <ns0:c r="D25" s="70" t="inlineStr">
        <ns0:is>
          <ns0:t>beq t2, zero, 0x00000038</ns0:t>
        </ns0:is>
      </ns0:c>
      <ns0:c r="E25" s="71" t="inlineStr">
        <ns0:is>
          <ns0:t>beq</ns0:t>
        </ns0:is>
      </ns0:c>
      <ns0:c r="F25" s="71" t="inlineStr">
        <ns0:is>
          <ns0:t>B</ns0:t>
        </ns0:is>
      </ns0:c>
      <ns0:c r="G25" s="85" t="n">
        <ns0:v>15</ns0:v>
      </ns0:c>
      <ns0:c r="H25" s="71" t="n">
        <ns0:v>-8</ns0:v>
      </ns0:c>
      <ns0:c r="I25" s="72" t="inlineStr">
        <ns0:is>
          <ns0:t>0x00000038</ns0:t>
        </ns0:is>
      </ns0:c>
      <ns0:c r="J25" s="72" t="inlineStr">
        <ns0:is>
          <ns0:t>11111110000000111000110011100011</ns0:t>
        </ns0:is>
      </ns0:c>
      <ns0:c r="K25" s="73" t="inlineStr">
        <ns0:is>
          <ns0:t>Если t2 = zero, PC ← 0x00000038; иначе PC ← PC+4. Смещение -8 байт.</ns0:t>
        </ns0:is>
      </ns0:c>
      <ns0:c r="L25" s="86" t="inlineStr">
        <ns0:is>
          <ns0:t>FETCH был</ns0:t>
        </ns0:is>
      </ns0:c>
      <ns0:c r="M25" s="74" t="inlineStr">
        <ns0:is>
          <ns0:t>31
1
imm[12]</ns0:t>
        </ns0:is>
      </ns0:c>
      <ns0:c r="N25" s="74" t="inlineStr">
        <ns0:is>
          <ns0:t>30–25
111111
imm[10:5]</ns0:t>
        </ns0:is>
      </ns0:c>
      <ns0:c r="O25" s="75" t="inlineStr">
        <ns0:is>
          <ns0:t>24–20
00000
rs2</ns0:t>
        </ns0:is>
      </ns0:c>
      <ns0:c r="P25" s="75" t="inlineStr">
        <ns0:is>
          <ns0:t>19–15
00111
rs1</ns0:t>
        </ns0:is>
      </ns0:c>
      <ns0:c r="Q25" s="83" t="inlineStr">
        <ns0:is>
          <ns0:t>14–12
000
funct3</ns0:t>
        </ns0:is>
      </ns0:c>
      <ns0:c r="R25" s="74" t="inlineStr">
        <ns0:is>
          <ns0:t>11–8
1100
imm[4:1]</ns0:t>
        </ns0:is>
      </ns0:c>
      <ns0:c r="S25" s="74" t="inlineStr">
        <ns0:is>
          <ns0:t>7
1
imm[11]</ns0:t>
        </ns0:is>
      </ns0:c>
      <ns0:c r="T25" s="76" t="inlineStr">
        <ns0:is>
          <ns0:t>6–0
1100011
opcode</ns0:t>
        </ns0:is>
      </ns0:c>
    </ns0:row>
    <ns0:row r="26" ht="52" customHeight="1">
      <ns0:c r="A26" s="77" t="n">
        <ns0:v>18</ns0:v>
      </ns0:c>
      <ns0:c r="B26" s="78" t="inlineStr">
        <ns0:is>
          <ns0:t>0x00000044</ns0:t>
        </ns0:is>
      </ns0:c>
      <ns0:c r="C26" s="84" t="inlineStr">
        <ns0:is>
          <ns0:t>0x0182AE03</ns0:t>
        </ns0:is>
      </ns0:c>
      <ns0:c r="D26" s="79" t="inlineStr">
        <ns0:is>
          <ns0:t>lw t3, 24(t0)</ns0:t>
        </ns0:is>
      </ns0:c>
      <ns0:c r="E26" s="80" t="inlineStr">
        <ns0:is>
          <ns0:t>lw</ns0:t>
        </ns0:is>
      </ns0:c>
      <ns0:c r="F26" s="80" t="inlineStr">
        <ns0:is>
          <ns0:t>I</ns0:t>
        </ns0:is>
      </ns0:c>
      <ns0:c r="G26" s="85" t="n">
        <ns0:v>19</ns0:v>
      </ns0:c>
      <ns0:c r="H26" s="80" t="n">
        <ns0:v>24</ns0:v>
      </ns0:c>
      <ns0:c r="I26" s="81" t="inlineStr">
        <ns0:is>
          <ns0:t>—</ns0:t>
        </ns0:is>
      </ns0:c>
      <ns0:c r="J26" s="81" t="inlineStr">
        <ns0:is>
          <ns0:t>00000001100000101010111000000011</ns0:t>
        </ns0:is>
      </ns0:c>
      <ns0:c r="K26" s="82" t="inlineStr">
        <ns0:is>
          <ns0:t>t3 ← MEM32[t0 +24]. FETCH этой инструкции не удостоверяет регистрацию DATA_READ.</ns0:t>
        </ns0:is>
      </ns0:c>
      <ns0:c r="L26" s="86" t="inlineStr">
        <ns0:is>
          <ns0:t>FETCH был</ns0:t>
        </ns0:is>
      </ns0:c>
      <ns0:c r="M26" s="74" t="inlineStr">
        <ns0:is>
          <ns0:t>31–20
000000011000
imm[11:0]</ns0:t>
        </ns0:is>
      </ns0:c>
      <ns0:c r="N26" s="75" t="inlineStr">
        <ns0:is>
          <ns0:t>19–15
00101
rs1</ns0:t>
        </ns0:is>
      </ns0:c>
      <ns0:c r="O26" s="83" t="inlineStr">
        <ns0:is>
          <ns0:t>14–12
010
funct3</ns0:t>
        </ns0:is>
      </ns0:c>
      <ns0:c r="P26" s="75" t="inlineStr">
        <ns0:is>
          <ns0:t>11–7
11100
rd</ns0:t>
        </ns0:is>
      </ns0:c>
      <ns0:c r="Q26" s="76" t="inlineStr">
        <ns0:is>
          <ns0:t>6–0
0000011
opcode</ns0:t>
        </ns0:is>
      </ns0:c>
    </ns0:row>
    <ns0:row r="27" ht="52" customHeight="1">
      <ns0:c r="A27" s="68" t="n">
        <ns0:v>19</ns0:v>
      </ns0:c>
      <ns0:c r="B27" s="69" t="inlineStr">
        <ns0:is>
          <ns0:t>0x00000048</ns0:t>
        </ns0:is>
      </ns0:c>
      <ns0:c r="C27" s="84" t="inlineStr">
        <ns0:is>
          <ns0:t>0x05400413</ns0:t>
        </ns0:is>
      </ns0:c>
      <ns0:c r="D27" s="70" t="inlineStr">
        <ns0:is>
          <ns0:t>addi s0, zero, 84</ns0:t>
        </ns0:is>
      </ns0:c>
      <ns0:c r="E27" s="71" t="inlineStr">
        <ns0:is>
          <ns0:t>addi</ns0:t>
        </ns0:is>
      </ns0:c>
      <ns0:c r="F27" s="71" t="inlineStr">
        <ns0:is>
          <ns0:t>I</ns0:t>
        </ns0:is>
      </ns0:c>
      <ns0:c r="G27" s="85" t="n">
        <ns0:v>12</ns0:v>
      </ns0:c>
      <ns0:c r="H27" s="71" t="n">
        <ns0:v>84</ns0:v>
      </ns0:c>
      <ns0:c r="I27" s="72" t="inlineStr">
        <ns0:is>
          <ns0:t>—</ns0:t>
        </ns0:is>
      </ns0:c>
      <ns0:c r="J27" s="72" t="inlineStr">
        <ns0:is>
          <ns0:t>00000101010000000000010000010011</ns0:t>
        </ns0:is>
      </ns0:c>
      <ns0:c r="K27" s="73" t="inlineStr">
        <ns0:is>
          <ns0:t>s0 ← zero + (+84); арифметика RV32I по модулю 2³².</ns0:t>
        </ns0:is>
      </ns0:c>
      <ns0:c r="L27" s="86" t="inlineStr">
        <ns0:is>
          <ns0:t>FETCH был</ns0:t>
        </ns0:is>
      </ns0:c>
      <ns0:c r="M27" s="74" t="inlineStr">
        <ns0:is>
          <ns0:t>31–20
000001010100
imm[11:0]</ns0:t>
        </ns0:is>
      </ns0:c>
      <ns0:c r="N27" s="75" t="inlineStr">
        <ns0:is>
          <ns0:t>19–15
00000
rs1</ns0:t>
        </ns0:is>
      </ns0:c>
      <ns0:c r="O27" s="83" t="inlineStr">
        <ns0:is>
          <ns0:t>14–12
000
funct3</ns0:t>
        </ns0:is>
      </ns0:c>
      <ns0:c r="P27" s="75" t="inlineStr">
        <ns0:is>
          <ns0:t>11–7
01000
rd</ns0:t>
        </ns0:is>
      </ns0:c>
      <ns0:c r="Q27" s="76" t="inlineStr">
        <ns0:is>
          <ns0:t>6–0
0010011
opcode</ns0:t>
        </ns0:is>
      </ns0:c>
    </ns0:row>
    <ns0:row r="28" ht="52" customHeight="1">
      <ns0:c r="A28" s="77" t="n">
        <ns0:v>20</ns0:v>
      </ns0:c>
      <ns0:c r="B28" s="78" t="inlineStr">
        <ns0:is>
          <ns0:t>0x0000004C</ns0:t>
        </ns0:is>
      </ns0:c>
      <ns0:c r="C28" s="84" t="inlineStr">
        <ns0:is>
          <ns0:t>0x1A8E0063</ns0:t>
        </ns0:is>
      </ns0:c>
      <ns0:c r="D28" s="79" t="inlineStr">
        <ns0:is>
          <ns0:t>beq t3, s0, 0x000001ec</ns0:t>
        </ns0:is>
      </ns0:c>
      <ns0:c r="E28" s="80" t="inlineStr">
        <ns0:is>
          <ns0:t>beq</ns0:t>
        </ns0:is>
      </ns0:c>
      <ns0:c r="F28" s="80" t="inlineStr">
        <ns0:is>
          <ns0:t>B</ns0:t>
        </ns0:is>
      </ns0:c>
      <ns0:c r="G28" s="85" t="n">
        <ns0:v>12</ns0:v>
      </ns0:c>
      <ns0:c r="H28" s="80" t="n">
        <ns0:v>416</ns0:v>
      </ns0:c>
      <ns0:c r="I28" s="81" t="inlineStr">
        <ns0:is>
          <ns0:t>0x000001EC</ns0:t>
        </ns0:is>
      </ns0:c>
      <ns0:c r="J28" s="81" t="inlineStr">
        <ns0:is>
          <ns0:t>00011010100011100000000001100011</ns0:t>
        </ns0:is>
      </ns0:c>
      <ns0:c r="K28" s="82" t="inlineStr">
        <ns0:is>
          <ns0:t>Если t3 = s0, PC ← 0x000001EC; иначе PC ← PC+4. Смещение +416 байт.</ns0:t>
        </ns0:is>
      </ns0:c>
      <ns0:c r="L28" s="86" t="inlineStr">
        <ns0:is>
          <ns0:t>FETCH был</ns0:t>
        </ns0:is>
      </ns0:c>
      <ns0:c r="M28" s="74" t="inlineStr">
        <ns0:is>
          <ns0:t>31
0
imm[12]</ns0:t>
        </ns0:is>
      </ns0:c>
      <ns0:c r="N28" s="74" t="inlineStr">
        <ns0:is>
          <ns0:t>30–25
001101
imm[10:5]</ns0:t>
        </ns0:is>
      </ns0:c>
      <ns0:c r="O28" s="75" t="inlineStr">
        <ns0:is>
          <ns0:t>24–20
01000
rs2</ns0:t>
        </ns0:is>
      </ns0:c>
      <ns0:c r="P28" s="75" t="inlineStr">
        <ns0:is>
          <ns0:t>19–15
11100
rs1</ns0:t>
        </ns0:is>
      </ns0:c>
      <ns0:c r="Q28" s="83" t="inlineStr">
        <ns0:is>
          <ns0:t>14–12
000
funct3</ns0:t>
        </ns0:is>
      </ns0:c>
      <ns0:c r="R28" s="74" t="inlineStr">
        <ns0:is>
          <ns0:t>11–8
0000
imm[4:1]</ns0:t>
        </ns0:is>
      </ns0:c>
      <ns0:c r="S28" s="74" t="inlineStr">
        <ns0:is>
          <ns0:t>7
0
imm[11]</ns0:t>
        </ns0:is>
      </ns0:c>
      <ns0:c r="T28" s="76" t="inlineStr">
        <ns0:is>
          <ns0:t>6–0
1100011
opcode</ns0:t>
        </ns0:is>
      </ns0:c>
    </ns0:row>
    <ns0:row r="29" ht="52" customHeight="1">
      <ns0:c r="A29" s="68" t="n">
        <ns0:v>21</ns0:v>
      </ns0:c>
      <ns0:c r="B29" s="69" t="inlineStr">
        <ns0:is>
          <ns0:t>0x00000050</ns0:t>
        </ns0:is>
      </ns0:c>
      <ns0:c r="C29" s="84" t="inlineStr">
        <ns0:is>
          <ns0:t>0x04300413</ns0:t>
        </ns0:is>
      </ns0:c>
      <ns0:c r="D29" s="70" t="inlineStr">
        <ns0:is>
          <ns0:t>addi s0, zero, 67</ns0:t>
        </ns0:is>
      </ns0:c>
      <ns0:c r="E29" s="71" t="inlineStr">
        <ns0:is>
          <ns0:t>addi</ns0:t>
        </ns0:is>
      </ns0:c>
      <ns0:c r="F29" s="71" t="inlineStr">
        <ns0:is>
          <ns0:t>I</ns0:t>
        </ns0:is>
      </ns0:c>
      <ns0:c r="G29" s="85" t="n">
        <ns0:v>12</ns0:v>
      </ns0:c>
      <ns0:c r="H29" s="71" t="n">
        <ns0:v>67</ns0:v>
      </ns0:c>
      <ns0:c r="I29" s="72" t="inlineStr">
        <ns0:is>
          <ns0:t>—</ns0:t>
        </ns0:is>
      </ns0:c>
      <ns0:c r="J29" s="72" t="inlineStr">
        <ns0:is>
          <ns0:t>00000100001100000000010000010011</ns0:t>
        </ns0:is>
      </ns0:c>
      <ns0:c r="K29" s="73" t="inlineStr">
        <ns0:is>
          <ns0:t>s0 ← zero + (+67); арифметика RV32I по модулю 2³².</ns0:t>
        </ns0:is>
      </ns0:c>
      <ns0:c r="L29" s="86" t="inlineStr">
        <ns0:is>
          <ns0:t>FETCH был</ns0:t>
        </ns0:is>
      </ns0:c>
      <ns0:c r="M29" s="74" t="inlineStr">
        <ns0:is>
          <ns0:t>31–20
000001000011
imm[11:0]</ns0:t>
        </ns0:is>
      </ns0:c>
      <ns0:c r="N29" s="75" t="inlineStr">
        <ns0:is>
          <ns0:t>19–15
00000
rs1</ns0:t>
        </ns0:is>
      </ns0:c>
      <ns0:c r="O29" s="83" t="inlineStr">
        <ns0:is>
          <ns0:t>14–12
000
funct3</ns0:t>
        </ns0:is>
      </ns0:c>
      <ns0:c r="P29" s="75" t="inlineStr">
        <ns0:is>
          <ns0:t>11–7
01000
rd</ns0:t>
        </ns0:is>
      </ns0:c>
      <ns0:c r="Q29" s="76" t="inlineStr">
        <ns0:is>
          <ns0:t>6–0
0010011
opcode</ns0:t>
        </ns0:is>
      </ns0:c>
    </ns0:row>
    <ns0:row r="30" ht="52" customHeight="1">
      <ns0:c r="A30" s="77" t="n">
        <ns0:v>22</ns0:v>
      </ns0:c>
      <ns0:c r="B30" s="78" t="inlineStr">
        <ns0:is>
          <ns0:t>0x00000054</ns0:t>
        </ns0:is>
      </ns0:c>
      <ns0:c r="C30" s="84" t="inlineStr">
        <ns0:is>
          <ns0:t>0x188E0063</ns0:t>
        </ns0:is>
      </ns0:c>
      <ns0:c r="D30" s="79" t="inlineStr">
        <ns0:is>
          <ns0:t>beq t3, s0, 0x000001d4</ns0:t>
        </ns0:is>
      </ns0:c>
      <ns0:c r="E30" s="80" t="inlineStr">
        <ns0:is>
          <ns0:t>beq</ns0:t>
        </ns0:is>
      </ns0:c>
      <ns0:c r="F30" s="80" t="inlineStr">
        <ns0:is>
          <ns0:t>B</ns0:t>
        </ns0:is>
      </ns0:c>
      <ns0:c r="G30" s="85" t="n">
        <ns0:v>12</ns0:v>
      </ns0:c>
      <ns0:c r="H30" s="80" t="n">
        <ns0:v>384</ns0:v>
      </ns0:c>
      <ns0:c r="I30" s="81" t="inlineStr">
        <ns0:is>
          <ns0:t>0x000001D4</ns0:t>
        </ns0:is>
      </ns0:c>
      <ns0:c r="J30" s="81" t="inlineStr">
        <ns0:is>
          <ns0:t>00011000100011100000000001100011</ns0:t>
        </ns0:is>
      </ns0:c>
      <ns0:c r="K30" s="82" t="inlineStr">
        <ns0:is>
          <ns0:t>Если t3 = s0, PC ← 0x000001D4; иначе PC ← PC+4. Смещение +384 байт.</ns0:t>
        </ns0:is>
      </ns0:c>
      <ns0:c r="L30" s="86" t="inlineStr">
        <ns0:is>
          <ns0:t>FETCH был</ns0:t>
        </ns0:is>
      </ns0:c>
      <ns0:c r="M30" s="74" t="inlineStr">
        <ns0:is>
          <ns0:t>31
0
imm[12]</ns0:t>
        </ns0:is>
      </ns0:c>
      <ns0:c r="N30" s="74" t="inlineStr">
        <ns0:is>
          <ns0:t>30–25
001100
imm[10:5]</ns0:t>
        </ns0:is>
      </ns0:c>
      <ns0:c r="O30" s="75" t="inlineStr">
        <ns0:is>
          <ns0:t>24–20
01000
rs2</ns0:t>
        </ns0:is>
      </ns0:c>
      <ns0:c r="P30" s="75" t="inlineStr">
        <ns0:is>
          <ns0:t>19–15
11100
rs1</ns0:t>
        </ns0:is>
      </ns0:c>
      <ns0:c r="Q30" s="83" t="inlineStr">
        <ns0:is>
          <ns0:t>14–12
000
funct3</ns0:t>
        </ns0:is>
      </ns0:c>
      <ns0:c r="R30" s="74" t="inlineStr">
        <ns0:is>
          <ns0:t>11–8
0000
imm[4:1]</ns0:t>
        </ns0:is>
      </ns0:c>
      <ns0:c r="S30" s="74" t="inlineStr">
        <ns0:is>
          <ns0:t>7
0
imm[11]</ns0:t>
        </ns0:is>
      </ns0:c>
      <ns0:c r="T30" s="76" t="inlineStr">
        <ns0:is>
          <ns0:t>6–0
1100011
opcode</ns0:t>
        </ns0:is>
      </ns0:c>
    </ns0:row>
    <ns0:row r="31" ht="52" customHeight="1">
      <ns0:c r="A31" s="68" t="n">
        <ns0:v>23</ns0:v>
      </ns0:c>
      <ns0:c r="B31" s="69" t="inlineStr">
        <ns0:is>
          <ns0:t>0x00000058</ns0:t>
        </ns0:is>
      </ns0:c>
      <ns0:c r="C31" s="84" t="inlineStr">
        <ns0:is>
          <ns0:t>0x03F00413</ns0:t>
        </ns0:is>
      </ns0:c>
      <ns0:c r="D31" s="70" t="inlineStr">
        <ns0:is>
          <ns0:t>addi s0, zero, 63</ns0:t>
        </ns0:is>
      </ns0:c>
      <ns0:c r="E31" s="71" t="inlineStr">
        <ns0:is>
          <ns0:t>addi</ns0:t>
        </ns0:is>
      </ns0:c>
      <ns0:c r="F31" s="71" t="inlineStr">
        <ns0:is>
          <ns0:t>I</ns0:t>
        </ns0:is>
      </ns0:c>
      <ns0:c r="G31" s="85" t="n">
        <ns0:v>12</ns0:v>
      </ns0:c>
      <ns0:c r="H31" s="71" t="n">
        <ns0:v>63</ns0:v>
      </ns0:c>
      <ns0:c r="I31" s="72" t="inlineStr">
        <ns0:is>
          <ns0:t>—</ns0:t>
        </ns0:is>
      </ns0:c>
      <ns0:c r="J31" s="72" t="inlineStr">
        <ns0:is>
          <ns0:t>00000011111100000000010000010011</ns0:t>
        </ns0:is>
      </ns0:c>
      <ns0:c r="K31" s="73" t="inlineStr">
        <ns0:is>
          <ns0:t>s0 ← zero + (+63); арифметика RV32I по модулю 2³².</ns0:t>
        </ns0:is>
      </ns0:c>
      <ns0:c r="L31" s="86" t="inlineStr">
        <ns0:is>
          <ns0:t>FETCH был</ns0:t>
        </ns0:is>
      </ns0:c>
      <ns0:c r="M31" s="74" t="inlineStr">
        <ns0:is>
          <ns0:t>31–20
000000111111
imm[11:0]</ns0:t>
        </ns0:is>
      </ns0:c>
      <ns0:c r="N31" s="75" t="inlineStr">
        <ns0:is>
          <ns0:t>19–15
00000
rs1</ns0:t>
        </ns0:is>
      </ns0:c>
      <ns0:c r="O31" s="83" t="inlineStr">
        <ns0:is>
          <ns0:t>14–12
000
funct3</ns0:t>
        </ns0:is>
      </ns0:c>
      <ns0:c r="P31" s="75" t="inlineStr">
        <ns0:is>
          <ns0:t>11–7
01000
rd</ns0:t>
        </ns0:is>
      </ns0:c>
      <ns0:c r="Q31" s="76" t="inlineStr">
        <ns0:is>
          <ns0:t>6–0
0010011
opcode</ns0:t>
        </ns0:is>
      </ns0:c>
    </ns0:row>
    <ns0:row r="32" ht="52" customHeight="1">
      <ns0:c r="A32" s="77" t="n">
        <ns0:v>24</ns0:v>
      </ns0:c>
      <ns0:c r="B32" s="78" t="inlineStr">
        <ns0:is>
          <ns0:t>0x0000005C</ns0:t>
        </ns0:is>
      </ns0:c>
      <ns0:c r="C32" s="84" t="inlineStr">
        <ns0:is>
          <ns0:t>0x0A8E0A63</ns0:t>
        </ns0:is>
      </ns0:c>
      <ns0:c r="D32" s="79" t="inlineStr">
        <ns0:is>
          <ns0:t>beq t3, s0, 0x00000110</ns0:t>
        </ns0:is>
      </ns0:c>
      <ns0:c r="E32" s="80" t="inlineStr">
        <ns0:is>
          <ns0:t>beq</ns0:t>
        </ns0:is>
      </ns0:c>
      <ns0:c r="F32" s="80" t="inlineStr">
        <ns0:is>
          <ns0:t>B</ns0:t>
        </ns0:is>
      </ns0:c>
      <ns0:c r="G32" s="85" t="n">
        <ns0:v>12</ns0:v>
      </ns0:c>
      <ns0:c r="H32" s="80" t="n">
        <ns0:v>180</ns0:v>
      </ns0:c>
      <ns0:c r="I32" s="81" t="inlineStr">
        <ns0:is>
          <ns0:t>0x00000110</ns0:t>
        </ns0:is>
      </ns0:c>
      <ns0:c r="J32" s="81" t="inlineStr">
        <ns0:is>
          <ns0:t>00001010100011100000101001100011</ns0:t>
        </ns0:is>
      </ns0:c>
      <ns0:c r="K32" s="82" t="inlineStr">
        <ns0:is>
          <ns0:t>Если t3 = s0, PC ← 0x00000110; иначе PC ← PC+4. Смещение +180 байт.</ns0:t>
        </ns0:is>
      </ns0:c>
      <ns0:c r="L32" s="86" t="inlineStr">
        <ns0:is>
          <ns0:t>FETCH был</ns0:t>
        </ns0:is>
      </ns0:c>
      <ns0:c r="M32" s="74" t="inlineStr">
        <ns0:is>
          <ns0:t>31
0
imm[12]</ns0:t>
        </ns0:is>
      </ns0:c>
      <ns0:c r="N32" s="74" t="inlineStr">
        <ns0:is>
          <ns0:t>30–25
000101
imm[10:5]</ns0:t>
        </ns0:is>
      </ns0:c>
      <ns0:c r="O32" s="75" t="inlineStr">
        <ns0:is>
          <ns0:t>24–20
01000
rs2</ns0:t>
        </ns0:is>
      </ns0:c>
      <ns0:c r="P32" s="75" t="inlineStr">
        <ns0:is>
          <ns0:t>19–15
11100
rs1</ns0:t>
        </ns0:is>
      </ns0:c>
      <ns0:c r="Q32" s="83" t="inlineStr">
        <ns0:is>
          <ns0:t>14–12
000
funct3</ns0:t>
        </ns0:is>
      </ns0:c>
      <ns0:c r="R32" s="74" t="inlineStr">
        <ns0:is>
          <ns0:t>11–8
1010
imm[4:1]</ns0:t>
        </ns0:is>
      </ns0:c>
      <ns0:c r="S32" s="74" t="inlineStr">
        <ns0:is>
          <ns0:t>7
0
imm[11]</ns0:t>
        </ns0:is>
      </ns0:c>
      <ns0:c r="T32" s="76" t="inlineStr">
        <ns0:is>
          <ns0:t>6–0
1100011
opcode</ns0:t>
        </ns0:is>
      </ns0:c>
    </ns0:row>
    <ns0:row r="33" ht="52" customHeight="1">
      <ns0:c r="A33" s="68" t="n">
        <ns0:v>25</ns0:v>
      </ns0:c>
      <ns0:c r="B33" s="69" t="inlineStr">
        <ns0:is>
          <ns0:t>0x00000060</ns0:t>
        </ns0:is>
      </ns0:c>
      <ns0:c r="C33" s="84" t="inlineStr">
        <ns0:is>
          <ns0:t>0x03000413</ns0:t>
        </ns0:is>
      </ns0:c>
      <ns0:c r="D33" s="70" t="inlineStr">
        <ns0:is>
          <ns0:t>addi s0, zero, 48</ns0:t>
        </ns0:is>
      </ns0:c>
      <ns0:c r="E33" s="71" t="inlineStr">
        <ns0:is>
          <ns0:t>addi</ns0:t>
        </ns0:is>
      </ns0:c>
      <ns0:c r="F33" s="71" t="inlineStr">
        <ns0:is>
          <ns0:t>I</ns0:t>
        </ns0:is>
      </ns0:c>
      <ns0:c r="G33" s="85" t="n">
        <ns0:v>12</ns0:v>
      </ns0:c>
      <ns0:c r="H33" s="71" t="n">
        <ns0:v>48</ns0:v>
      </ns0:c>
      <ns0:c r="I33" s="72" t="inlineStr">
        <ns0:is>
          <ns0:t>—</ns0:t>
        </ns0:is>
      </ns0:c>
      <ns0:c r="J33" s="72" t="inlineStr">
        <ns0:is>
          <ns0:t>00000011000000000000010000010011</ns0:t>
        </ns0:is>
      </ns0:c>
      <ns0:c r="K33" s="73" t="inlineStr">
        <ns0:is>
          <ns0:t>s0 ← zero + (+48); арифметика RV32I по модулю 2³².</ns0:t>
        </ns0:is>
      </ns0:c>
      <ns0:c r="L33" s="86" t="inlineStr">
        <ns0:is>
          <ns0:t>FETCH был</ns0:t>
        </ns0:is>
      </ns0:c>
      <ns0:c r="M33" s="74" t="inlineStr">
        <ns0:is>
          <ns0:t>31–20
000000110000
imm[11:0]</ns0:t>
        </ns0:is>
      </ns0:c>
      <ns0:c r="N33" s="75" t="inlineStr">
        <ns0:is>
          <ns0:t>19–15
00000
rs1</ns0:t>
        </ns0:is>
      </ns0:c>
      <ns0:c r="O33" s="83" t="inlineStr">
        <ns0:is>
          <ns0:t>14–12
000
funct3</ns0:t>
        </ns0:is>
      </ns0:c>
      <ns0:c r="P33" s="75" t="inlineStr">
        <ns0:is>
          <ns0:t>11–7
01000
rd</ns0:t>
        </ns0:is>
      </ns0:c>
      <ns0:c r="Q33" s="76" t="inlineStr">
        <ns0:is>
          <ns0:t>6–0
0010011
opcode</ns0:t>
        </ns0:is>
      </ns0:c>
    </ns0:row>
    <ns0:row r="34" ht="52" customHeight="1">
      <ns0:c r="A34" s="77" t="n">
        <ns0:v>26</ns0:v>
      </ns0:c>
      <ns0:c r="B34" s="78" t="inlineStr">
        <ns0:is>
          <ns0:t>0x00000064</ns0:t>
        </ns0:is>
      </ns0:c>
      <ns0:c r="C34" s="84" t="inlineStr">
        <ns0:is>
          <ns0:t>0x048E0463</ns0:t>
        </ns0:is>
      </ns0:c>
      <ns0:c r="D34" s="79" t="inlineStr">
        <ns0:is>
          <ns0:t>beq t3, s0, 0x000000ac</ns0:t>
        </ns0:is>
      </ns0:c>
      <ns0:c r="E34" s="80" t="inlineStr">
        <ns0:is>
          <ns0:t>beq</ns0:t>
        </ns0:is>
      </ns0:c>
      <ns0:c r="F34" s="80" t="inlineStr">
        <ns0:is>
          <ns0:t>B</ns0:t>
        </ns0:is>
      </ns0:c>
      <ns0:c r="G34" s="85" t="n">
        <ns0:v>12</ns0:v>
      </ns0:c>
      <ns0:c r="H34" s="80" t="n">
        <ns0:v>72</ns0:v>
      </ns0:c>
      <ns0:c r="I34" s="81" t="inlineStr">
        <ns0:is>
          <ns0:t>0x000000AC</ns0:t>
        </ns0:is>
      </ns0:c>
      <ns0:c r="J34" s="81" t="inlineStr">
        <ns0:is>
          <ns0:t>00000100100011100000010001100011</ns0:t>
        </ns0:is>
      </ns0:c>
      <ns0:c r="K34" s="82" t="inlineStr">
        <ns0:is>
          <ns0:t>Если t3 = s0, PC ← 0x000000AC; иначе PC ← PC+4. Смещение +72 байт.</ns0:t>
        </ns0:is>
      </ns0:c>
      <ns0:c r="L34" s="86" t="inlineStr">
        <ns0:is>
          <ns0:t>FETCH был</ns0:t>
        </ns0:is>
      </ns0:c>
      <ns0:c r="M34" s="74" t="inlineStr">
        <ns0:is>
          <ns0:t>31
0
imm[12]</ns0:t>
        </ns0:is>
      </ns0:c>
      <ns0:c r="N34" s="74" t="inlineStr">
        <ns0:is>
          <ns0:t>30–25
000010
imm[10:5]</ns0:t>
        </ns0:is>
      </ns0:c>
      <ns0:c r="O34" s="75" t="inlineStr">
        <ns0:is>
          <ns0:t>24–20
01000
rs2</ns0:t>
        </ns0:is>
      </ns0:c>
      <ns0:c r="P34" s="75" t="inlineStr">
        <ns0:is>
          <ns0:t>19–15
11100
rs1</ns0:t>
        </ns0:is>
      </ns0:c>
      <ns0:c r="Q34" s="83" t="inlineStr">
        <ns0:is>
          <ns0:t>14–12
000
funct3</ns0:t>
        </ns0:is>
      </ns0:c>
      <ns0:c r="R34" s="74" t="inlineStr">
        <ns0:is>
          <ns0:t>11–8
0100
imm[4:1]</ns0:t>
        </ns0:is>
      </ns0:c>
      <ns0:c r="S34" s="74" t="inlineStr">
        <ns0:is>
          <ns0:t>7
0
imm[11]</ns0:t>
        </ns0:is>
      </ns0:c>
      <ns0:c r="T34" s="76" t="inlineStr">
        <ns0:is>
          <ns0:t>6–0
1100011
opcode</ns0:t>
        </ns0:is>
      </ns0:c>
    </ns0:row>
    <ns0:row r="35" ht="52" customHeight="1">
      <ns0:c r="A35" s="68" t="n">
        <ns0:v>27</ns0:v>
      </ns0:c>
      <ns0:c r="B35" s="69" t="inlineStr">
        <ns0:is>
          <ns0:t>0x00000068</ns0:t>
        </ns0:is>
      </ns0:c>
      <ns0:c r="C35" s="84" t="inlineStr">
        <ns0:is>
          <ns0:t>0x03100413</ns0:t>
        </ns0:is>
      </ns0:c>
      <ns0:c r="D35" s="70" t="inlineStr">
        <ns0:is>
          <ns0:t>addi s0, zero, 49</ns0:t>
        </ns0:is>
      </ns0:c>
      <ns0:c r="E35" s="71" t="inlineStr">
        <ns0:is>
          <ns0:t>addi</ns0:t>
        </ns0:is>
      </ns0:c>
      <ns0:c r="F35" s="71" t="inlineStr">
        <ns0:is>
          <ns0:t>I</ns0:t>
        </ns0:is>
      </ns0:c>
      <ns0:c r="G35" s="85" t="n">
        <ns0:v>12</ns0:v>
      </ns0:c>
      <ns0:c r="H35" s="71" t="n">
        <ns0:v>49</ns0:v>
      </ns0:c>
      <ns0:c r="I35" s="72" t="inlineStr">
        <ns0:is>
          <ns0:t>—</ns0:t>
        </ns0:is>
      </ns0:c>
      <ns0:c r="J35" s="72" t="inlineStr">
        <ns0:is>
          <ns0:t>00000011000100000000010000010011</ns0:t>
        </ns0:is>
      </ns0:c>
      <ns0:c r="K35" s="73" t="inlineStr">
        <ns0:is>
          <ns0:t>s0 ← zero + (+49); арифметика RV32I по модулю 2³².</ns0:t>
        </ns0:is>
      </ns0:c>
      <ns0:c r="L35" s="86" t="inlineStr">
        <ns0:is>
          <ns0:t>FETCH был</ns0:t>
        </ns0:is>
      </ns0:c>
      <ns0:c r="M35" s="74" t="inlineStr">
        <ns0:is>
          <ns0:t>31–20
000000110001
imm[11:0]</ns0:t>
        </ns0:is>
      </ns0:c>
      <ns0:c r="N35" s="75" t="inlineStr">
        <ns0:is>
          <ns0:t>19–15
00000
rs1</ns0:t>
        </ns0:is>
      </ns0:c>
      <ns0:c r="O35" s="83" t="inlineStr">
        <ns0:is>
          <ns0:t>14–12
000
funct3</ns0:t>
        </ns0:is>
      </ns0:c>
      <ns0:c r="P35" s="75" t="inlineStr">
        <ns0:is>
          <ns0:t>11–7
01000
rd</ns0:t>
        </ns0:is>
      </ns0:c>
      <ns0:c r="Q35" s="76" t="inlineStr">
        <ns0:is>
          <ns0:t>6–0
0010011
opcode</ns0:t>
        </ns0:is>
      </ns0:c>
    </ns0:row>
    <ns0:row r="36" ht="52" customHeight="1">
      <ns0:c r="A36" s="77" t="n">
        <ns0:v>28</ns0:v>
      </ns0:c>
      <ns0:c r="B36" s="78" t="inlineStr">
        <ns0:is>
          <ns0:t>0x0000006C</ns0:t>
        </ns0:is>
      </ns0:c>
      <ns0:c r="C36" s="84" t="inlineStr">
        <ns0:is>
          <ns0:t>0x048E0663</ns0:t>
        </ns0:is>
      </ns0:c>
      <ns0:c r="D36" s="79" t="inlineStr">
        <ns0:is>
          <ns0:t>beq t3, s0, 0x000000b8</ns0:t>
        </ns0:is>
      </ns0:c>
      <ns0:c r="E36" s="80" t="inlineStr">
        <ns0:is>
          <ns0:t>beq</ns0:t>
        </ns0:is>
      </ns0:c>
      <ns0:c r="F36" s="80" t="inlineStr">
        <ns0:is>
          <ns0:t>B</ns0:t>
        </ns0:is>
      </ns0:c>
      <ns0:c r="G36" s="85" t="n">
        <ns0:v>6</ns0:v>
      </ns0:c>
      <ns0:c r="H36" s="80" t="n">
        <ns0:v>76</ns0:v>
      </ns0:c>
      <ns0:c r="I36" s="81" t="inlineStr">
        <ns0:is>
          <ns0:t>0x000000B8</ns0:t>
        </ns0:is>
      </ns0:c>
      <ns0:c r="J36" s="81" t="inlineStr">
        <ns0:is>
          <ns0:t>00000100100011100000011001100011</ns0:t>
        </ns0:is>
      </ns0:c>
      <ns0:c r="K36" s="82" t="inlineStr">
        <ns0:is>
          <ns0:t>Если t3 = s0, PC ← 0x000000B8; иначе PC ← PC+4. Смещение +76 байт.</ns0:t>
        </ns0:is>
      </ns0:c>
      <ns0:c r="L36" s="86" t="inlineStr">
        <ns0:is>
          <ns0:t>FETCH был</ns0:t>
        </ns0:is>
      </ns0:c>
      <ns0:c r="M36" s="74" t="inlineStr">
        <ns0:is>
          <ns0:t>31
0
imm[12]</ns0:t>
        </ns0:is>
      </ns0:c>
      <ns0:c r="N36" s="74" t="inlineStr">
        <ns0:is>
          <ns0:t>30–25
000010
imm[10:5]</ns0:t>
        </ns0:is>
      </ns0:c>
      <ns0:c r="O36" s="75" t="inlineStr">
        <ns0:is>
          <ns0:t>24–20
01000
rs2</ns0:t>
        </ns0:is>
      </ns0:c>
      <ns0:c r="P36" s="75" t="inlineStr">
        <ns0:is>
          <ns0:t>19–15
11100
rs1</ns0:t>
        </ns0:is>
      </ns0:c>
      <ns0:c r="Q36" s="83" t="inlineStr">
        <ns0:is>
          <ns0:t>14–12
000
funct3</ns0:t>
        </ns0:is>
      </ns0:c>
      <ns0:c r="R36" s="74" t="inlineStr">
        <ns0:is>
          <ns0:t>11–8
0110
imm[4:1]</ns0:t>
        </ns0:is>
      </ns0:c>
      <ns0:c r="S36" s="74" t="inlineStr">
        <ns0:is>
          <ns0:t>7
0
imm[11]</ns0:t>
        </ns0:is>
      </ns0:c>
      <ns0:c r="T36" s="76" t="inlineStr">
        <ns0:is>
          <ns0:t>6–0
1100011
opcode</ns0:t>
        </ns0:is>
      </ns0:c>
    </ns0:row>
    <ns0:row r="37" ht="52" customHeight="1">
      <ns0:c r="A37" s="68" t="n">
        <ns0:v>29</ns0:v>
      </ns0:c>
      <ns0:c r="B37" s="69" t="inlineStr">
        <ns0:is>
          <ns0:t>0x00000070</ns0:t>
        </ns0:is>
      </ns0:c>
      <ns0:c r="C37" s="84" t="inlineStr">
        <ns0:is>
          <ns0:t>0x03200413</ns0:t>
        </ns0:is>
      </ns0:c>
      <ns0:c r="D37" s="70" t="inlineStr">
        <ns0:is>
          <ns0:t>addi s0, zero, 50</ns0:t>
        </ns0:is>
      </ns0:c>
      <ns0:c r="E37" s="71" t="inlineStr">
        <ns0:is>
          <ns0:t>addi</ns0:t>
        </ns0:is>
      </ns0:c>
      <ns0:c r="F37" s="71" t="inlineStr">
        <ns0:is>
          <ns0:t>I</ns0:t>
        </ns0:is>
      </ns0:c>
      <ns0:c r="G37" s="85" t="n">
        <ns0:v>6</ns0:v>
      </ns0:c>
      <ns0:c r="H37" s="71" t="n">
        <ns0:v>50</ns0:v>
      </ns0:c>
      <ns0:c r="I37" s="72" t="inlineStr">
        <ns0:is>
          <ns0:t>—</ns0:t>
        </ns0:is>
      </ns0:c>
      <ns0:c r="J37" s="72" t="inlineStr">
        <ns0:is>
          <ns0:t>00000011001000000000010000010011</ns0:t>
        </ns0:is>
      </ns0:c>
      <ns0:c r="K37" s="73" t="inlineStr">
        <ns0:is>
          <ns0:t>s0 ← zero + (+50); арифметика RV32I по модулю 2³².</ns0:t>
        </ns0:is>
      </ns0:c>
      <ns0:c r="L37" s="86" t="inlineStr">
        <ns0:is>
          <ns0:t>FETCH был</ns0:t>
        </ns0:is>
      </ns0:c>
      <ns0:c r="M37" s="74" t="inlineStr">
        <ns0:is>
          <ns0:t>31–20
000000110010
imm[11:0]</ns0:t>
        </ns0:is>
      </ns0:c>
      <ns0:c r="N37" s="75" t="inlineStr">
        <ns0:is>
          <ns0:t>19–15
00000
rs1</ns0:t>
        </ns0:is>
      </ns0:c>
      <ns0:c r="O37" s="83" t="inlineStr">
        <ns0:is>
          <ns0:t>14–12
000
funct3</ns0:t>
        </ns0:is>
      </ns0:c>
      <ns0:c r="P37" s="75" t="inlineStr">
        <ns0:is>
          <ns0:t>11–7
01000
rd</ns0:t>
        </ns0:is>
      </ns0:c>
      <ns0:c r="Q37" s="76" t="inlineStr">
        <ns0:is>
          <ns0:t>6–0
0010011
opcode</ns0:t>
        </ns0:is>
      </ns0:c>
    </ns0:row>
    <ns0:row r="38" ht="52" customHeight="1">
      <ns0:c r="A38" s="77" t="n">
        <ns0:v>30</ns0:v>
      </ns0:c>
      <ns0:c r="B38" s="78" t="inlineStr">
        <ns0:is>
          <ns0:t>0x00000074</ns0:t>
        </ns0:is>
      </ns0:c>
      <ns0:c r="C38" s="84" t="inlineStr">
        <ns0:is>
          <ns0:t>0x048E0863</ns0:t>
        </ns0:is>
      </ns0:c>
      <ns0:c r="D38" s="79" t="inlineStr">
        <ns0:is>
          <ns0:t>beq t3, s0, 0x000000c4</ns0:t>
        </ns0:is>
      </ns0:c>
      <ns0:c r="E38" s="80" t="inlineStr">
        <ns0:is>
          <ns0:t>beq</ns0:t>
        </ns0:is>
      </ns0:c>
      <ns0:c r="F38" s="80" t="inlineStr">
        <ns0:is>
          <ns0:t>B</ns0:t>
        </ns0:is>
      </ns0:c>
      <ns0:c r="G38" s="85" t="n">
        <ns0:v>6</ns0:v>
      </ns0:c>
      <ns0:c r="H38" s="80" t="n">
        <ns0:v>80</ns0:v>
      </ns0:c>
      <ns0:c r="I38" s="81" t="inlineStr">
        <ns0:is>
          <ns0:t>0x000000C4</ns0:t>
        </ns0:is>
      </ns0:c>
      <ns0:c r="J38" s="81" t="inlineStr">
        <ns0:is>
          <ns0:t>00000100100011100000100001100011</ns0:t>
        </ns0:is>
      </ns0:c>
      <ns0:c r="K38" s="82" t="inlineStr">
        <ns0:is>
          <ns0:t>Если t3 = s0, PC ← 0x000000C4; иначе PC ← PC+4. Смещение +80 байт.</ns0:t>
        </ns0:is>
      </ns0:c>
      <ns0:c r="L38" s="86" t="inlineStr">
        <ns0:is>
          <ns0:t>FETCH был</ns0:t>
        </ns0:is>
      </ns0:c>
      <ns0:c r="M38" s="74" t="inlineStr">
        <ns0:is>
          <ns0:t>31
0
imm[12]</ns0:t>
        </ns0:is>
      </ns0:c>
      <ns0:c r="N38" s="74" t="inlineStr">
        <ns0:is>
          <ns0:t>30–25
000010
imm[10:5]</ns0:t>
        </ns0:is>
      </ns0:c>
      <ns0:c r="O38" s="75" t="inlineStr">
        <ns0:is>
          <ns0:t>24–20
01000
rs2</ns0:t>
        </ns0:is>
      </ns0:c>
      <ns0:c r="P38" s="75" t="inlineStr">
        <ns0:is>
          <ns0:t>19–15
11100
rs1</ns0:t>
        </ns0:is>
      </ns0:c>
      <ns0:c r="Q38" s="83" t="inlineStr">
        <ns0:is>
          <ns0:t>14–12
000
funct3</ns0:t>
        </ns0:is>
      </ns0:c>
      <ns0:c r="R38" s="74" t="inlineStr">
        <ns0:is>
          <ns0:t>11–8
1000
imm[4:1]</ns0:t>
        </ns0:is>
      </ns0:c>
      <ns0:c r="S38" s="74" t="inlineStr">
        <ns0:is>
          <ns0:t>7
0
imm[11]</ns0:t>
        </ns0:is>
      </ns0:c>
      <ns0:c r="T38" s="76" t="inlineStr">
        <ns0:is>
          <ns0:t>6–0
1100011
opcode</ns0:t>
        </ns0:is>
      </ns0:c>
    </ns0:row>
    <ns0:row r="39" ht="52" customHeight="1">
      <ns0:c r="A39" s="68" t="n">
        <ns0:v>31</ns0:v>
      </ns0:c>
      <ns0:c r="B39" s="69" t="inlineStr">
        <ns0:is>
          <ns0:t>0x00000078</ns0:t>
        </ns0:is>
      </ns0:c>
      <ns0:c r="C39" s="84" t="inlineStr">
        <ns0:is>
          <ns0:t>0x03300413</ns0:t>
        </ns0:is>
      </ns0:c>
      <ns0:c r="D39" s="70" t="inlineStr">
        <ns0:is>
          <ns0:t>addi s0, zero, 51</ns0:t>
        </ns0:is>
      </ns0:c>
      <ns0:c r="E39" s="71" t="inlineStr">
        <ns0:is>
          <ns0:t>addi</ns0:t>
        </ns0:is>
      </ns0:c>
      <ns0:c r="F39" s="71" t="inlineStr">
        <ns0:is>
          <ns0:t>I</ns0:t>
        </ns0:is>
      </ns0:c>
      <ns0:c r="G39" s="85" t="n">
        <ns0:v>6</ns0:v>
      </ns0:c>
      <ns0:c r="H39" s="71" t="n">
        <ns0:v>51</ns0:v>
      </ns0:c>
      <ns0:c r="I39" s="72" t="inlineStr">
        <ns0:is>
          <ns0:t>—</ns0:t>
        </ns0:is>
      </ns0:c>
      <ns0:c r="J39" s="72" t="inlineStr">
        <ns0:is>
          <ns0:t>00000011001100000000010000010011</ns0:t>
        </ns0:is>
      </ns0:c>
      <ns0:c r="K39" s="73" t="inlineStr">
        <ns0:is>
          <ns0:t>s0 ← zero + (+51); арифметика RV32I по модулю 2³².</ns0:t>
        </ns0:is>
      </ns0:c>
      <ns0:c r="L39" s="86" t="inlineStr">
        <ns0:is>
          <ns0:t>FETCH был</ns0:t>
        </ns0:is>
      </ns0:c>
      <ns0:c r="M39" s="74" t="inlineStr">
        <ns0:is>
          <ns0:t>31–20
000000110011
imm[11:0]</ns0:t>
        </ns0:is>
      </ns0:c>
      <ns0:c r="N39" s="75" t="inlineStr">
        <ns0:is>
          <ns0:t>19–15
00000
rs1</ns0:t>
        </ns0:is>
      </ns0:c>
      <ns0:c r="O39" s="83" t="inlineStr">
        <ns0:is>
          <ns0:t>14–12
000
funct3</ns0:t>
        </ns0:is>
      </ns0:c>
      <ns0:c r="P39" s="75" t="inlineStr">
        <ns0:is>
          <ns0:t>11–7
01000
rd</ns0:t>
        </ns0:is>
      </ns0:c>
      <ns0:c r="Q39" s="76" t="inlineStr">
        <ns0:is>
          <ns0:t>6–0
0010011
opcode</ns0:t>
        </ns0:is>
      </ns0:c>
    </ns0:row>
    <ns0:row r="40" ht="52" customHeight="1">
      <ns0:c r="A40" s="77" t="n">
        <ns0:v>32</ns0:v>
      </ns0:c>
      <ns0:c r="B40" s="78" t="inlineStr">
        <ns0:is>
          <ns0:t>0x0000007C</ns0:t>
        </ns0:is>
      </ns0:c>
      <ns0:c r="C40" s="84" t="inlineStr">
        <ns0:is>
          <ns0:t>0x048E0A63</ns0:t>
        </ns0:is>
      </ns0:c>
      <ns0:c r="D40" s="79" t="inlineStr">
        <ns0:is>
          <ns0:t>beq t3, s0, 0x000000d0</ns0:t>
        </ns0:is>
      </ns0:c>
      <ns0:c r="E40" s="80" t="inlineStr">
        <ns0:is>
          <ns0:t>beq</ns0:t>
        </ns0:is>
      </ns0:c>
      <ns0:c r="F40" s="80" t="inlineStr">
        <ns0:is>
          <ns0:t>B</ns0:t>
        </ns0:is>
      </ns0:c>
      <ns0:c r="G40" s="85" t="n">
        <ns0:v>6</ns0:v>
      </ns0:c>
      <ns0:c r="H40" s="80" t="n">
        <ns0:v>84</ns0:v>
      </ns0:c>
      <ns0:c r="I40" s="81" t="inlineStr">
        <ns0:is>
          <ns0:t>0x000000D0</ns0:t>
        </ns0:is>
      </ns0:c>
      <ns0:c r="J40" s="81" t="inlineStr">
        <ns0:is>
          <ns0:t>00000100100011100000101001100011</ns0:t>
        </ns0:is>
      </ns0:c>
      <ns0:c r="K40" s="82" t="inlineStr">
        <ns0:is>
          <ns0:t>Если t3 = s0, PC ← 0x000000D0; иначе PC ← PC+4. Смещение +84 байт.</ns0:t>
        </ns0:is>
      </ns0:c>
      <ns0:c r="L40" s="86" t="inlineStr">
        <ns0:is>
          <ns0:t>FETCH был</ns0:t>
        </ns0:is>
      </ns0:c>
      <ns0:c r="M40" s="74" t="inlineStr">
        <ns0:is>
          <ns0:t>31
0
imm[12]</ns0:t>
        </ns0:is>
      </ns0:c>
      <ns0:c r="N40" s="74" t="inlineStr">
        <ns0:is>
          <ns0:t>30–25
000010
imm[10:5]</ns0:t>
        </ns0:is>
      </ns0:c>
      <ns0:c r="O40" s="75" t="inlineStr">
        <ns0:is>
          <ns0:t>24–20
01000
rs2</ns0:t>
        </ns0:is>
      </ns0:c>
      <ns0:c r="P40" s="75" t="inlineStr">
        <ns0:is>
          <ns0:t>19–15
11100
rs1</ns0:t>
        </ns0:is>
      </ns0:c>
      <ns0:c r="Q40" s="83" t="inlineStr">
        <ns0:is>
          <ns0:t>14–12
000
funct3</ns0:t>
        </ns0:is>
      </ns0:c>
      <ns0:c r="R40" s="74" t="inlineStr">
        <ns0:is>
          <ns0:t>11–8
1010
imm[4:1]</ns0:t>
        </ns0:is>
      </ns0:c>
      <ns0:c r="S40" s="74" t="inlineStr">
        <ns0:is>
          <ns0:t>7
0
imm[11]</ns0:t>
        </ns0:is>
      </ns0:c>
      <ns0:c r="T40" s="76" t="inlineStr">
        <ns0:is>
          <ns0:t>6–0
1100011
opcode</ns0:t>
        </ns0:is>
      </ns0:c>
    </ns0:row>
    <ns0:row r="41" ht="52" customHeight="1">
      <ns0:c r="A41" s="68" t="n">
        <ns0:v>33</ns0:v>
      </ns0:c>
      <ns0:c r="B41" s="69" t="inlineStr">
        <ns0:is>
          <ns0:t>0x00000080</ns0:t>
        </ns0:is>
      </ns0:c>
      <ns0:c r="C41" s="84" t="inlineStr">
        <ns0:is>
          <ns0:t>0x03400413</ns0:t>
        </ns0:is>
      </ns0:c>
      <ns0:c r="D41" s="70" t="inlineStr">
        <ns0:is>
          <ns0:t>addi s0, zero, 52</ns0:t>
        </ns0:is>
      </ns0:c>
      <ns0:c r="E41" s="71" t="inlineStr">
        <ns0:is>
          <ns0:t>addi</ns0:t>
        </ns0:is>
      </ns0:c>
      <ns0:c r="F41" s="71" t="inlineStr">
        <ns0:is>
          <ns0:t>I</ns0:t>
        </ns0:is>
      </ns0:c>
      <ns0:c r="G41" s="85" t="n">
        <ns0:v>6</ns0:v>
      </ns0:c>
      <ns0:c r="H41" s="71" t="n">
        <ns0:v>52</ns0:v>
      </ns0:c>
      <ns0:c r="I41" s="72" t="inlineStr">
        <ns0:is>
          <ns0:t>—</ns0:t>
        </ns0:is>
      </ns0:c>
      <ns0:c r="J41" s="72" t="inlineStr">
        <ns0:is>
          <ns0:t>00000011010000000000010000010011</ns0:t>
        </ns0:is>
      </ns0:c>
      <ns0:c r="K41" s="73" t="inlineStr">
        <ns0:is>
          <ns0:t>s0 ← zero + (+52); арифметика RV32I по модулю 2³².</ns0:t>
        </ns0:is>
      </ns0:c>
      <ns0:c r="L41" s="86" t="inlineStr">
        <ns0:is>
          <ns0:t>FETCH был</ns0:t>
        </ns0:is>
      </ns0:c>
      <ns0:c r="M41" s="74" t="inlineStr">
        <ns0:is>
          <ns0:t>31–20
000000110100
imm[11:0]</ns0:t>
        </ns0:is>
      </ns0:c>
      <ns0:c r="N41" s="75" t="inlineStr">
        <ns0:is>
          <ns0:t>19–15
00000
rs1</ns0:t>
        </ns0:is>
      </ns0:c>
      <ns0:c r="O41" s="83" t="inlineStr">
        <ns0:is>
          <ns0:t>14–12
000
funct3</ns0:t>
        </ns0:is>
      </ns0:c>
      <ns0:c r="P41" s="75" t="inlineStr">
        <ns0:is>
          <ns0:t>11–7
01000
rd</ns0:t>
        </ns0:is>
      </ns0:c>
      <ns0:c r="Q41" s="76" t="inlineStr">
        <ns0:is>
          <ns0:t>6–0
0010011
opcode</ns0:t>
        </ns0:is>
      </ns0:c>
    </ns0:row>
    <ns0:row r="42" ht="52" customHeight="1">
      <ns0:c r="A42" s="77" t="n">
        <ns0:v>34</ns0:v>
      </ns0:c>
      <ns0:c r="B42" s="78" t="inlineStr">
        <ns0:is>
          <ns0:t>0x00000084</ns0:t>
        </ns0:is>
      </ns0:c>
      <ns0:c r="C42" s="84" t="inlineStr">
        <ns0:is>
          <ns0:t>0x048E0C63</ns0:t>
        </ns0:is>
      </ns0:c>
      <ns0:c r="D42" s="79" t="inlineStr">
        <ns0:is>
          <ns0:t>beq t3, s0, 0x000000dc</ns0:t>
        </ns0:is>
      </ns0:c>
      <ns0:c r="E42" s="80" t="inlineStr">
        <ns0:is>
          <ns0:t>beq</ns0:t>
        </ns0:is>
      </ns0:c>
      <ns0:c r="F42" s="80" t="inlineStr">
        <ns0:is>
          <ns0:t>B</ns0:t>
        </ns0:is>
      </ns0:c>
      <ns0:c r="G42" s="85" t="n">
        <ns0:v>6</ns0:v>
      </ns0:c>
      <ns0:c r="H42" s="80" t="n">
        <ns0:v>88</ns0:v>
      </ns0:c>
      <ns0:c r="I42" s="81" t="inlineStr">
        <ns0:is>
          <ns0:t>0x000000DC</ns0:t>
        </ns0:is>
      </ns0:c>
      <ns0:c r="J42" s="81" t="inlineStr">
        <ns0:is>
          <ns0:t>00000100100011100000110001100011</ns0:t>
        </ns0:is>
      </ns0:c>
      <ns0:c r="K42" s="82" t="inlineStr">
        <ns0:is>
          <ns0:t>Если t3 = s0, PC ← 0x000000DC; иначе PC ← PC+4. Смещение +88 байт.</ns0:t>
        </ns0:is>
      </ns0:c>
      <ns0:c r="L42" s="86" t="inlineStr">
        <ns0:is>
          <ns0:t>FETCH был</ns0:t>
        </ns0:is>
      </ns0:c>
      <ns0:c r="M42" s="74" t="inlineStr">
        <ns0:is>
          <ns0:t>31
0
imm[12]</ns0:t>
        </ns0:is>
      </ns0:c>
      <ns0:c r="N42" s="74" t="inlineStr">
        <ns0:is>
          <ns0:t>30–25
000010
imm[10:5]</ns0:t>
        </ns0:is>
      </ns0:c>
      <ns0:c r="O42" s="75" t="inlineStr">
        <ns0:is>
          <ns0:t>24–20
01000
rs2</ns0:t>
        </ns0:is>
      </ns0:c>
      <ns0:c r="P42" s="75" t="inlineStr">
        <ns0:is>
          <ns0:t>19–15
11100
rs1</ns0:t>
        </ns0:is>
      </ns0:c>
      <ns0:c r="Q42" s="83" t="inlineStr">
        <ns0:is>
          <ns0:t>14–12
000
funct3</ns0:t>
        </ns0:is>
      </ns0:c>
      <ns0:c r="R42" s="74" t="inlineStr">
        <ns0:is>
          <ns0:t>11–8
1100
imm[4:1]</ns0:t>
        </ns0:is>
      </ns0:c>
      <ns0:c r="S42" s="74" t="inlineStr">
        <ns0:is>
          <ns0:t>7
0
imm[11]</ns0:t>
        </ns0:is>
      </ns0:c>
      <ns0:c r="T42" s="76" t="inlineStr">
        <ns0:is>
          <ns0:t>6–0
1100011
opcode</ns0:t>
        </ns0:is>
      </ns0:c>
    </ns0:row>
    <ns0:row r="43" ht="52" customHeight="1">
      <ns0:c r="A43" s="68" t="n">
        <ns0:v>35</ns0:v>
      </ns0:c>
      <ns0:c r="B43" s="69" t="inlineStr">
        <ns0:is>
          <ns0:t>0x00000088</ns0:t>
        </ns0:is>
      </ns0:c>
      <ns0:c r="C43" s="84" t="inlineStr">
        <ns0:is>
          <ns0:t>0x03500413</ns0:t>
        </ns0:is>
      </ns0:c>
      <ns0:c r="D43" s="70" t="inlineStr">
        <ns0:is>
          <ns0:t>addi s0, zero, 53</ns0:t>
        </ns0:is>
      </ns0:c>
      <ns0:c r="E43" s="71" t="inlineStr">
        <ns0:is>
          <ns0:t>addi</ns0:t>
        </ns0:is>
      </ns0:c>
      <ns0:c r="F43" s="71" t="inlineStr">
        <ns0:is>
          <ns0:t>I</ns0:t>
        </ns0:is>
      </ns0:c>
      <ns0:c r="G43" s="85" t="n">
        <ns0:v>6</ns0:v>
      </ns0:c>
      <ns0:c r="H43" s="71" t="n">
        <ns0:v>53</ns0:v>
      </ns0:c>
      <ns0:c r="I43" s="72" t="inlineStr">
        <ns0:is>
          <ns0:t>—</ns0:t>
        </ns0:is>
      </ns0:c>
      <ns0:c r="J43" s="72" t="inlineStr">
        <ns0:is>
          <ns0:t>00000011010100000000010000010011</ns0:t>
        </ns0:is>
      </ns0:c>
      <ns0:c r="K43" s="73" t="inlineStr">
        <ns0:is>
          <ns0:t>s0 ← zero + (+53); арифметика RV32I по модулю 2³².</ns0:t>
        </ns0:is>
      </ns0:c>
      <ns0:c r="L43" s="86" t="inlineStr">
        <ns0:is>
          <ns0:t>FETCH был</ns0:t>
        </ns0:is>
      </ns0:c>
      <ns0:c r="M43" s="74" t="inlineStr">
        <ns0:is>
          <ns0:t>31–20
000000110101
imm[11:0]</ns0:t>
        </ns0:is>
      </ns0:c>
      <ns0:c r="N43" s="75" t="inlineStr">
        <ns0:is>
          <ns0:t>19–15
00000
rs1</ns0:t>
        </ns0:is>
      </ns0:c>
      <ns0:c r="O43" s="83" t="inlineStr">
        <ns0:is>
          <ns0:t>14–12
000
funct3</ns0:t>
        </ns0:is>
      </ns0:c>
      <ns0:c r="P43" s="75" t="inlineStr">
        <ns0:is>
          <ns0:t>11–7
01000
rd</ns0:t>
        </ns0:is>
      </ns0:c>
      <ns0:c r="Q43" s="76" t="inlineStr">
        <ns0:is>
          <ns0:t>6–0
0010011
opcode</ns0:t>
        </ns0:is>
      </ns0:c>
    </ns0:row>
    <ns0:row r="44" ht="52" customHeight="1">
      <ns0:c r="A44" s="77" t="n">
        <ns0:v>36</ns0:v>
      </ns0:c>
      <ns0:c r="B44" s="78" t="inlineStr">
        <ns0:is>
          <ns0:t>0x0000008C</ns0:t>
        </ns0:is>
      </ns0:c>
      <ns0:c r="C44" s="78" t="inlineStr">
        <ns0:is>
          <ns0:t>0x048E0E63</ns0:t>
        </ns0:is>
      </ns0:c>
      <ns0:c r="D44" s="79" t="inlineStr">
        <ns0:is>
          <ns0:t>beq t3, s0, 0x000000e8</ns0:t>
        </ns0:is>
      </ns0:c>
      <ns0:c r="E44" s="80" t="inlineStr">
        <ns0:is>
          <ns0:t>beq</ns0:t>
        </ns0:is>
      </ns0:c>
      <ns0:c r="F44" s="80" t="inlineStr">
        <ns0:is>
          <ns0:t>B</ns0:t>
        </ns0:is>
      </ns0:c>
      <ns0:c r="G44" s="80" t="n">
        <ns0:v>0</ns0:v>
      </ns0:c>
      <ns0:c r="H44" s="80" t="n">
        <ns0:v>92</ns0:v>
      </ns0:c>
      <ns0:c r="I44" s="81" t="inlineStr">
        <ns0:is>
          <ns0:t>0x000000E8</ns0:t>
        </ns0:is>
      </ns0:c>
      <ns0:c r="J44" s="81" t="inlineStr">
        <ns0:is>
          <ns0:t>00000100100011100000111001100011</ns0:t>
        </ns0:is>
      </ns0:c>
      <ns0:c r="K44" s="82" t="inlineStr">
        <ns0:is>
          <ns0:t>Если t3 = s0, PC ← 0x000000E8; иначе PC ← PC+4. Смещение +92 байт.</ns0:t>
        </ns0:is>
      </ns0:c>
      <ns0:c r="L44" s="79" t="inlineStr">
        <ns0:is>
          <ns0:t>Только ROM</ns0:t>
        </ns0:is>
      </ns0:c>
      <ns0:c r="M44" s="74" t="inlineStr">
        <ns0:is>
          <ns0:t>31
0
imm[12]</ns0:t>
        </ns0:is>
      </ns0:c>
      <ns0:c r="N44" s="74" t="inlineStr">
        <ns0:is>
          <ns0:t>30–25
000010
imm[10:5]</ns0:t>
        </ns0:is>
      </ns0:c>
      <ns0:c r="O44" s="75" t="inlineStr">
        <ns0:is>
          <ns0:t>24–20
01000
rs2</ns0:t>
        </ns0:is>
      </ns0:c>
      <ns0:c r="P44" s="75" t="inlineStr">
        <ns0:is>
          <ns0:t>19–15
11100
rs1</ns0:t>
        </ns0:is>
      </ns0:c>
      <ns0:c r="Q44" s="83" t="inlineStr">
        <ns0:is>
          <ns0:t>14–12
000
funct3</ns0:t>
        </ns0:is>
      </ns0:c>
      <ns0:c r="R44" s="74" t="inlineStr">
        <ns0:is>
          <ns0:t>11–8
1110
imm[4:1]</ns0:t>
        </ns0:is>
      </ns0:c>
      <ns0:c r="S44" s="74" t="inlineStr">
        <ns0:is>
          <ns0:t>7
0
imm[11]</ns0:t>
        </ns0:is>
      </ns0:c>
      <ns0:c r="T44" s="76" t="inlineStr">
        <ns0:is>
          <ns0:t>6–0
1100011
opcode</ns0:t>
        </ns0:is>
      </ns0:c>
    </ns0:row>
    <ns0:row r="45" ht="52" customHeight="1">
      <ns0:c r="A45" s="68" t="n">
        <ns0:v>37</ns0:v>
      </ns0:c>
      <ns0:c r="B45" s="69" t="inlineStr">
        <ns0:is>
          <ns0:t>0x00000090</ns0:t>
        </ns0:is>
      </ns0:c>
      <ns0:c r="C45" s="69" t="inlineStr">
        <ns0:is>
          <ns0:t>0x03600413</ns0:t>
        </ns0:is>
      </ns0:c>
      <ns0:c r="D45" s="70" t="inlineStr">
        <ns0:is>
          <ns0:t>addi s0, zero, 54</ns0:t>
        </ns0:is>
      </ns0:c>
      <ns0:c r="E45" s="71" t="inlineStr">
        <ns0:is>
          <ns0:t>addi</ns0:t>
        </ns0:is>
      </ns0:c>
      <ns0:c r="F45" s="71" t="inlineStr">
        <ns0:is>
          <ns0:t>I</ns0:t>
        </ns0:is>
      </ns0:c>
      <ns0:c r="G45" s="71" t="n">
        <ns0:v>0</ns0:v>
      </ns0:c>
      <ns0:c r="H45" s="71" t="n">
        <ns0:v>54</ns0:v>
      </ns0:c>
      <ns0:c r="I45" s="72" t="inlineStr">
        <ns0:is>
          <ns0:t>—</ns0:t>
        </ns0:is>
      </ns0:c>
      <ns0:c r="J45" s="72" t="inlineStr">
        <ns0:is>
          <ns0:t>00000011011000000000010000010011</ns0:t>
        </ns0:is>
      </ns0:c>
      <ns0:c r="K45" s="73" t="inlineStr">
        <ns0:is>
          <ns0:t>s0 ← zero + (+54); арифметика RV32I по модулю 2³².</ns0:t>
        </ns0:is>
      </ns0:c>
      <ns0:c r="L45" s="70" t="inlineStr">
        <ns0:is>
          <ns0:t>Только ROM</ns0:t>
        </ns0:is>
      </ns0:c>
      <ns0:c r="M45" s="74" t="inlineStr">
        <ns0:is>
          <ns0:t>31–20
000000110110
imm[11:0]</ns0:t>
        </ns0:is>
      </ns0:c>
      <ns0:c r="N45" s="75" t="inlineStr">
        <ns0:is>
          <ns0:t>19–15
00000
rs1</ns0:t>
        </ns0:is>
      </ns0:c>
      <ns0:c r="O45" s="83" t="inlineStr">
        <ns0:is>
          <ns0:t>14–12
000
funct3</ns0:t>
        </ns0:is>
      </ns0:c>
      <ns0:c r="P45" s="75" t="inlineStr">
        <ns0:is>
          <ns0:t>11–7
01000
rd</ns0:t>
        </ns0:is>
      </ns0:c>
      <ns0:c r="Q45" s="76" t="inlineStr">
        <ns0:is>
          <ns0:t>6–0
0010011
opcode</ns0:t>
        </ns0:is>
      </ns0:c>
    </ns0:row>
    <ns0:row r="46" ht="52" customHeight="1">
      <ns0:c r="A46" s="77" t="n">
        <ns0:v>38</ns0:v>
      </ns0:c>
      <ns0:c r="B46" s="78" t="inlineStr">
        <ns0:is>
          <ns0:t>0x00000094</ns0:t>
        </ns0:is>
      </ns0:c>
      <ns0:c r="C46" s="78" t="inlineStr">
        <ns0:is>
          <ns0:t>0x068E0063</ns0:t>
        </ns0:is>
      </ns0:c>
      <ns0:c r="D46" s="79" t="inlineStr">
        <ns0:is>
          <ns0:t>beq t3, s0, 0x000000f4</ns0:t>
        </ns0:is>
      </ns0:c>
      <ns0:c r="E46" s="80" t="inlineStr">
        <ns0:is>
          <ns0:t>beq</ns0:t>
        </ns0:is>
      </ns0:c>
      <ns0:c r="F46" s="80" t="inlineStr">
        <ns0:is>
          <ns0:t>B</ns0:t>
        </ns0:is>
      </ns0:c>
      <ns0:c r="G46" s="80" t="n">
        <ns0:v>0</ns0:v>
      </ns0:c>
      <ns0:c r="H46" s="80" t="n">
        <ns0:v>96</ns0:v>
      </ns0:c>
      <ns0:c r="I46" s="81" t="inlineStr">
        <ns0:is>
          <ns0:t>0x000000F4</ns0:t>
        </ns0:is>
      </ns0:c>
      <ns0:c r="J46" s="81" t="inlineStr">
        <ns0:is>
          <ns0:t>00000110100011100000000001100011</ns0:t>
        </ns0:is>
      </ns0:c>
      <ns0:c r="K46" s="82" t="inlineStr">
        <ns0:is>
          <ns0:t>Если t3 = s0, PC ← 0x000000F4; иначе PC ← PC+4. Смещение +96 байт.</ns0:t>
        </ns0:is>
      </ns0:c>
      <ns0:c r="L46" s="79" t="inlineStr">
        <ns0:is>
          <ns0:t>Только ROM</ns0:t>
        </ns0:is>
      </ns0:c>
      <ns0:c r="M46" s="74" t="inlineStr">
        <ns0:is>
          <ns0:t>31
0
imm[12]</ns0:t>
        </ns0:is>
      </ns0:c>
      <ns0:c r="N46" s="74" t="inlineStr">
        <ns0:is>
          <ns0:t>30–25
000011
imm[10:5]</ns0:t>
        </ns0:is>
      </ns0:c>
      <ns0:c r="O46" s="75" t="inlineStr">
        <ns0:is>
          <ns0:t>24–20
01000
rs2</ns0:t>
        </ns0:is>
      </ns0:c>
      <ns0:c r="P46" s="75" t="inlineStr">
        <ns0:is>
          <ns0:t>19–15
11100
rs1</ns0:t>
        </ns0:is>
      </ns0:c>
      <ns0:c r="Q46" s="83" t="inlineStr">
        <ns0:is>
          <ns0:t>14–12
000
funct3</ns0:t>
        </ns0:is>
      </ns0:c>
      <ns0:c r="R46" s="74" t="inlineStr">
        <ns0:is>
          <ns0:t>11–8
0000
imm[4:1]</ns0:t>
        </ns0:is>
      </ns0:c>
      <ns0:c r="S46" s="74" t="inlineStr">
        <ns0:is>
          <ns0:t>7
0
imm[11]</ns0:t>
        </ns0:is>
      </ns0:c>
      <ns0:c r="T46" s="76" t="inlineStr">
        <ns0:is>
          <ns0:t>6–0
1100011
opcode</ns0:t>
        </ns0:is>
      </ns0:c>
    </ns0:row>
    <ns0:row r="47" ht="52" customHeight="1">
      <ns0:c r="A47" s="68" t="n">
        <ns0:v>39</ns0:v>
      </ns0:c>
      <ns0:c r="B47" s="69" t="inlineStr">
        <ns0:is>
          <ns0:t>0x00000098</ns0:t>
        </ns0:is>
      </ns0:c>
      <ns0:c r="C47" s="69" t="inlineStr">
        <ns0:is>
          <ns0:t>0x00A00413</ns0:t>
        </ns0:is>
      </ns0:c>
      <ns0:c r="D47" s="70" t="inlineStr">
        <ns0:is>
          <ns0:t>addi s0, zero, 10</ns0:t>
        </ns0:is>
      </ns0:c>
      <ns0:c r="E47" s="71" t="inlineStr">
        <ns0:is>
          <ns0:t>addi</ns0:t>
        </ns0:is>
      </ns0:c>
      <ns0:c r="F47" s="71" t="inlineStr">
        <ns0:is>
          <ns0:t>I</ns0:t>
        </ns0:is>
      </ns0:c>
      <ns0:c r="G47" s="71" t="n">
        <ns0:v>0</ns0:v>
      </ns0:c>
      <ns0:c r="H47" s="71" t="n">
        <ns0:v>10</ns0:v>
      </ns0:c>
      <ns0:c r="I47" s="72" t="inlineStr">
        <ns0:is>
          <ns0:t>—</ns0:t>
        </ns0:is>
      </ns0:c>
      <ns0:c r="J47" s="72" t="inlineStr">
        <ns0:is>
          <ns0:t>00000000101000000000010000010011</ns0:t>
        </ns0:is>
      </ns0:c>
      <ns0:c r="K47" s="73" t="inlineStr">
        <ns0:is>
          <ns0:t>s0 ← zero + (+10); арифметика RV32I по модулю 2³².</ns0:t>
        </ns0:is>
      </ns0:c>
      <ns0:c r="L47" s="70" t="inlineStr">
        <ns0:is>
          <ns0:t>Только ROM</ns0:t>
        </ns0:is>
      </ns0:c>
      <ns0:c r="M47" s="74" t="inlineStr">
        <ns0:is>
          <ns0:t>31–20
000000001010
imm[11:0]</ns0:t>
        </ns0:is>
      </ns0:c>
      <ns0:c r="N47" s="75" t="inlineStr">
        <ns0:is>
          <ns0:t>19–15
00000
rs1</ns0:t>
        </ns0:is>
      </ns0:c>
      <ns0:c r="O47" s="83" t="inlineStr">
        <ns0:is>
          <ns0:t>14–12
000
funct3</ns0:t>
        </ns0:is>
      </ns0:c>
      <ns0:c r="P47" s="75" t="inlineStr">
        <ns0:is>
          <ns0:t>11–7
01000
rd</ns0:t>
        </ns0:is>
      </ns0:c>
      <ns0:c r="Q47" s="76" t="inlineStr">
        <ns0:is>
          <ns0:t>6–0
0010011
opcode</ns0:t>
        </ns0:is>
      </ns0:c>
    </ns0:row>
    <ns0:row r="48" ht="52" customHeight="1">
      <ns0:c r="A48" s="77" t="n">
        <ns0:v>40</ns0:v>
      </ns0:c>
      <ns0:c r="B48" s="78" t="inlineStr">
        <ns0:is>
          <ns0:t>0x0000009C</ns0:t>
        </ns0:is>
      </ns0:c>
      <ns0:c r="C48" s="78" t="inlineStr">
        <ns0:is>
          <ns0:t>0xF88E0EE3</ns0:t>
        </ns0:is>
      </ns0:c>
      <ns0:c r="D48" s="79" t="inlineStr">
        <ns0:is>
          <ns0:t>beq t3, s0, 0x00000038</ns0:t>
        </ns0:is>
      </ns0:c>
      <ns0:c r="E48" s="80" t="inlineStr">
        <ns0:is>
          <ns0:t>beq</ns0:t>
        </ns0:is>
      </ns0:c>
      <ns0:c r="F48" s="80" t="inlineStr">
        <ns0:is>
          <ns0:t>B</ns0:t>
        </ns0:is>
      </ns0:c>
      <ns0:c r="G48" s="80" t="n">
        <ns0:v>0</ns0:v>
      </ns0:c>
      <ns0:c r="H48" s="80" t="n">
        <ns0:v>-100</ns0:v>
      </ns0:c>
      <ns0:c r="I48" s="81" t="inlineStr">
        <ns0:is>
          <ns0:t>0x00000038</ns0:t>
        </ns0:is>
      </ns0:c>
      <ns0:c r="J48" s="81" t="inlineStr">
        <ns0:is>
          <ns0:t>11111000100011100000111011100011</ns0:t>
        </ns0:is>
      </ns0:c>
      <ns0:c r="K48" s="82" t="inlineStr">
        <ns0:is>
          <ns0:t>Если t3 = s0, PC ← 0x00000038; иначе PC ← PC+4. Смещение -100 байт.</ns0:t>
        </ns0:is>
      </ns0:c>
      <ns0:c r="L48" s="79" t="inlineStr">
        <ns0:is>
          <ns0:t>Только ROM</ns0:t>
        </ns0:is>
      </ns0:c>
      <ns0:c r="M48" s="74" t="inlineStr">
        <ns0:is>
          <ns0:t>31
1
imm[12]</ns0:t>
        </ns0:is>
      </ns0:c>
      <ns0:c r="N48" s="74" t="inlineStr">
        <ns0:is>
          <ns0:t>30–25
111100
imm[10:5]</ns0:t>
        </ns0:is>
      </ns0:c>
      <ns0:c r="O48" s="75" t="inlineStr">
        <ns0:is>
          <ns0:t>24–20
01000
rs2</ns0:t>
        </ns0:is>
      </ns0:c>
      <ns0:c r="P48" s="75" t="inlineStr">
        <ns0:is>
          <ns0:t>19–15
11100
rs1</ns0:t>
        </ns0:is>
      </ns0:c>
      <ns0:c r="Q48" s="83" t="inlineStr">
        <ns0:is>
          <ns0:t>14–12
000
funct3</ns0:t>
        </ns0:is>
      </ns0:c>
      <ns0:c r="R48" s="74" t="inlineStr">
        <ns0:is>
          <ns0:t>11–8
1110
imm[4:1]</ns0:t>
        </ns0:is>
      </ns0:c>
      <ns0:c r="S48" s="74" t="inlineStr">
        <ns0:is>
          <ns0:t>7
1
imm[11]</ns0:t>
        </ns0:is>
      </ns0:c>
      <ns0:c r="T48" s="76" t="inlineStr">
        <ns0:is>
          <ns0:t>6–0
1100011
opcode</ns0:t>
        </ns0:is>
      </ns0:c>
    </ns0:row>
    <ns0:row r="49" ht="52" customHeight="1">
      <ns0:c r="A49" s="68" t="n">
        <ns0:v>41</ns0:v>
      </ns0:c>
      <ns0:c r="B49" s="69" t="inlineStr">
        <ns0:is>
          <ns0:t>0x000000A0</ns0:t>
        </ns0:is>
      </ns0:c>
      <ns0:c r="C49" s="69" t="inlineStr">
        <ns0:is>
          <ns0:t>0x00D00413</ns0:t>
        </ns0:is>
      </ns0:c>
      <ns0:c r="D49" s="70" t="inlineStr">
        <ns0:is>
          <ns0:t>addi s0, zero, 13</ns0:t>
        </ns0:is>
      </ns0:c>
      <ns0:c r="E49" s="71" t="inlineStr">
        <ns0:is>
          <ns0:t>addi</ns0:t>
        </ns0:is>
      </ns0:c>
      <ns0:c r="F49" s="71" t="inlineStr">
        <ns0:is>
          <ns0:t>I</ns0:t>
        </ns0:is>
      </ns0:c>
      <ns0:c r="G49" s="71" t="n">
        <ns0:v>0</ns0:v>
      </ns0:c>
      <ns0:c r="H49" s="71" t="n">
        <ns0:v>13</ns0:v>
      </ns0:c>
      <ns0:c r="I49" s="72" t="inlineStr">
        <ns0:is>
          <ns0:t>—</ns0:t>
        </ns0:is>
      </ns0:c>
      <ns0:c r="J49" s="72" t="inlineStr">
        <ns0:is>
          <ns0:t>00000000110100000000010000010011</ns0:t>
        </ns0:is>
      </ns0:c>
      <ns0:c r="K49" s="73" t="inlineStr">
        <ns0:is>
          <ns0:t>s0 ← zero + (+13); арифметика RV32I по модулю 2³².</ns0:t>
        </ns0:is>
      </ns0:c>
      <ns0:c r="L49" s="70" t="inlineStr">
        <ns0:is>
          <ns0:t>Только ROM</ns0:t>
        </ns0:is>
      </ns0:c>
      <ns0:c r="M49" s="74" t="inlineStr">
        <ns0:is>
          <ns0:t>31–20
000000001101
imm[11:0]</ns0:t>
        </ns0:is>
      </ns0:c>
      <ns0:c r="N49" s="75" t="inlineStr">
        <ns0:is>
          <ns0:t>19–15
00000
rs1</ns0:t>
        </ns0:is>
      </ns0:c>
      <ns0:c r="O49" s="83" t="inlineStr">
        <ns0:is>
          <ns0:t>14–12
000
funct3</ns0:t>
        </ns0:is>
      </ns0:c>
      <ns0:c r="P49" s="75" t="inlineStr">
        <ns0:is>
          <ns0:t>11–7
01000
rd</ns0:t>
        </ns0:is>
      </ns0:c>
      <ns0:c r="Q49" s="76" t="inlineStr">
        <ns0:is>
          <ns0:t>6–0
0010011
opcode</ns0:t>
        </ns0:is>
      </ns0:c>
    </ns0:row>
    <ns0:row r="50" ht="52" customHeight="1">
      <ns0:c r="A50" s="77" t="n">
        <ns0:v>42</ns0:v>
      </ns0:c>
      <ns0:c r="B50" s="78" t="inlineStr">
        <ns0:is>
          <ns0:t>0x000000A4</ns0:t>
        </ns0:is>
      </ns0:c>
      <ns0:c r="C50" s="78" t="inlineStr">
        <ns0:is>
          <ns0:t>0xF88E0AE3</ns0:t>
        </ns0:is>
      </ns0:c>
      <ns0:c r="D50" s="79" t="inlineStr">
        <ns0:is>
          <ns0:t>beq t3, s0, 0x00000038</ns0:t>
        </ns0:is>
      </ns0:c>
      <ns0:c r="E50" s="80" t="inlineStr">
        <ns0:is>
          <ns0:t>beq</ns0:t>
        </ns0:is>
      </ns0:c>
      <ns0:c r="F50" s="80" t="inlineStr">
        <ns0:is>
          <ns0:t>B</ns0:t>
        </ns0:is>
      </ns0:c>
      <ns0:c r="G50" s="80" t="n">
        <ns0:v>0</ns0:v>
      </ns0:c>
      <ns0:c r="H50" s="80" t="n">
        <ns0:v>-108</ns0:v>
      </ns0:c>
      <ns0:c r="I50" s="81" t="inlineStr">
        <ns0:is>
          <ns0:t>0x00000038</ns0:t>
        </ns0:is>
      </ns0:c>
      <ns0:c r="J50" s="81" t="inlineStr">
        <ns0:is>
          <ns0:t>11111000100011100000101011100011</ns0:t>
        </ns0:is>
      </ns0:c>
      <ns0:c r="K50" s="82" t="inlineStr">
        <ns0:is>
          <ns0:t>Если t3 = s0, PC ← 0x00000038; иначе PC ← PC+4. Смещение -108 байт.</ns0:t>
        </ns0:is>
      </ns0:c>
      <ns0:c r="L50" s="79" t="inlineStr">
        <ns0:is>
          <ns0:t>Только ROM</ns0:t>
        </ns0:is>
      </ns0:c>
      <ns0:c r="M50" s="74" t="inlineStr">
        <ns0:is>
          <ns0:t>31
1
imm[12]</ns0:t>
        </ns0:is>
      </ns0:c>
      <ns0:c r="N50" s="74" t="inlineStr">
        <ns0:is>
          <ns0:t>30–25
111100
imm[10:5]</ns0:t>
        </ns0:is>
      </ns0:c>
      <ns0:c r="O50" s="75" t="inlineStr">
        <ns0:is>
          <ns0:t>24–20
01000
rs2</ns0:t>
        </ns0:is>
      </ns0:c>
      <ns0:c r="P50" s="75" t="inlineStr">
        <ns0:is>
          <ns0:t>19–15
11100
rs1</ns0:t>
        </ns0:is>
      </ns0:c>
      <ns0:c r="Q50" s="83" t="inlineStr">
        <ns0:is>
          <ns0:t>14–12
000
funct3</ns0:t>
        </ns0:is>
      </ns0:c>
      <ns0:c r="R50" s="74" t="inlineStr">
        <ns0:is>
          <ns0:t>11–8
1010
imm[4:1]</ns0:t>
        </ns0:is>
      </ns0:c>
      <ns0:c r="S50" s="74" t="inlineStr">
        <ns0:is>
          <ns0:t>7
1
imm[11]</ns0:t>
        </ns0:is>
      </ns0:c>
      <ns0:c r="T50" s="76" t="inlineStr">
        <ns0:is>
          <ns0:t>6–0
1100011
opcode</ns0:t>
        </ns0:is>
      </ns0:c>
    </ns0:row>
    <ns0:row r="51" ht="52" customHeight="1">
      <ns0:c r="A51" s="68" t="n">
        <ns0:v>43</ns0:v>
      </ns0:c>
      <ns0:c r="B51" s="69" t="inlineStr">
        <ns0:is>
          <ns0:t>0x000000A8</ns0:t>
        </ns0:is>
      </ns0:c>
      <ns0:c r="C51" s="69" t="inlineStr">
        <ns0:is>
          <ns0:t>0x1040006F</ns0:t>
        </ns0:is>
      </ns0:c>
      <ns0:c r="D51" s="70" t="inlineStr">
        <ns0:is>
          <ns0:t>jal zero, 0x000001ac</ns0:t>
        </ns0:is>
      </ns0:c>
      <ns0:c r="E51" s="71" t="inlineStr">
        <ns0:is>
          <ns0:t>jal</ns0:t>
        </ns0:is>
      </ns0:c>
      <ns0:c r="F51" s="71" t="inlineStr">
        <ns0:is>
          <ns0:t>J</ns0:t>
        </ns0:is>
      </ns0:c>
      <ns0:c r="G51" s="71" t="n">
        <ns0:v>0</ns0:v>
      </ns0:c>
      <ns0:c r="H51" s="71" t="n">
        <ns0:v>260</ns0:v>
      </ns0:c>
      <ns0:c r="I51" s="72" t="inlineStr">
        <ns0:is>
          <ns0:t>0x000001AC</ns0:t>
        </ns0:is>
      </ns0:c>
      <ns0:c r="J51" s="72" t="inlineStr">
        <ns0:is>
          <ns0:t>00010000010000000000000001101111</ns0:t>
        </ns0:is>
      </ns0:c>
      <ns0:c r="K51" s="73" t="inlineStr">
        <ns0:is>
          <ns0:t>PC ← 0x000001AC; rd (zero) ← PC+4. Смещение +260 байт относительно PC.</ns0:t>
        </ns0:is>
      </ns0:c>
      <ns0:c r="L51" s="70" t="inlineStr">
        <ns0:is>
          <ns0:t>Только ROM</ns0:t>
        </ns0:is>
      </ns0:c>
      <ns0:c r="M51" s="74" t="inlineStr">
        <ns0:is>
          <ns0:t>31
0
imm[20]</ns0:t>
        </ns0:is>
      </ns0:c>
      <ns0:c r="N51" s="74" t="inlineStr">
        <ns0:is>
          <ns0:t>30–21
0010000010
imm[10:1]</ns0:t>
        </ns0:is>
      </ns0:c>
      <ns0:c r="O51" s="74" t="inlineStr">
        <ns0:is>
          <ns0:t>20
0
imm[11]</ns0:t>
        </ns0:is>
      </ns0:c>
      <ns0:c r="P51" s="74" t="inlineStr">
        <ns0:is>
          <ns0:t>19–12
00000000
imm[19:12]</ns0:t>
        </ns0:is>
      </ns0:c>
      <ns0:c r="Q51" s="75" t="inlineStr">
        <ns0:is>
          <ns0:t>11–7
00000
rd</ns0:t>
        </ns0:is>
      </ns0:c>
      <ns0:c r="R51" s="76" t="inlineStr">
        <ns0:is>
          <ns0:t>6–0
1101111
opcode</ns0:t>
        </ns0:is>
      </ns0:c>
    </ns0:row>
    <ns0:row r="52" ht="52" customHeight="1">
      <ns0:c r="A52" s="77" t="n">
        <ns0:v>44</ns0:v>
      </ns0:c>
      <ns0:c r="B52" s="78" t="inlineStr">
        <ns0:is>
          <ns0:t>0x000000AC</ns0:t>
        </ns0:is>
      </ns0:c>
      <ns0:c r="C52" s="84" t="inlineStr">
        <ns0:is>
          <ns0:t>0x00000E93</ns0:t>
        </ns0:is>
      </ns0:c>
      <ns0:c r="D52" s="79" t="inlineStr">
        <ns0:is>
          <ns0:t>addi t4, zero, 0</ns0:t>
        </ns0:is>
      </ns0:c>
      <ns0:c r="E52" s="80" t="inlineStr">
        <ns0:is>
          <ns0:t>addi</ns0:t>
        </ns0:is>
      </ns0:c>
      <ns0:c r="F52" s="80" t="inlineStr">
        <ns0:is>
          <ns0:t>I</ns0:t>
        </ns0:is>
      </ns0:c>
      <ns0:c r="G52" s="85" t="n">
        <ns0:v>6</ns0:v>
      </ns0:c>
      <ns0:c r="H52" s="80" t="n">
        <ns0:v>0</ns0:v>
      </ns0:c>
      <ns0:c r="I52" s="81" t="inlineStr">
        <ns0:is>
          <ns0:t>—</ns0:t>
        </ns0:is>
      </ns0:c>
      <ns0:c r="J52" s="81" t="inlineStr">
        <ns0:is>
          <ns0:t>00000000000000000000111010010011</ns0:t>
        </ns0:is>
      </ns0:c>
      <ns0:c r="K52" s="82" t="inlineStr">
        <ns0:is>
          <ns0:t>t4 ← zero + (+0); арифметика RV32I по модулю 2³².</ns0:t>
        </ns0:is>
      </ns0:c>
      <ns0:c r="L52" s="86" t="inlineStr">
        <ns0:is>
          <ns0:t>FETCH был</ns0:t>
        </ns0:is>
      </ns0:c>
      <ns0:c r="M52" s="74" t="inlineStr">
        <ns0:is>
          <ns0:t>31–20
000000000000
imm[11:0]</ns0:t>
        </ns0:is>
      </ns0:c>
      <ns0:c r="N52" s="75" t="inlineStr">
        <ns0:is>
          <ns0:t>19–15
00000
rs1</ns0:t>
        </ns0:is>
      </ns0:c>
      <ns0:c r="O52" s="83" t="inlineStr">
        <ns0:is>
          <ns0:t>14–12
000
funct3</ns0:t>
        </ns0:is>
      </ns0:c>
      <ns0:c r="P52" s="75" t="inlineStr">
        <ns0:is>
          <ns0:t>11–7
11101
rd</ns0:t>
        </ns0:is>
      </ns0:c>
      <ns0:c r="Q52" s="76" t="inlineStr">
        <ns0:is>
          <ns0:t>6–0
0010011
opcode</ns0:t>
        </ns0:is>
      </ns0:c>
    </ns0:row>
    <ns0:row r="53" ht="52" customHeight="1">
      <ns0:c r="A53" s="68" t="n">
        <ns0:v>45</ns0:v>
      </ns0:c>
      <ns0:c r="B53" s="69" t="inlineStr">
        <ns0:is>
          <ns0:t>0x000000B0</ns0:t>
        </ns0:is>
      </ns0:c>
      <ns0:c r="C53" s="84" t="inlineStr">
        <ns0:is>
          <ns0:t>0x03000F13</ns0:t>
        </ns0:is>
      </ns0:c>
      <ns0:c r="D53" s="70" t="inlineStr">
        <ns0:is>
          <ns0:t>addi t5, zero, 48</ns0:t>
        </ns0:is>
      </ns0:c>
      <ns0:c r="E53" s="71" t="inlineStr">
        <ns0:is>
          <ns0:t>addi</ns0:t>
        </ns0:is>
      </ns0:c>
      <ns0:c r="F53" s="71" t="inlineStr">
        <ns0:is>
          <ns0:t>I</ns0:t>
        </ns0:is>
      </ns0:c>
      <ns0:c r="G53" s="85" t="n">
        <ns0:v>6</ns0:v>
      </ns0:c>
      <ns0:c r="H53" s="71" t="n">
        <ns0:v>48</ns0:v>
      </ns0:c>
      <ns0:c r="I53" s="72" t="inlineStr">
        <ns0:is>
          <ns0:t>—</ns0:t>
        </ns0:is>
      </ns0:c>
      <ns0:c r="J53" s="72" t="inlineStr">
        <ns0:is>
          <ns0:t>00000011000000000000111100010011</ns0:t>
        </ns0:is>
      </ns0:c>
      <ns0:c r="K53" s="73" t="inlineStr">
        <ns0:is>
          <ns0:t>t5 ← zero + (+48); арифметика RV32I по модулю 2³².</ns0:t>
        </ns0:is>
      </ns0:c>
      <ns0:c r="L53" s="86" t="inlineStr">
        <ns0:is>
          <ns0:t>FETCH был</ns0:t>
        </ns0:is>
      </ns0:c>
      <ns0:c r="M53" s="74" t="inlineStr">
        <ns0:is>
          <ns0:t>31–20
000000110000
imm[11:0]</ns0:t>
        </ns0:is>
      </ns0:c>
      <ns0:c r="N53" s="75" t="inlineStr">
        <ns0:is>
          <ns0:t>19–15
00000
rs1</ns0:t>
        </ns0:is>
      </ns0:c>
      <ns0:c r="O53" s="83" t="inlineStr">
        <ns0:is>
          <ns0:t>14–12
000
funct3</ns0:t>
        </ns0:is>
      </ns0:c>
      <ns0:c r="P53" s="75" t="inlineStr">
        <ns0:is>
          <ns0:t>11–7
11110
rd</ns0:t>
        </ns0:is>
      </ns0:c>
      <ns0:c r="Q53" s="76" t="inlineStr">
        <ns0:is>
          <ns0:t>6–0
0010011
opcode</ns0:t>
        </ns0:is>
      </ns0:c>
    </ns0:row>
    <ns0:row r="54" ht="52" customHeight="1">
      <ns0:c r="A54" s="77" t="n">
        <ns0:v>46</ns0:v>
      </ns0:c>
      <ns0:c r="B54" s="78" t="inlineStr">
        <ns0:is>
          <ns0:t>0x000000B4</ns0:t>
        </ns0:is>
      </ns0:c>
      <ns0:c r="C54" s="84" t="inlineStr">
        <ns0:is>
          <ns0:t>0x04C0006F</ns0:t>
        </ns0:is>
      </ns0:c>
      <ns0:c r="D54" s="79" t="inlineStr">
        <ns0:is>
          <ns0:t>jal zero, 0x00000100</ns0:t>
        </ns0:is>
      </ns0:c>
      <ns0:c r="E54" s="80" t="inlineStr">
        <ns0:is>
          <ns0:t>jal</ns0:t>
        </ns0:is>
      </ns0:c>
      <ns0:c r="F54" s="80" t="inlineStr">
        <ns0:is>
          <ns0:t>J</ns0:t>
        </ns0:is>
      </ns0:c>
      <ns0:c r="G54" s="85" t="n">
        <ns0:v>6</ns0:v>
      </ns0:c>
      <ns0:c r="H54" s="80" t="n">
        <ns0:v>76</ns0:v>
      </ns0:c>
      <ns0:c r="I54" s="81" t="inlineStr">
        <ns0:is>
          <ns0:t>0x00000100</ns0:t>
        </ns0:is>
      </ns0:c>
      <ns0:c r="J54" s="81" t="inlineStr">
        <ns0:is>
          <ns0:t>00000100110000000000000001101111</ns0:t>
        </ns0:is>
      </ns0:c>
      <ns0:c r="K54" s="82" t="inlineStr">
        <ns0:is>
          <ns0:t>PC ← 0x00000100; rd (zero) ← PC+4. Смещение +76 байт относительно PC.</ns0:t>
        </ns0:is>
      </ns0:c>
      <ns0:c r="L54" s="86" t="inlineStr">
        <ns0:is>
          <ns0:t>FETCH был</ns0:t>
        </ns0:is>
      </ns0:c>
      <ns0:c r="M54" s="74" t="inlineStr">
        <ns0:is>
          <ns0:t>31
0
imm[20]</ns0:t>
        </ns0:is>
      </ns0:c>
      <ns0:c r="N54" s="74" t="inlineStr">
        <ns0:is>
          <ns0:t>30–21
0000100110
imm[10:1]</ns0:t>
        </ns0:is>
      </ns0:c>
      <ns0:c r="O54" s="74" t="inlineStr">
        <ns0:is>
          <ns0:t>20
0
imm[11]</ns0:t>
        </ns0:is>
      </ns0:c>
      <ns0:c r="P54" s="74" t="inlineStr">
        <ns0:is>
          <ns0:t>19–12
00000000
imm[19:12]</ns0:t>
        </ns0:is>
      </ns0:c>
      <ns0:c r="Q54" s="75" t="inlineStr">
        <ns0:is>
          <ns0:t>11–7
00000
rd</ns0:t>
        </ns0:is>
      </ns0:c>
      <ns0:c r="R54" s="76" t="inlineStr">
        <ns0:is>
          <ns0:t>6–0
1101111
opcode</ns0:t>
        </ns0:is>
      </ns0:c>
    </ns0:row>
    <ns0:row r="55" ht="52" customHeight="1">
      <ns0:c r="A55" s="68" t="n">
        <ns0:v>47</ns0:v>
      </ns0:c>
      <ns0:c r="B55" s="69" t="inlineStr">
        <ns0:is>
          <ns0:t>0x000000B8</ns0:t>
        </ns0:is>
      </ns0:c>
      <ns0:c r="C55" s="69" t="inlineStr">
        <ns0:is>
          <ns0:t>0x00100E93</ns0:t>
        </ns0:is>
      </ns0:c>
      <ns0:c r="D55" s="70" t="inlineStr">
        <ns0:is>
          <ns0:t>addi t4, zero, 1</ns0:t>
        </ns0:is>
      </ns0:c>
      <ns0:c r="E55" s="71" t="inlineStr">
        <ns0:is>
          <ns0:t>addi</ns0:t>
        </ns0:is>
      </ns0:c>
      <ns0:c r="F55" s="71" t="inlineStr">
        <ns0:is>
          <ns0:t>I</ns0:t>
        </ns0:is>
      </ns0:c>
      <ns0:c r="G55" s="71" t="n">
        <ns0:v>0</ns0:v>
      </ns0:c>
      <ns0:c r="H55" s="71" t="n">
        <ns0:v>1</ns0:v>
      </ns0:c>
      <ns0:c r="I55" s="72" t="inlineStr">
        <ns0:is>
          <ns0:t>—</ns0:t>
        </ns0:is>
      </ns0:c>
      <ns0:c r="J55" s="72" t="inlineStr">
        <ns0:is>
          <ns0:t>00000000000100000000111010010011</ns0:t>
        </ns0:is>
      </ns0:c>
      <ns0:c r="K55" s="73" t="inlineStr">
        <ns0:is>
          <ns0:t>t4 ← zero + (+1); арифметика RV32I по модулю 2³².</ns0:t>
        </ns0:is>
      </ns0:c>
      <ns0:c r="L55" s="70" t="inlineStr">
        <ns0:is>
          <ns0:t>Только ROM</ns0:t>
        </ns0:is>
      </ns0:c>
      <ns0:c r="M55" s="74" t="inlineStr">
        <ns0:is>
          <ns0:t>31–20
000000000001
imm[11:0]</ns0:t>
        </ns0:is>
      </ns0:c>
      <ns0:c r="N55" s="75" t="inlineStr">
        <ns0:is>
          <ns0:t>19–15
00000
rs1</ns0:t>
        </ns0:is>
      </ns0:c>
      <ns0:c r="O55" s="83" t="inlineStr">
        <ns0:is>
          <ns0:t>14–12
000
funct3</ns0:t>
        </ns0:is>
      </ns0:c>
      <ns0:c r="P55" s="75" t="inlineStr">
        <ns0:is>
          <ns0:t>11–7
11101
rd</ns0:t>
        </ns0:is>
      </ns0:c>
      <ns0:c r="Q55" s="76" t="inlineStr">
        <ns0:is>
          <ns0:t>6–0
0010011
opcode</ns0:t>
        </ns0:is>
      </ns0:c>
    </ns0:row>
    <ns0:row r="56" ht="52" customHeight="1">
      <ns0:c r="A56" s="77" t="n">
        <ns0:v>48</ns0:v>
      </ns0:c>
      <ns0:c r="B56" s="78" t="inlineStr">
        <ns0:is>
          <ns0:t>0x000000BC</ns0:t>
        </ns0:is>
      </ns0:c>
      <ns0:c r="C56" s="78" t="inlineStr">
        <ns0:is>
          <ns0:t>0x03100F13</ns0:t>
        </ns0:is>
      </ns0:c>
      <ns0:c r="D56" s="79" t="inlineStr">
        <ns0:is>
          <ns0:t>addi t5, zero, 49</ns0:t>
        </ns0:is>
      </ns0:c>
      <ns0:c r="E56" s="80" t="inlineStr">
        <ns0:is>
          <ns0:t>addi</ns0:t>
        </ns0:is>
      </ns0:c>
      <ns0:c r="F56" s="80" t="inlineStr">
        <ns0:is>
          <ns0:t>I</ns0:t>
        </ns0:is>
      </ns0:c>
      <ns0:c r="G56" s="80" t="n">
        <ns0:v>0</ns0:v>
      </ns0:c>
      <ns0:c r="H56" s="80" t="n">
        <ns0:v>49</ns0:v>
      </ns0:c>
      <ns0:c r="I56" s="81" t="inlineStr">
        <ns0:is>
          <ns0:t>—</ns0:t>
        </ns0:is>
      </ns0:c>
      <ns0:c r="J56" s="81" t="inlineStr">
        <ns0:is>
          <ns0:t>00000011000100000000111100010011</ns0:t>
        </ns0:is>
      </ns0:c>
      <ns0:c r="K56" s="82" t="inlineStr">
        <ns0:is>
          <ns0:t>t5 ← zero + (+49); арифметика RV32I по модулю 2³².</ns0:t>
        </ns0:is>
      </ns0:c>
      <ns0:c r="L56" s="79" t="inlineStr">
        <ns0:is>
          <ns0:t>Только ROM</ns0:t>
        </ns0:is>
      </ns0:c>
      <ns0:c r="M56" s="74" t="inlineStr">
        <ns0:is>
          <ns0:t>31–20
000000110001
imm[11:0]</ns0:t>
        </ns0:is>
      </ns0:c>
      <ns0:c r="N56" s="75" t="inlineStr">
        <ns0:is>
          <ns0:t>19–15
00000
rs1</ns0:t>
        </ns0:is>
      </ns0:c>
      <ns0:c r="O56" s="83" t="inlineStr">
        <ns0:is>
          <ns0:t>14–12
000
funct3</ns0:t>
        </ns0:is>
      </ns0:c>
      <ns0:c r="P56" s="75" t="inlineStr">
        <ns0:is>
          <ns0:t>11–7
11110
rd</ns0:t>
        </ns0:is>
      </ns0:c>
      <ns0:c r="Q56" s="76" t="inlineStr">
        <ns0:is>
          <ns0:t>6–0
0010011
opcode</ns0:t>
        </ns0:is>
      </ns0:c>
    </ns0:row>
    <ns0:row r="57" ht="52" customHeight="1">
      <ns0:c r="A57" s="68" t="n">
        <ns0:v>49</ns0:v>
      </ns0:c>
      <ns0:c r="B57" s="69" t="inlineStr">
        <ns0:is>
          <ns0:t>0x000000C0</ns0:t>
        </ns0:is>
      </ns0:c>
      <ns0:c r="C57" s="69" t="inlineStr">
        <ns0:is>
          <ns0:t>0x0400006F</ns0:t>
        </ns0:is>
      </ns0:c>
      <ns0:c r="D57" s="70" t="inlineStr">
        <ns0:is>
          <ns0:t>jal zero, 0x00000100</ns0:t>
        </ns0:is>
      </ns0:c>
      <ns0:c r="E57" s="71" t="inlineStr">
        <ns0:is>
          <ns0:t>jal</ns0:t>
        </ns0:is>
      </ns0:c>
      <ns0:c r="F57" s="71" t="inlineStr">
        <ns0:is>
          <ns0:t>J</ns0:t>
        </ns0:is>
      </ns0:c>
      <ns0:c r="G57" s="71" t="n">
        <ns0:v>0</ns0:v>
      </ns0:c>
      <ns0:c r="H57" s="71" t="n">
        <ns0:v>64</ns0:v>
      </ns0:c>
      <ns0:c r="I57" s="72" t="inlineStr">
        <ns0:is>
          <ns0:t>0x00000100</ns0:t>
        </ns0:is>
      </ns0:c>
      <ns0:c r="J57" s="72" t="inlineStr">
        <ns0:is>
          <ns0:t>00000100000000000000000001101111</ns0:t>
        </ns0:is>
      </ns0:c>
      <ns0:c r="K57" s="73" t="inlineStr">
        <ns0:is>
          <ns0:t>PC ← 0x00000100; rd (zero) ← PC+4. Смещение +64 байт относительно PC.</ns0:t>
        </ns0:is>
      </ns0:c>
      <ns0:c r="L57" s="70" t="inlineStr">
        <ns0:is>
          <ns0:t>Только ROM</ns0:t>
        </ns0:is>
      </ns0:c>
      <ns0:c r="M57" s="74" t="inlineStr">
        <ns0:is>
          <ns0:t>31
0
imm[20]</ns0:t>
        </ns0:is>
      </ns0:c>
      <ns0:c r="N57" s="74" t="inlineStr">
        <ns0:is>
          <ns0:t>30–21
0000100000
imm[10:1]</ns0:t>
        </ns0:is>
      </ns0:c>
      <ns0:c r="O57" s="74" t="inlineStr">
        <ns0:is>
          <ns0:t>20
0
imm[11]</ns0:t>
        </ns0:is>
      </ns0:c>
      <ns0:c r="P57" s="74" t="inlineStr">
        <ns0:is>
          <ns0:t>19–12
00000000
imm[19:12]</ns0:t>
        </ns0:is>
      </ns0:c>
      <ns0:c r="Q57" s="75" t="inlineStr">
        <ns0:is>
          <ns0:t>11–7
00000
rd</ns0:t>
        </ns0:is>
      </ns0:c>
      <ns0:c r="R57" s="76" t="inlineStr">
        <ns0:is>
          <ns0:t>6–0
1101111
opcode</ns0:t>
        </ns0:is>
      </ns0:c>
    </ns0:row>
    <ns0:row r="58" ht="52" customHeight="1">
      <ns0:c r="A58" s="77" t="n">
        <ns0:v>50</ns0:v>
      </ns0:c>
      <ns0:c r="B58" s="78" t="inlineStr">
        <ns0:is>
          <ns0:t>0x000000C4</ns0:t>
        </ns0:is>
      </ns0:c>
      <ns0:c r="C58" s="78" t="inlineStr">
        <ns0:is>
          <ns0:t>0x00200E93</ns0:t>
        </ns0:is>
      </ns0:c>
      <ns0:c r="D58" s="79" t="inlineStr">
        <ns0:is>
          <ns0:t>addi t4, zero, 2</ns0:t>
        </ns0:is>
      </ns0:c>
      <ns0:c r="E58" s="80" t="inlineStr">
        <ns0:is>
          <ns0:t>addi</ns0:t>
        </ns0:is>
      </ns0:c>
      <ns0:c r="F58" s="80" t="inlineStr">
        <ns0:is>
          <ns0:t>I</ns0:t>
        </ns0:is>
      </ns0:c>
      <ns0:c r="G58" s="80" t="n">
        <ns0:v>0</ns0:v>
      </ns0:c>
      <ns0:c r="H58" s="80" t="n">
        <ns0:v>2</ns0:v>
      </ns0:c>
      <ns0:c r="I58" s="81" t="inlineStr">
        <ns0:is>
          <ns0:t>—</ns0:t>
        </ns0:is>
      </ns0:c>
      <ns0:c r="J58" s="81" t="inlineStr">
        <ns0:is>
          <ns0:t>00000000001000000000111010010011</ns0:t>
        </ns0:is>
      </ns0:c>
      <ns0:c r="K58" s="82" t="inlineStr">
        <ns0:is>
          <ns0:t>t4 ← zero + (+2); арифметика RV32I по модулю 2³².</ns0:t>
        </ns0:is>
      </ns0:c>
      <ns0:c r="L58" s="79" t="inlineStr">
        <ns0:is>
          <ns0:t>Только ROM</ns0:t>
        </ns0:is>
      </ns0:c>
      <ns0:c r="M58" s="74" t="inlineStr">
        <ns0:is>
          <ns0:t>31–20
000000000010
imm[11:0]</ns0:t>
        </ns0:is>
      </ns0:c>
      <ns0:c r="N58" s="75" t="inlineStr">
        <ns0:is>
          <ns0:t>19–15
00000
rs1</ns0:t>
        </ns0:is>
      </ns0:c>
      <ns0:c r="O58" s="83" t="inlineStr">
        <ns0:is>
          <ns0:t>14–12
000
funct3</ns0:t>
        </ns0:is>
      </ns0:c>
      <ns0:c r="P58" s="75" t="inlineStr">
        <ns0:is>
          <ns0:t>11–7
11101
rd</ns0:t>
        </ns0:is>
      </ns0:c>
      <ns0:c r="Q58" s="76" t="inlineStr">
        <ns0:is>
          <ns0:t>6–0
0010011
opcode</ns0:t>
        </ns0:is>
      </ns0:c>
    </ns0:row>
    <ns0:row r="59" ht="52" customHeight="1">
      <ns0:c r="A59" s="68" t="n">
        <ns0:v>51</ns0:v>
      </ns0:c>
      <ns0:c r="B59" s="69" t="inlineStr">
        <ns0:is>
          <ns0:t>0x000000C8</ns0:t>
        </ns0:is>
      </ns0:c>
      <ns0:c r="C59" s="69" t="inlineStr">
        <ns0:is>
          <ns0:t>0x03200F13</ns0:t>
        </ns0:is>
      </ns0:c>
      <ns0:c r="D59" s="70" t="inlineStr">
        <ns0:is>
          <ns0:t>addi t5, zero, 50</ns0:t>
        </ns0:is>
      </ns0:c>
      <ns0:c r="E59" s="71" t="inlineStr">
        <ns0:is>
          <ns0:t>addi</ns0:t>
        </ns0:is>
      </ns0:c>
      <ns0:c r="F59" s="71" t="inlineStr">
        <ns0:is>
          <ns0:t>I</ns0:t>
        </ns0:is>
      </ns0:c>
      <ns0:c r="G59" s="71" t="n">
        <ns0:v>0</ns0:v>
      </ns0:c>
      <ns0:c r="H59" s="71" t="n">
        <ns0:v>50</ns0:v>
      </ns0:c>
      <ns0:c r="I59" s="72" t="inlineStr">
        <ns0:is>
          <ns0:t>—</ns0:t>
        </ns0:is>
      </ns0:c>
      <ns0:c r="J59" s="72" t="inlineStr">
        <ns0:is>
          <ns0:t>00000011001000000000111100010011</ns0:t>
        </ns0:is>
      </ns0:c>
      <ns0:c r="K59" s="73" t="inlineStr">
        <ns0:is>
          <ns0:t>t5 ← zero + (+50); арифметика RV32I по модулю 2³².</ns0:t>
        </ns0:is>
      </ns0:c>
      <ns0:c r="L59" s="70" t="inlineStr">
        <ns0:is>
          <ns0:t>Только ROM</ns0:t>
        </ns0:is>
      </ns0:c>
      <ns0:c r="M59" s="74" t="inlineStr">
        <ns0:is>
          <ns0:t>31–20
000000110010
imm[11:0]</ns0:t>
        </ns0:is>
      </ns0:c>
      <ns0:c r="N59" s="75" t="inlineStr">
        <ns0:is>
          <ns0:t>19–15
00000
rs1</ns0:t>
        </ns0:is>
      </ns0:c>
      <ns0:c r="O59" s="83" t="inlineStr">
        <ns0:is>
          <ns0:t>14–12
000
funct3</ns0:t>
        </ns0:is>
      </ns0:c>
      <ns0:c r="P59" s="75" t="inlineStr">
        <ns0:is>
          <ns0:t>11–7
11110
rd</ns0:t>
        </ns0:is>
      </ns0:c>
      <ns0:c r="Q59" s="76" t="inlineStr">
        <ns0:is>
          <ns0:t>6–0
0010011
opcode</ns0:t>
        </ns0:is>
      </ns0:c>
    </ns0:row>
    <ns0:row r="60" ht="52" customHeight="1">
      <ns0:c r="A60" s="77" t="n">
        <ns0:v>52</ns0:v>
      </ns0:c>
      <ns0:c r="B60" s="78" t="inlineStr">
        <ns0:is>
          <ns0:t>0x000000CC</ns0:t>
        </ns0:is>
      </ns0:c>
      <ns0:c r="C60" s="78" t="inlineStr">
        <ns0:is>
          <ns0:t>0x0340006F</ns0:t>
        </ns0:is>
      </ns0:c>
      <ns0:c r="D60" s="79" t="inlineStr">
        <ns0:is>
          <ns0:t>jal zero, 0x00000100</ns0:t>
        </ns0:is>
      </ns0:c>
      <ns0:c r="E60" s="80" t="inlineStr">
        <ns0:is>
          <ns0:t>jal</ns0:t>
        </ns0:is>
      </ns0:c>
      <ns0:c r="F60" s="80" t="inlineStr">
        <ns0:is>
          <ns0:t>J</ns0:t>
        </ns0:is>
      </ns0:c>
      <ns0:c r="G60" s="80" t="n">
        <ns0:v>0</ns0:v>
      </ns0:c>
      <ns0:c r="H60" s="80" t="n">
        <ns0:v>52</ns0:v>
      </ns0:c>
      <ns0:c r="I60" s="81" t="inlineStr">
        <ns0:is>
          <ns0:t>0x00000100</ns0:t>
        </ns0:is>
      </ns0:c>
      <ns0:c r="J60" s="81" t="inlineStr">
        <ns0:is>
          <ns0:t>00000011010000000000000001101111</ns0:t>
        </ns0:is>
      </ns0:c>
      <ns0:c r="K60" s="82" t="inlineStr">
        <ns0:is>
          <ns0:t>PC ← 0x00000100; rd (zero) ← PC+4. Смещение +52 байт относительно PC.</ns0:t>
        </ns0:is>
      </ns0:c>
      <ns0:c r="L60" s="79" t="inlineStr">
        <ns0:is>
          <ns0:t>Только ROM</ns0:t>
        </ns0:is>
      </ns0:c>
      <ns0:c r="M60" s="74" t="inlineStr">
        <ns0:is>
          <ns0:t>31
0
imm[20]</ns0:t>
        </ns0:is>
      </ns0:c>
      <ns0:c r="N60" s="74" t="inlineStr">
        <ns0:is>
          <ns0:t>30–21
0000011010
imm[10:1]</ns0:t>
        </ns0:is>
      </ns0:c>
      <ns0:c r="O60" s="74" t="inlineStr">
        <ns0:is>
          <ns0:t>20
0
imm[11]</ns0:t>
        </ns0:is>
      </ns0:c>
      <ns0:c r="P60" s="74" t="inlineStr">
        <ns0:is>
          <ns0:t>19–12
00000000
imm[19:12]</ns0:t>
        </ns0:is>
      </ns0:c>
      <ns0:c r="Q60" s="75" t="inlineStr">
        <ns0:is>
          <ns0:t>11–7
00000
rd</ns0:t>
        </ns0:is>
      </ns0:c>
      <ns0:c r="R60" s="76" t="inlineStr">
        <ns0:is>
          <ns0:t>6–0
1101111
opcode</ns0:t>
        </ns0:is>
      </ns0:c>
    </ns0:row>
    <ns0:row r="61" ht="52" customHeight="1">
      <ns0:c r="A61" s="68" t="n">
        <ns0:v>53</ns0:v>
      </ns0:c>
      <ns0:c r="B61" s="69" t="inlineStr">
        <ns0:is>
          <ns0:t>0x000000D0</ns0:t>
        </ns0:is>
      </ns0:c>
      <ns0:c r="C61" s="69" t="inlineStr">
        <ns0:is>
          <ns0:t>0x00400E93</ns0:t>
        </ns0:is>
      </ns0:c>
      <ns0:c r="D61" s="70" t="inlineStr">
        <ns0:is>
          <ns0:t>addi t4, zero, 4</ns0:t>
        </ns0:is>
      </ns0:c>
      <ns0:c r="E61" s="71" t="inlineStr">
        <ns0:is>
          <ns0:t>addi</ns0:t>
        </ns0:is>
      </ns0:c>
      <ns0:c r="F61" s="71" t="inlineStr">
        <ns0:is>
          <ns0:t>I</ns0:t>
        </ns0:is>
      </ns0:c>
      <ns0:c r="G61" s="71" t="n">
        <ns0:v>0</ns0:v>
      </ns0:c>
      <ns0:c r="H61" s="71" t="n">
        <ns0:v>4</ns0:v>
      </ns0:c>
      <ns0:c r="I61" s="72" t="inlineStr">
        <ns0:is>
          <ns0:t>—</ns0:t>
        </ns0:is>
      </ns0:c>
      <ns0:c r="J61" s="72" t="inlineStr">
        <ns0:is>
          <ns0:t>00000000010000000000111010010011</ns0:t>
        </ns0:is>
      </ns0:c>
      <ns0:c r="K61" s="73" t="inlineStr">
        <ns0:is>
          <ns0:t>t4 ← zero + (+4); арифметика RV32I по модулю 2³².</ns0:t>
        </ns0:is>
      </ns0:c>
      <ns0:c r="L61" s="70" t="inlineStr">
        <ns0:is>
          <ns0:t>Только ROM</ns0:t>
        </ns0:is>
      </ns0:c>
      <ns0:c r="M61" s="74" t="inlineStr">
        <ns0:is>
          <ns0:t>31–20
000000000100
imm[11:0]</ns0:t>
        </ns0:is>
      </ns0:c>
      <ns0:c r="N61" s="75" t="inlineStr">
        <ns0:is>
          <ns0:t>19–15
00000
rs1</ns0:t>
        </ns0:is>
      </ns0:c>
      <ns0:c r="O61" s="83" t="inlineStr">
        <ns0:is>
          <ns0:t>14–12
000
funct3</ns0:t>
        </ns0:is>
      </ns0:c>
      <ns0:c r="P61" s="75" t="inlineStr">
        <ns0:is>
          <ns0:t>11–7
11101
rd</ns0:t>
        </ns0:is>
      </ns0:c>
      <ns0:c r="Q61" s="76" t="inlineStr">
        <ns0:is>
          <ns0:t>6–0
0010011
opcode</ns0:t>
        </ns0:is>
      </ns0:c>
    </ns0:row>
    <ns0:row r="62" ht="52" customHeight="1">
      <ns0:c r="A62" s="77" t="n">
        <ns0:v>54</ns0:v>
      </ns0:c>
      <ns0:c r="B62" s="78" t="inlineStr">
        <ns0:is>
          <ns0:t>0x000000D4</ns0:t>
        </ns0:is>
      </ns0:c>
      <ns0:c r="C62" s="78" t="inlineStr">
        <ns0:is>
          <ns0:t>0x03300F13</ns0:t>
        </ns0:is>
      </ns0:c>
      <ns0:c r="D62" s="79" t="inlineStr">
        <ns0:is>
          <ns0:t>addi t5, zero, 51</ns0:t>
        </ns0:is>
      </ns0:c>
      <ns0:c r="E62" s="80" t="inlineStr">
        <ns0:is>
          <ns0:t>addi</ns0:t>
        </ns0:is>
      </ns0:c>
      <ns0:c r="F62" s="80" t="inlineStr">
        <ns0:is>
          <ns0:t>I</ns0:t>
        </ns0:is>
      </ns0:c>
      <ns0:c r="G62" s="80" t="n">
        <ns0:v>0</ns0:v>
      </ns0:c>
      <ns0:c r="H62" s="80" t="n">
        <ns0:v>51</ns0:v>
      </ns0:c>
      <ns0:c r="I62" s="81" t="inlineStr">
        <ns0:is>
          <ns0:t>—</ns0:t>
        </ns0:is>
      </ns0:c>
      <ns0:c r="J62" s="81" t="inlineStr">
        <ns0:is>
          <ns0:t>00000011001100000000111100010011</ns0:t>
        </ns0:is>
      </ns0:c>
      <ns0:c r="K62" s="82" t="inlineStr">
        <ns0:is>
          <ns0:t>t5 ← zero + (+51); арифметика RV32I по модулю 2³².</ns0:t>
        </ns0:is>
      </ns0:c>
      <ns0:c r="L62" s="79" t="inlineStr">
        <ns0:is>
          <ns0:t>Только ROM</ns0:t>
        </ns0:is>
      </ns0:c>
      <ns0:c r="M62" s="74" t="inlineStr">
        <ns0:is>
          <ns0:t>31–20
000000110011
imm[11:0]</ns0:t>
        </ns0:is>
      </ns0:c>
      <ns0:c r="N62" s="75" t="inlineStr">
        <ns0:is>
          <ns0:t>19–15
00000
rs1</ns0:t>
        </ns0:is>
      </ns0:c>
      <ns0:c r="O62" s="83" t="inlineStr">
        <ns0:is>
          <ns0:t>14–12
000
funct3</ns0:t>
        </ns0:is>
      </ns0:c>
      <ns0:c r="P62" s="75" t="inlineStr">
        <ns0:is>
          <ns0:t>11–7
11110
rd</ns0:t>
        </ns0:is>
      </ns0:c>
      <ns0:c r="Q62" s="76" t="inlineStr">
        <ns0:is>
          <ns0:t>6–0
0010011
opcode</ns0:t>
        </ns0:is>
      </ns0:c>
    </ns0:row>
    <ns0:row r="63" ht="52" customHeight="1">
      <ns0:c r="A63" s="68" t="n">
        <ns0:v>55</ns0:v>
      </ns0:c>
      <ns0:c r="B63" s="69" t="inlineStr">
        <ns0:is>
          <ns0:t>0x000000D8</ns0:t>
        </ns0:is>
      </ns0:c>
      <ns0:c r="C63" s="69" t="inlineStr">
        <ns0:is>
          <ns0:t>0x0280006F</ns0:t>
        </ns0:is>
      </ns0:c>
      <ns0:c r="D63" s="70" t="inlineStr">
        <ns0:is>
          <ns0:t>jal zero, 0x00000100</ns0:t>
        </ns0:is>
      </ns0:c>
      <ns0:c r="E63" s="71" t="inlineStr">
        <ns0:is>
          <ns0:t>jal</ns0:t>
        </ns0:is>
      </ns0:c>
      <ns0:c r="F63" s="71" t="inlineStr">
        <ns0:is>
          <ns0:t>J</ns0:t>
        </ns0:is>
      </ns0:c>
      <ns0:c r="G63" s="71" t="n">
        <ns0:v>0</ns0:v>
      </ns0:c>
      <ns0:c r="H63" s="71" t="n">
        <ns0:v>40</ns0:v>
      </ns0:c>
      <ns0:c r="I63" s="72" t="inlineStr">
        <ns0:is>
          <ns0:t>0x00000100</ns0:t>
        </ns0:is>
      </ns0:c>
      <ns0:c r="J63" s="72" t="inlineStr">
        <ns0:is>
          <ns0:t>00000010100000000000000001101111</ns0:t>
        </ns0:is>
      </ns0:c>
      <ns0:c r="K63" s="73" t="inlineStr">
        <ns0:is>
          <ns0:t>PC ← 0x00000100; rd (zero) ← PC+4. Смещение +40 байт относительно PC.</ns0:t>
        </ns0:is>
      </ns0:c>
      <ns0:c r="L63" s="70" t="inlineStr">
        <ns0:is>
          <ns0:t>Только ROM</ns0:t>
        </ns0:is>
      </ns0:c>
      <ns0:c r="M63" s="74" t="inlineStr">
        <ns0:is>
          <ns0:t>31
0
imm[20]</ns0:t>
        </ns0:is>
      </ns0:c>
      <ns0:c r="N63" s="74" t="inlineStr">
        <ns0:is>
          <ns0:t>30–21
0000010100
imm[10:1]</ns0:t>
        </ns0:is>
      </ns0:c>
      <ns0:c r="O63" s="74" t="inlineStr">
        <ns0:is>
          <ns0:t>20
0
imm[11]</ns0:t>
        </ns0:is>
      </ns0:c>
      <ns0:c r="P63" s="74" t="inlineStr">
        <ns0:is>
          <ns0:t>19–12
00000000
imm[19:12]</ns0:t>
        </ns0:is>
      </ns0:c>
      <ns0:c r="Q63" s="75" t="inlineStr">
        <ns0:is>
          <ns0:t>11–7
00000
rd</ns0:t>
        </ns0:is>
      </ns0:c>
      <ns0:c r="R63" s="76" t="inlineStr">
        <ns0:is>
          <ns0:t>6–0
1101111
opcode</ns0:t>
        </ns0:is>
      </ns0:c>
    </ns0:row>
    <ns0:row r="64" ht="52" customHeight="1">
      <ns0:c r="A64" s="77" t="n">
        <ns0:v>56</ns0:v>
      </ns0:c>
      <ns0:c r="B64" s="78" t="inlineStr">
        <ns0:is>
          <ns0:t>0x000000DC</ns0:t>
        </ns0:is>
      </ns0:c>
      <ns0:c r="C64" s="84" t="inlineStr">
        <ns0:is>
          <ns0:t>0x00800E93</ns0:t>
        </ns0:is>
      </ns0:c>
      <ns0:c r="D64" s="79" t="inlineStr">
        <ns0:is>
          <ns0:t>addi t4, zero, 8</ns0:t>
        </ns0:is>
      </ns0:c>
      <ns0:c r="E64" s="80" t="inlineStr">
        <ns0:is>
          <ns0:t>addi</ns0:t>
        </ns0:is>
      </ns0:c>
      <ns0:c r="F64" s="80" t="inlineStr">
        <ns0:is>
          <ns0:t>I</ns0:t>
        </ns0:is>
      </ns0:c>
      <ns0:c r="G64" s="85" t="n">
        <ns0:v>6</ns0:v>
      </ns0:c>
      <ns0:c r="H64" s="80" t="n">
        <ns0:v>8</ns0:v>
      </ns0:c>
      <ns0:c r="I64" s="81" t="inlineStr">
        <ns0:is>
          <ns0:t>—</ns0:t>
        </ns0:is>
      </ns0:c>
      <ns0:c r="J64" s="81" t="inlineStr">
        <ns0:is>
          <ns0:t>00000000100000000000111010010011</ns0:t>
        </ns0:is>
      </ns0:c>
      <ns0:c r="K64" s="82" t="inlineStr">
        <ns0:is>
          <ns0:t>t4 ← zero + (+8); арифметика RV32I по модулю 2³².</ns0:t>
        </ns0:is>
      </ns0:c>
      <ns0:c r="L64" s="86" t="inlineStr">
        <ns0:is>
          <ns0:t>FETCH был</ns0:t>
        </ns0:is>
      </ns0:c>
      <ns0:c r="M64" s="74" t="inlineStr">
        <ns0:is>
          <ns0:t>31–20
000000001000
imm[11:0]</ns0:t>
        </ns0:is>
      </ns0:c>
      <ns0:c r="N64" s="75" t="inlineStr">
        <ns0:is>
          <ns0:t>19–15
00000
rs1</ns0:t>
        </ns0:is>
      </ns0:c>
      <ns0:c r="O64" s="83" t="inlineStr">
        <ns0:is>
          <ns0:t>14–12
000
funct3</ns0:t>
        </ns0:is>
      </ns0:c>
      <ns0:c r="P64" s="75" t="inlineStr">
        <ns0:is>
          <ns0:t>11–7
11101
rd</ns0:t>
        </ns0:is>
      </ns0:c>
      <ns0:c r="Q64" s="76" t="inlineStr">
        <ns0:is>
          <ns0:t>6–0
0010011
opcode</ns0:t>
        </ns0:is>
      </ns0:c>
    </ns0:row>
    <ns0:row r="65" ht="52" customHeight="1">
      <ns0:c r="A65" s="68" t="n">
        <ns0:v>57</ns0:v>
      </ns0:c>
      <ns0:c r="B65" s="69" t="inlineStr">
        <ns0:is>
          <ns0:t>0x000000E0</ns0:t>
        </ns0:is>
      </ns0:c>
      <ns0:c r="C65" s="84" t="inlineStr">
        <ns0:is>
          <ns0:t>0x03400F13</ns0:t>
        </ns0:is>
      </ns0:c>
      <ns0:c r="D65" s="70" t="inlineStr">
        <ns0:is>
          <ns0:t>addi t5, zero, 52</ns0:t>
        </ns0:is>
      </ns0:c>
      <ns0:c r="E65" s="71" t="inlineStr">
        <ns0:is>
          <ns0:t>addi</ns0:t>
        </ns0:is>
      </ns0:c>
      <ns0:c r="F65" s="71" t="inlineStr">
        <ns0:is>
          <ns0:t>I</ns0:t>
        </ns0:is>
      </ns0:c>
      <ns0:c r="G65" s="85" t="n">
        <ns0:v>6</ns0:v>
      </ns0:c>
      <ns0:c r="H65" s="71" t="n">
        <ns0:v>52</ns0:v>
      </ns0:c>
      <ns0:c r="I65" s="72" t="inlineStr">
        <ns0:is>
          <ns0:t>—</ns0:t>
        </ns0:is>
      </ns0:c>
      <ns0:c r="J65" s="72" t="inlineStr">
        <ns0:is>
          <ns0:t>00000011010000000000111100010011</ns0:t>
        </ns0:is>
      </ns0:c>
      <ns0:c r="K65" s="73" t="inlineStr">
        <ns0:is>
          <ns0:t>t5 ← zero + (+52); арифметика RV32I по модулю 2³².</ns0:t>
        </ns0:is>
      </ns0:c>
      <ns0:c r="L65" s="86" t="inlineStr">
        <ns0:is>
          <ns0:t>FETCH был</ns0:t>
        </ns0:is>
      </ns0:c>
      <ns0:c r="M65" s="74" t="inlineStr">
        <ns0:is>
          <ns0:t>31–20
000000110100
imm[11:0]</ns0:t>
        </ns0:is>
      </ns0:c>
      <ns0:c r="N65" s="75" t="inlineStr">
        <ns0:is>
          <ns0:t>19–15
00000
rs1</ns0:t>
        </ns0:is>
      </ns0:c>
      <ns0:c r="O65" s="83" t="inlineStr">
        <ns0:is>
          <ns0:t>14–12
000
funct3</ns0:t>
        </ns0:is>
      </ns0:c>
      <ns0:c r="P65" s="75" t="inlineStr">
        <ns0:is>
          <ns0:t>11–7
11110
rd</ns0:t>
        </ns0:is>
      </ns0:c>
      <ns0:c r="Q65" s="76" t="inlineStr">
        <ns0:is>
          <ns0:t>6–0
0010011
opcode</ns0:t>
        </ns0:is>
      </ns0:c>
    </ns0:row>
    <ns0:row r="66" ht="52" customHeight="1">
      <ns0:c r="A66" s="77" t="n">
        <ns0:v>58</ns0:v>
      </ns0:c>
      <ns0:c r="B66" s="78" t="inlineStr">
        <ns0:is>
          <ns0:t>0x000000E4</ns0:t>
        </ns0:is>
      </ns0:c>
      <ns0:c r="C66" s="84" t="inlineStr">
        <ns0:is>
          <ns0:t>0x01C0006F</ns0:t>
        </ns0:is>
      </ns0:c>
      <ns0:c r="D66" s="79" t="inlineStr">
        <ns0:is>
          <ns0:t>jal zero, 0x00000100</ns0:t>
        </ns0:is>
      </ns0:c>
      <ns0:c r="E66" s="80" t="inlineStr">
        <ns0:is>
          <ns0:t>jal</ns0:t>
        </ns0:is>
      </ns0:c>
      <ns0:c r="F66" s="80" t="inlineStr">
        <ns0:is>
          <ns0:t>J</ns0:t>
        </ns0:is>
      </ns0:c>
      <ns0:c r="G66" s="85" t="n">
        <ns0:v>6</ns0:v>
      </ns0:c>
      <ns0:c r="H66" s="80" t="n">
        <ns0:v>28</ns0:v>
      </ns0:c>
      <ns0:c r="I66" s="81" t="inlineStr">
        <ns0:is>
          <ns0:t>0x00000100</ns0:t>
        </ns0:is>
      </ns0:c>
      <ns0:c r="J66" s="81" t="inlineStr">
        <ns0:is>
          <ns0:t>00000001110000000000000001101111</ns0:t>
        </ns0:is>
      </ns0:c>
      <ns0:c r="K66" s="82" t="inlineStr">
        <ns0:is>
          <ns0:t>PC ← 0x00000100; rd (zero) ← PC+4. Смещение +28 байт относительно PC.</ns0:t>
        </ns0:is>
      </ns0:c>
      <ns0:c r="L66" s="86" t="inlineStr">
        <ns0:is>
          <ns0:t>FETCH был</ns0:t>
        </ns0:is>
      </ns0:c>
      <ns0:c r="M66" s="74" t="inlineStr">
        <ns0:is>
          <ns0:t>31
0
imm[20]</ns0:t>
        </ns0:is>
      </ns0:c>
      <ns0:c r="N66" s="74" t="inlineStr">
        <ns0:is>
          <ns0:t>30–21
0000001110
imm[10:1]</ns0:t>
        </ns0:is>
      </ns0:c>
      <ns0:c r="O66" s="74" t="inlineStr">
        <ns0:is>
          <ns0:t>20
0
imm[11]</ns0:t>
        </ns0:is>
      </ns0:c>
      <ns0:c r="P66" s="74" t="inlineStr">
        <ns0:is>
          <ns0:t>19–12
00000000
imm[19:12]</ns0:t>
        </ns0:is>
      </ns0:c>
      <ns0:c r="Q66" s="75" t="inlineStr">
        <ns0:is>
          <ns0:t>11–7
00000
rd</ns0:t>
        </ns0:is>
      </ns0:c>
      <ns0:c r="R66" s="76" t="inlineStr">
        <ns0:is>
          <ns0:t>6–0
1101111
opcode</ns0:t>
        </ns0:is>
      </ns0:c>
    </ns0:row>
    <ns0:row r="67" ht="52" customHeight="1">
      <ns0:c r="A67" s="68" t="n">
        <ns0:v>59</ns0:v>
      </ns0:c>
      <ns0:c r="B67" s="69" t="inlineStr">
        <ns0:is>
          <ns0:t>0x000000E8</ns0:t>
        </ns0:is>
      </ns0:c>
      <ns0:c r="C67" s="69" t="inlineStr">
        <ns0:is>
          <ns0:t>0x01000E93</ns0:t>
        </ns0:is>
      </ns0:c>
      <ns0:c r="D67" s="70" t="inlineStr">
        <ns0:is>
          <ns0:t>addi t4, zero, 16</ns0:t>
        </ns0:is>
      </ns0:c>
      <ns0:c r="E67" s="71" t="inlineStr">
        <ns0:is>
          <ns0:t>addi</ns0:t>
        </ns0:is>
      </ns0:c>
      <ns0:c r="F67" s="71" t="inlineStr">
        <ns0:is>
          <ns0:t>I</ns0:t>
        </ns0:is>
      </ns0:c>
      <ns0:c r="G67" s="71" t="n">
        <ns0:v>0</ns0:v>
      </ns0:c>
      <ns0:c r="H67" s="71" t="n">
        <ns0:v>16</ns0:v>
      </ns0:c>
      <ns0:c r="I67" s="72" t="inlineStr">
        <ns0:is>
          <ns0:t>—</ns0:t>
        </ns0:is>
      </ns0:c>
      <ns0:c r="J67" s="72" t="inlineStr">
        <ns0:is>
          <ns0:t>00000001000000000000111010010011</ns0:t>
        </ns0:is>
      </ns0:c>
      <ns0:c r="K67" s="73" t="inlineStr">
        <ns0:is>
          <ns0:t>t4 ← zero + (+16); арифметика RV32I по модулю 2³².</ns0:t>
        </ns0:is>
      </ns0:c>
      <ns0:c r="L67" s="70" t="inlineStr">
        <ns0:is>
          <ns0:t>Только ROM</ns0:t>
        </ns0:is>
      </ns0:c>
      <ns0:c r="M67" s="74" t="inlineStr">
        <ns0:is>
          <ns0:t>31–20
000000010000
imm[11:0]</ns0:t>
        </ns0:is>
      </ns0:c>
      <ns0:c r="N67" s="75" t="inlineStr">
        <ns0:is>
          <ns0:t>19–15
00000
rs1</ns0:t>
        </ns0:is>
      </ns0:c>
      <ns0:c r="O67" s="83" t="inlineStr">
        <ns0:is>
          <ns0:t>14–12
000
funct3</ns0:t>
        </ns0:is>
      </ns0:c>
      <ns0:c r="P67" s="75" t="inlineStr">
        <ns0:is>
          <ns0:t>11–7
11101
rd</ns0:t>
        </ns0:is>
      </ns0:c>
      <ns0:c r="Q67" s="76" t="inlineStr">
        <ns0:is>
          <ns0:t>6–0
0010011
opcode</ns0:t>
        </ns0:is>
      </ns0:c>
    </ns0:row>
    <ns0:row r="68" ht="52" customHeight="1">
      <ns0:c r="A68" s="77" t="n">
        <ns0:v>60</ns0:v>
      </ns0:c>
      <ns0:c r="B68" s="78" t="inlineStr">
        <ns0:is>
          <ns0:t>0x000000EC</ns0:t>
        </ns0:is>
      </ns0:c>
      <ns0:c r="C68" s="78" t="inlineStr">
        <ns0:is>
          <ns0:t>0x03500F13</ns0:t>
        </ns0:is>
      </ns0:c>
      <ns0:c r="D68" s="79" t="inlineStr">
        <ns0:is>
          <ns0:t>addi t5, zero, 53</ns0:t>
        </ns0:is>
      </ns0:c>
      <ns0:c r="E68" s="80" t="inlineStr">
        <ns0:is>
          <ns0:t>addi</ns0:t>
        </ns0:is>
      </ns0:c>
      <ns0:c r="F68" s="80" t="inlineStr">
        <ns0:is>
          <ns0:t>I</ns0:t>
        </ns0:is>
      </ns0:c>
      <ns0:c r="G68" s="80" t="n">
        <ns0:v>0</ns0:v>
      </ns0:c>
      <ns0:c r="H68" s="80" t="n">
        <ns0:v>53</ns0:v>
      </ns0:c>
      <ns0:c r="I68" s="81" t="inlineStr">
        <ns0:is>
          <ns0:t>—</ns0:t>
        </ns0:is>
      </ns0:c>
      <ns0:c r="J68" s="81" t="inlineStr">
        <ns0:is>
          <ns0:t>00000011010100000000111100010011</ns0:t>
        </ns0:is>
      </ns0:c>
      <ns0:c r="K68" s="82" t="inlineStr">
        <ns0:is>
          <ns0:t>t5 ← zero + (+53); арифметика RV32I по модулю 2³².</ns0:t>
        </ns0:is>
      </ns0:c>
      <ns0:c r="L68" s="79" t="inlineStr">
        <ns0:is>
          <ns0:t>Только ROM</ns0:t>
        </ns0:is>
      </ns0:c>
      <ns0:c r="M68" s="74" t="inlineStr">
        <ns0:is>
          <ns0:t>31–20
000000110101
imm[11:0]</ns0:t>
        </ns0:is>
      </ns0:c>
      <ns0:c r="N68" s="75" t="inlineStr">
        <ns0:is>
          <ns0:t>19–15
00000
rs1</ns0:t>
        </ns0:is>
      </ns0:c>
      <ns0:c r="O68" s="83" t="inlineStr">
        <ns0:is>
          <ns0:t>14–12
000
funct3</ns0:t>
        </ns0:is>
      </ns0:c>
      <ns0:c r="P68" s="75" t="inlineStr">
        <ns0:is>
          <ns0:t>11–7
11110
rd</ns0:t>
        </ns0:is>
      </ns0:c>
      <ns0:c r="Q68" s="76" t="inlineStr">
        <ns0:is>
          <ns0:t>6–0
0010011
opcode</ns0:t>
        </ns0:is>
      </ns0:c>
    </ns0:row>
    <ns0:row r="69" ht="52" customHeight="1">
      <ns0:c r="A69" s="68" t="n">
        <ns0:v>61</ns0:v>
      </ns0:c>
      <ns0:c r="B69" s="69" t="inlineStr">
        <ns0:is>
          <ns0:t>0x000000F0</ns0:t>
        </ns0:is>
      </ns0:c>
      <ns0:c r="C69" s="69" t="inlineStr">
        <ns0:is>
          <ns0:t>0x0100006F</ns0:t>
        </ns0:is>
      </ns0:c>
      <ns0:c r="D69" s="70" t="inlineStr">
        <ns0:is>
          <ns0:t>jal zero, 0x00000100</ns0:t>
        </ns0:is>
      </ns0:c>
      <ns0:c r="E69" s="71" t="inlineStr">
        <ns0:is>
          <ns0:t>jal</ns0:t>
        </ns0:is>
      </ns0:c>
      <ns0:c r="F69" s="71" t="inlineStr">
        <ns0:is>
          <ns0:t>J</ns0:t>
        </ns0:is>
      </ns0:c>
      <ns0:c r="G69" s="71" t="n">
        <ns0:v>0</ns0:v>
      </ns0:c>
      <ns0:c r="H69" s="71" t="n">
        <ns0:v>16</ns0:v>
      </ns0:c>
      <ns0:c r="I69" s="72" t="inlineStr">
        <ns0:is>
          <ns0:t>0x00000100</ns0:t>
        </ns0:is>
      </ns0:c>
      <ns0:c r="J69" s="72" t="inlineStr">
        <ns0:is>
          <ns0:t>00000001000000000000000001101111</ns0:t>
        </ns0:is>
      </ns0:c>
      <ns0:c r="K69" s="73" t="inlineStr">
        <ns0:is>
          <ns0:t>PC ← 0x00000100; rd (zero) ← PC+4. Смещение +16 байт относительно PC.</ns0:t>
        </ns0:is>
      </ns0:c>
      <ns0:c r="L69" s="70" t="inlineStr">
        <ns0:is>
          <ns0:t>Только ROM</ns0:t>
        </ns0:is>
      </ns0:c>
      <ns0:c r="M69" s="74" t="inlineStr">
        <ns0:is>
          <ns0:t>31
0
imm[20]</ns0:t>
        </ns0:is>
      </ns0:c>
      <ns0:c r="N69" s="74" t="inlineStr">
        <ns0:is>
          <ns0:t>30–21
0000001000
imm[10:1]</ns0:t>
        </ns0:is>
      </ns0:c>
      <ns0:c r="O69" s="74" t="inlineStr">
        <ns0:is>
          <ns0:t>20
0
imm[11]</ns0:t>
        </ns0:is>
      </ns0:c>
      <ns0:c r="P69" s="74" t="inlineStr">
        <ns0:is>
          <ns0:t>19–12
00000000
imm[19:12]</ns0:t>
        </ns0:is>
      </ns0:c>
      <ns0:c r="Q69" s="75" t="inlineStr">
        <ns0:is>
          <ns0:t>11–7
00000
rd</ns0:t>
        </ns0:is>
      </ns0:c>
      <ns0:c r="R69" s="76" t="inlineStr">
        <ns0:is>
          <ns0:t>6–0
1101111
opcode</ns0:t>
        </ns0:is>
      </ns0:c>
    </ns0:row>
    <ns0:row r="70" ht="52" customHeight="1">
      <ns0:c r="A70" s="77" t="n">
        <ns0:v>62</ns0:v>
      </ns0:c>
      <ns0:c r="B70" s="78" t="inlineStr">
        <ns0:is>
          <ns0:t>0x000000F4</ns0:t>
        </ns0:is>
      </ns0:c>
      <ns0:c r="C70" s="78" t="inlineStr">
        <ns0:is>
          <ns0:t>0x02000E93</ns0:t>
        </ns0:is>
      </ns0:c>
      <ns0:c r="D70" s="79" t="inlineStr">
        <ns0:is>
          <ns0:t>addi t4, zero, 32</ns0:t>
        </ns0:is>
      </ns0:c>
      <ns0:c r="E70" s="80" t="inlineStr">
        <ns0:is>
          <ns0:t>addi</ns0:t>
        </ns0:is>
      </ns0:c>
      <ns0:c r="F70" s="80" t="inlineStr">
        <ns0:is>
          <ns0:t>I</ns0:t>
        </ns0:is>
      </ns0:c>
      <ns0:c r="G70" s="80" t="n">
        <ns0:v>0</ns0:v>
      </ns0:c>
      <ns0:c r="H70" s="80" t="n">
        <ns0:v>32</ns0:v>
      </ns0:c>
      <ns0:c r="I70" s="81" t="inlineStr">
        <ns0:is>
          <ns0:t>—</ns0:t>
        </ns0:is>
      </ns0:c>
      <ns0:c r="J70" s="81" t="inlineStr">
        <ns0:is>
          <ns0:t>00000010000000000000111010010011</ns0:t>
        </ns0:is>
      </ns0:c>
      <ns0:c r="K70" s="82" t="inlineStr">
        <ns0:is>
          <ns0:t>t4 ← zero + (+32); арифметика RV32I по модулю 2³².</ns0:t>
        </ns0:is>
      </ns0:c>
      <ns0:c r="L70" s="79" t="inlineStr">
        <ns0:is>
          <ns0:t>Только ROM</ns0:t>
        </ns0:is>
      </ns0:c>
      <ns0:c r="M70" s="74" t="inlineStr">
        <ns0:is>
          <ns0:t>31–20
000000100000
imm[11:0]</ns0:t>
        </ns0:is>
      </ns0:c>
      <ns0:c r="N70" s="75" t="inlineStr">
        <ns0:is>
          <ns0:t>19–15
00000
rs1</ns0:t>
        </ns0:is>
      </ns0:c>
      <ns0:c r="O70" s="83" t="inlineStr">
        <ns0:is>
          <ns0:t>14–12
000
funct3</ns0:t>
        </ns0:is>
      </ns0:c>
      <ns0:c r="P70" s="75" t="inlineStr">
        <ns0:is>
          <ns0:t>11–7
11101
rd</ns0:t>
        </ns0:is>
      </ns0:c>
      <ns0:c r="Q70" s="76" t="inlineStr">
        <ns0:is>
          <ns0:t>6–0
0010011
opcode</ns0:t>
        </ns0:is>
      </ns0:c>
    </ns0:row>
    <ns0:row r="71" ht="52" customHeight="1">
      <ns0:c r="A71" s="68" t="n">
        <ns0:v>63</ns0:v>
      </ns0:c>
      <ns0:c r="B71" s="69" t="inlineStr">
        <ns0:is>
          <ns0:t>0x000000F8</ns0:t>
        </ns0:is>
      </ns0:c>
      <ns0:c r="C71" s="69" t="inlineStr">
        <ns0:is>
          <ns0:t>0x03600F13</ns0:t>
        </ns0:is>
      </ns0:c>
      <ns0:c r="D71" s="70" t="inlineStr">
        <ns0:is>
          <ns0:t>addi t5, zero, 54</ns0:t>
        </ns0:is>
      </ns0:c>
      <ns0:c r="E71" s="71" t="inlineStr">
        <ns0:is>
          <ns0:t>addi</ns0:t>
        </ns0:is>
      </ns0:c>
      <ns0:c r="F71" s="71" t="inlineStr">
        <ns0:is>
          <ns0:t>I</ns0:t>
        </ns0:is>
      </ns0:c>
      <ns0:c r="G71" s="71" t="n">
        <ns0:v>0</ns0:v>
      </ns0:c>
      <ns0:c r="H71" s="71" t="n">
        <ns0:v>54</ns0:v>
      </ns0:c>
      <ns0:c r="I71" s="72" t="inlineStr">
        <ns0:is>
          <ns0:t>—</ns0:t>
        </ns0:is>
      </ns0:c>
      <ns0:c r="J71" s="72" t="inlineStr">
        <ns0:is>
          <ns0:t>00000011011000000000111100010011</ns0:t>
        </ns0:is>
      </ns0:c>
      <ns0:c r="K71" s="73" t="inlineStr">
        <ns0:is>
          <ns0:t>t5 ← zero + (+54); арифметика RV32I по модулю 2³².</ns0:t>
        </ns0:is>
      </ns0:c>
      <ns0:c r="L71" s="70" t="inlineStr">
        <ns0:is>
          <ns0:t>Только ROM</ns0:t>
        </ns0:is>
      </ns0:c>
      <ns0:c r="M71" s="74" t="inlineStr">
        <ns0:is>
          <ns0:t>31–20
000000110110
imm[11:0]</ns0:t>
        </ns0:is>
      </ns0:c>
      <ns0:c r="N71" s="75" t="inlineStr">
        <ns0:is>
          <ns0:t>19–15
00000
rs1</ns0:t>
        </ns0:is>
      </ns0:c>
      <ns0:c r="O71" s="83" t="inlineStr">
        <ns0:is>
          <ns0:t>14–12
000
funct3</ns0:t>
        </ns0:is>
      </ns0:c>
      <ns0:c r="P71" s="75" t="inlineStr">
        <ns0:is>
          <ns0:t>11–7
11110
rd</ns0:t>
        </ns0:is>
      </ns0:c>
      <ns0:c r="Q71" s="76" t="inlineStr">
        <ns0:is>
          <ns0:t>6–0
0010011
opcode</ns0:t>
        </ns0:is>
      </ns0:c>
    </ns0:row>
    <ns0:row r="72" ht="52" customHeight="1">
      <ns0:c r="A72" s="77" t="n">
        <ns0:v>64</ns0:v>
      </ns0:c>
      <ns0:c r="B72" s="78" t="inlineStr">
        <ns0:is>
          <ns0:t>0x000000FC</ns0:t>
        </ns0:is>
      </ns0:c>
      <ns0:c r="C72" s="78" t="inlineStr">
        <ns0:is>
          <ns0:t>0x0040006F</ns0:t>
        </ns0:is>
      </ns0:c>
      <ns0:c r="D72" s="79" t="inlineStr">
        <ns0:is>
          <ns0:t>jal zero, 0x00000100</ns0:t>
        </ns0:is>
      </ns0:c>
      <ns0:c r="E72" s="80" t="inlineStr">
        <ns0:is>
          <ns0:t>jal</ns0:t>
        </ns0:is>
      </ns0:c>
      <ns0:c r="F72" s="80" t="inlineStr">
        <ns0:is>
          <ns0:t>J</ns0:t>
        </ns0:is>
      </ns0:c>
      <ns0:c r="G72" s="80" t="n">
        <ns0:v>0</ns0:v>
      </ns0:c>
      <ns0:c r="H72" s="80" t="n">
        <ns0:v>4</ns0:v>
      </ns0:c>
      <ns0:c r="I72" s="81" t="inlineStr">
        <ns0:is>
          <ns0:t>0x00000100</ns0:t>
        </ns0:is>
      </ns0:c>
      <ns0:c r="J72" s="81" t="inlineStr">
        <ns0:is>
          <ns0:t>00000000010000000000000001101111</ns0:t>
        </ns0:is>
      </ns0:c>
      <ns0:c r="K72" s="82" t="inlineStr">
        <ns0:is>
          <ns0:t>PC ← 0x00000100; rd (zero) ← PC+4. Смещение +4 байт относительно PC.</ns0:t>
        </ns0:is>
      </ns0:c>
      <ns0:c r="L72" s="79" t="inlineStr">
        <ns0:is>
          <ns0:t>Только ROM</ns0:t>
        </ns0:is>
      </ns0:c>
      <ns0:c r="M72" s="74" t="inlineStr">
        <ns0:is>
          <ns0:t>31
0
imm[20]</ns0:t>
        </ns0:is>
      </ns0:c>
      <ns0:c r="N72" s="74" t="inlineStr">
        <ns0:is>
          <ns0:t>30–21
0000000010
imm[10:1]</ns0:t>
        </ns0:is>
      </ns0:c>
      <ns0:c r="O72" s="74" t="inlineStr">
        <ns0:is>
          <ns0:t>20
0
imm[11]</ns0:t>
        </ns0:is>
      </ns0:c>
      <ns0:c r="P72" s="74" t="inlineStr">
        <ns0:is>
          <ns0:t>19–12
00000000
imm[19:12]</ns0:t>
        </ns0:is>
      </ns0:c>
      <ns0:c r="Q72" s="75" t="inlineStr">
        <ns0:is>
          <ns0:t>11–7
00000
rd</ns0:t>
        </ns0:is>
      </ns0:c>
      <ns0:c r="R72" s="76" t="inlineStr">
        <ns0:is>
          <ns0:t>6–0
1101111
opcode</ns0:t>
        </ns0:is>
      </ns0:c>
    </ns0:row>
    <ns0:row r="73" ht="52" customHeight="1">
      <ns0:c r="A73" s="68" t="n">
        <ns0:v>65</ns0:v>
      </ns0:c>
      <ns0:c r="B73" s="69" t="inlineStr">
        <ns0:is>
          <ns0:t>0x00000100</ns0:t>
        </ns0:is>
      </ns0:c>
      <ns0:c r="C73" s="84" t="inlineStr">
        <ns0:is>
          <ns0:t>0x01D2A023</ns0:t>
        </ns0:is>
      </ns0:c>
      <ns0:c r="D73" s="70" t="inlineStr">
        <ns0:is>
          <ns0:t>sw t4, 0(t0)</ns0:t>
        </ns0:is>
      </ns0:c>
      <ns0:c r="E73" s="71" t="inlineStr">
        <ns0:is>
          <ns0:t>sw</ns0:t>
        </ns0:is>
      </ns0:c>
      <ns0:c r="F73" s="71" t="inlineStr">
        <ns0:is>
          <ns0:t>S</ns0:t>
        </ns0:is>
      </ns0:c>
      <ns0:c r="G73" s="85" t="n">
        <ns0:v>12</ns0:v>
      </ns0:c>
      <ns0:c r="H73" s="71" t="n">
        <ns0:v>0</ns0:v>
      </ns0:c>
      <ns0:c r="I73" s="72" t="inlineStr">
        <ns0:is>
          <ns0:t>—</ns0:t>
        </ns0:is>
      </ns0:c>
      <ns0:c r="J73" s="72" t="inlineStr">
        <ns0:is>
          <ns0:t>00000001110100101010000000100011</ns0:t>
        </ns0:is>
      </ns0:c>
      <ns0:c r="K73" s="73" t="inlineStr">
        <ns0:is>
          <ns0:t>MEM32[t0 +0] ← t4. Число, находящееся в rs2, не кодируется в самой инструкции.</ns0:t>
        </ns0:is>
      </ns0:c>
      <ns0:c r="L73" s="86" t="inlineStr">
        <ns0:is>
          <ns0:t>FETCH был</ns0:t>
        </ns0:is>
      </ns0:c>
      <ns0:c r="M73" s="74" t="inlineStr">
        <ns0:is>
          <ns0:t>31–25
0000000
imm[11:5]</ns0:t>
        </ns0:is>
      </ns0:c>
      <ns0:c r="N73" s="75" t="inlineStr">
        <ns0:is>
          <ns0:t>24–20
11101
rs2</ns0:t>
        </ns0:is>
      </ns0:c>
      <ns0:c r="O73" s="75" t="inlineStr">
        <ns0:is>
          <ns0:t>19–15
00101
rs1</ns0:t>
        </ns0:is>
      </ns0:c>
      <ns0:c r="P73" s="83" t="inlineStr">
        <ns0:is>
          <ns0:t>14–12
010
funct3</ns0:t>
        </ns0:is>
      </ns0:c>
      <ns0:c r="Q73" s="74" t="inlineStr">
        <ns0:is>
          <ns0:t>11–7
00000
imm[4:0]</ns0:t>
        </ns0:is>
      </ns0:c>
      <ns0:c r="R73" s="76" t="inlineStr">
        <ns0:is>
          <ns0:t>6–0
0100011
opcode</ns0:t>
        </ns0:is>
      </ns0:c>
    </ns0:row>
    <ns0:row r="74" ht="52" customHeight="1">
      <ns0:c r="A74" s="77" t="n">
        <ns0:v>66</ns0:v>
      </ns0:c>
      <ns0:c r="B74" s="78" t="inlineStr">
        <ns0:is>
          <ns0:t>0x00000104</ns0:t>
        </ns0:is>
      </ns0:c>
      <ns0:c r="C74" s="84" t="inlineStr">
        <ns0:is>
          <ns0:t>0x0002AF83</ns0:t>
        </ns0:is>
      </ns0:c>
      <ns0:c r="D74" s="79" t="inlineStr">
        <ns0:is>
          <ns0:t>lw t6, 0(t0)</ns0:t>
        </ns0:is>
      </ns0:c>
      <ns0:c r="E74" s="80" t="inlineStr">
        <ns0:is>
          <ns0:t>lw</ns0:t>
        </ns0:is>
      </ns0:c>
      <ns0:c r="F74" s="80" t="inlineStr">
        <ns0:is>
          <ns0:t>I</ns0:t>
        </ns0:is>
      </ns0:c>
      <ns0:c r="G74" s="85" t="n">
        <ns0:v>12</ns0:v>
      </ns0:c>
      <ns0:c r="H74" s="80" t="n">
        <ns0:v>0</ns0:v>
      </ns0:c>
      <ns0:c r="I74" s="81" t="inlineStr">
        <ns0:is>
          <ns0:t>—</ns0:t>
        </ns0:is>
      </ns0:c>
      <ns0:c r="J74" s="81" t="inlineStr">
        <ns0:is>
          <ns0:t>00000000000000101010111110000011</ns0:t>
        </ns0:is>
      </ns0:c>
      <ns0:c r="K74" s="82" t="inlineStr">
        <ns0:is>
          <ns0:t>t6 ← MEM32[t0 +0]. FETCH этой инструкции не удостоверяет регистрацию DATA_READ.</ns0:t>
        </ns0:is>
      </ns0:c>
      <ns0:c r="L74" s="86" t="inlineStr">
        <ns0:is>
          <ns0:t>FETCH был</ns0:t>
        </ns0:is>
      </ns0:c>
      <ns0:c r="M74" s="74" t="inlineStr">
        <ns0:is>
          <ns0:t>31–20
000000000000
imm[11:0]</ns0:t>
        </ns0:is>
      </ns0:c>
      <ns0:c r="N74" s="75" t="inlineStr">
        <ns0:is>
          <ns0:t>19–15
00101
rs1</ns0:t>
        </ns0:is>
      </ns0:c>
      <ns0:c r="O74" s="83" t="inlineStr">
        <ns0:is>
          <ns0:t>14–12
010
funct3</ns0:t>
        </ns0:is>
      </ns0:c>
      <ns0:c r="P74" s="75" t="inlineStr">
        <ns0:is>
          <ns0:t>11–7
11111
rd</ns0:t>
        </ns0:is>
      </ns0:c>
      <ns0:c r="Q74" s="76" t="inlineStr">
        <ns0:is>
          <ns0:t>6–0
0000011
opcode</ns0:t>
        </ns0:is>
      </ns0:c>
    </ns0:row>
    <ns0:row r="75" ht="52" customHeight="1">
      <ns0:c r="A75" s="68" t="n">
        <ns0:v>67</ns0:v>
      </ns0:c>
      <ns0:c r="B75" s="69" t="inlineStr">
        <ns0:is>
          <ns0:t>0x00000108</ns0:t>
        </ns0:is>
      </ns0:c>
      <ns0:c r="C75" s="69" t="inlineStr">
        <ns0:is>
          <ns0:t>0x0BDF9C63</ns0:t>
        </ns0:is>
      </ns0:c>
      <ns0:c r="D75" s="70" t="inlineStr">
        <ns0:is>
          <ns0:t>bne t6, t4, 0x000001c0</ns0:t>
        </ns0:is>
      </ns0:c>
      <ns0:c r="E75" s="71" t="inlineStr">
        <ns0:is>
          <ns0:t>bne</ns0:t>
        </ns0:is>
      </ns0:c>
      <ns0:c r="F75" s="71" t="inlineStr">
        <ns0:is>
          <ns0:t>B</ns0:t>
        </ns0:is>
      </ns0:c>
      <ns0:c r="G75" s="71" t="n">
        <ns0:v>0</ns0:v>
      </ns0:c>
      <ns0:c r="H75" s="71" t="n">
        <ns0:v>184</ns0:v>
      </ns0:c>
      <ns0:c r="I75" s="72" t="inlineStr">
        <ns0:is>
          <ns0:t>0x000001C0</ns0:t>
        </ns0:is>
      </ns0:c>
      <ns0:c r="J75" s="72" t="inlineStr">
        <ns0:is>
          <ns0:t>00001011110111111001110001100011</ns0:t>
        </ns0:is>
      </ns0:c>
      <ns0:c r="K75" s="73" t="inlineStr">
        <ns0:is>
          <ns0:t>Если t6 ≠ t4, PC ← 0x000001C0; иначе PC ← PC+4. Смещение +184 байт.</ns0:t>
        </ns0:is>
      </ns0:c>
      <ns0:c r="L75" s="70" t="inlineStr">
        <ns0:is>
          <ns0:t>Только ROM</ns0:t>
        </ns0:is>
      </ns0:c>
      <ns0:c r="M75" s="74" t="inlineStr">
        <ns0:is>
          <ns0:t>31
0
imm[12]</ns0:t>
        </ns0:is>
      </ns0:c>
      <ns0:c r="N75" s="74" t="inlineStr">
        <ns0:is>
          <ns0:t>30–25
000101
imm[10:5]</ns0:t>
        </ns0:is>
      </ns0:c>
      <ns0:c r="O75" s="75" t="inlineStr">
        <ns0:is>
          <ns0:t>24–20
11101
rs2</ns0:t>
        </ns0:is>
      </ns0:c>
      <ns0:c r="P75" s="75" t="inlineStr">
        <ns0:is>
          <ns0:t>19–15
11111
rs1</ns0:t>
        </ns0:is>
      </ns0:c>
      <ns0:c r="Q75" s="83" t="inlineStr">
        <ns0:is>
          <ns0:t>14–12
001
funct3</ns0:t>
        </ns0:is>
      </ns0:c>
      <ns0:c r="R75" s="74" t="inlineStr">
        <ns0:is>
          <ns0:t>11–8
1100
imm[4:1]</ns0:t>
        </ns0:is>
      </ns0:c>
      <ns0:c r="S75" s="74" t="inlineStr">
        <ns0:is>
          <ns0:t>7
0
imm[11]</ns0:t>
        </ns0:is>
      </ns0:c>
      <ns0:c r="T75" s="76" t="inlineStr">
        <ns0:is>
          <ns0:t>6–0
1100011
opcode</ns0:t>
        </ns0:is>
      </ns0:c>
    </ns0:row>
    <ns0:row r="76" ht="52" customHeight="1">
      <ns0:c r="A76" s="77" t="n">
        <ns0:v>68</ns0:v>
      </ns0:c>
      <ns0:c r="B76" s="78" t="inlineStr">
        <ns0:is>
          <ns0:t>0x0000010C</ns0:t>
        </ns0:is>
      </ns0:c>
      <ns0:c r="C76" s="78" t="inlineStr">
        <ns0:is>
          <ns0:t>0x07C0006F</ns0:t>
        </ns0:is>
      </ns0:c>
      <ns0:c r="D76" s="79" t="inlineStr">
        <ns0:is>
          <ns0:t>jal zero, 0x00000188</ns0:t>
        </ns0:is>
      </ns0:c>
      <ns0:c r="E76" s="80" t="inlineStr">
        <ns0:is>
          <ns0:t>jal</ns0:t>
        </ns0:is>
      </ns0:c>
      <ns0:c r="F76" s="80" t="inlineStr">
        <ns0:is>
          <ns0:t>J</ns0:t>
        </ns0:is>
      </ns0:c>
      <ns0:c r="G76" s="80" t="n">
        <ns0:v>0</ns0:v>
      </ns0:c>
      <ns0:c r="H76" s="80" t="n">
        <ns0:v>124</ns0:v>
      </ns0:c>
      <ns0:c r="I76" s="81" t="inlineStr">
        <ns0:is>
          <ns0:t>0x00000188</ns0:t>
        </ns0:is>
      </ns0:c>
      <ns0:c r="J76" s="81" t="inlineStr">
        <ns0:is>
          <ns0:t>00000111110000000000000001101111</ns0:t>
        </ns0:is>
      </ns0:c>
      <ns0:c r="K76" s="82" t="inlineStr">
        <ns0:is>
          <ns0:t>PC ← 0x00000188; rd (zero) ← PC+4. Смещение +124 байт относительно PC.</ns0:t>
        </ns0:is>
      </ns0:c>
      <ns0:c r="L76" s="79" t="inlineStr">
        <ns0:is>
          <ns0:t>Только ROM</ns0:t>
        </ns0:is>
      </ns0:c>
      <ns0:c r="M76" s="74" t="inlineStr">
        <ns0:is>
          <ns0:t>31
0
imm[20]</ns0:t>
        </ns0:is>
      </ns0:c>
      <ns0:c r="N76" s="74" t="inlineStr">
        <ns0:is>
          <ns0:t>30–21
0000111110
imm[10:1]</ns0:t>
        </ns0:is>
      </ns0:c>
      <ns0:c r="O76" s="74" t="inlineStr">
        <ns0:is>
          <ns0:t>20
0
imm[11]</ns0:t>
        </ns0:is>
      </ns0:c>
      <ns0:c r="P76" s="74" t="inlineStr">
        <ns0:is>
          <ns0:t>19–12
00000000
imm[19:12]</ns0:t>
        </ns0:is>
      </ns0:c>
      <ns0:c r="Q76" s="75" t="inlineStr">
        <ns0:is>
          <ns0:t>11–7
00000
rd</ns0:t>
        </ns0:is>
      </ns0:c>
      <ns0:c r="R76" s="76" t="inlineStr">
        <ns0:is>
          <ns0:t>6–0
1101111
opcode</ns0:t>
        </ns0:is>
      </ns0:c>
    </ns0:row>
    <ns0:row r="77" ht="52" customHeight="1">
      <ns0:c r="A77" s="68" t="n">
        <ns0:v>69</ns0:v>
      </ns0:c>
      <ns0:c r="B77" s="69" t="inlineStr">
        <ns0:is>
          <ns0:t>0x00000110</ns0:t>
        </ns0:is>
      </ns0:c>
      <ns0:c r="C77" s="69" t="inlineStr">
        <ns0:is>
          <ns0:t>0x0002AF83</ns0:t>
        </ns0:is>
      </ns0:c>
      <ns0:c r="D77" s="70" t="inlineStr">
        <ns0:is>
          <ns0:t>lw t6, 0(t0)</ns0:t>
        </ns0:is>
      </ns0:c>
      <ns0:c r="E77" s="71" t="inlineStr">
        <ns0:is>
          <ns0:t>lw</ns0:t>
        </ns0:is>
      </ns0:c>
      <ns0:c r="F77" s="71" t="inlineStr">
        <ns0:is>
          <ns0:t>I</ns0:t>
        </ns0:is>
      </ns0:c>
      <ns0:c r="G77" s="71" t="n">
        <ns0:v>0</ns0:v>
      </ns0:c>
      <ns0:c r="H77" s="71" t="n">
        <ns0:v>0</ns0:v>
      </ns0:c>
      <ns0:c r="I77" s="72" t="inlineStr">
        <ns0:is>
          <ns0:t>—</ns0:t>
        </ns0:is>
      </ns0:c>
      <ns0:c r="J77" s="72" t="inlineStr">
        <ns0:is>
          <ns0:t>00000000000000101010111110000011</ns0:t>
        </ns0:is>
      </ns0:c>
      <ns0:c r="K77" s="73" t="inlineStr">
        <ns0:is>
          <ns0:t>t6 ← MEM32[t0 +0]. FETCH этой инструкции не удостоверяет регистрацию DATA_READ.</ns0:t>
        </ns0:is>
      </ns0:c>
      <ns0:c r="L77" s="70" t="inlineStr">
        <ns0:is>
          <ns0:t>Только ROM</ns0:t>
        </ns0:is>
      </ns0:c>
      <ns0:c r="M77" s="74" t="inlineStr">
        <ns0:is>
          <ns0:t>31–20
000000000000
imm[11:0]</ns0:t>
        </ns0:is>
      </ns0:c>
      <ns0:c r="N77" s="75" t="inlineStr">
        <ns0:is>
          <ns0:t>19–15
00101
rs1</ns0:t>
        </ns0:is>
      </ns0:c>
      <ns0:c r="O77" s="83" t="inlineStr">
        <ns0:is>
          <ns0:t>14–12
010
funct3</ns0:t>
        </ns0:is>
      </ns0:c>
      <ns0:c r="P77" s="75" t="inlineStr">
        <ns0:is>
          <ns0:t>11–7
11111
rd</ns0:t>
        </ns0:is>
      </ns0:c>
      <ns0:c r="Q77" s="76" t="inlineStr">
        <ns0:is>
          <ns0:t>6–0
0000011
opcode</ns0:t>
        </ns0:is>
      </ns0:c>
    </ns0:row>
    <ns0:row r="78" ht="52" customHeight="1">
      <ns0:c r="A78" s="77" t="n">
        <ns0:v>70</ns0:v>
      </ns0:c>
      <ns0:c r="B78" s="78" t="inlineStr">
        <ns0:is>
          <ns0:t>0x00000114</ns0:t>
        </ns0:is>
      </ns0:c>
      <ns0:c r="C78" s="78" t="inlineStr">
        <ns0:is>
          <ns0:t>0x00000413</ns0:t>
        </ns0:is>
      </ns0:c>
      <ns0:c r="D78" s="79" t="inlineStr">
        <ns0:is>
          <ns0:t>addi s0, zero, 0</ns0:t>
        </ns0:is>
      </ns0:c>
      <ns0:c r="E78" s="80" t="inlineStr">
        <ns0:is>
          <ns0:t>addi</ns0:t>
        </ns0:is>
      </ns0:c>
      <ns0:c r="F78" s="80" t="inlineStr">
        <ns0:is>
          <ns0:t>I</ns0:t>
        </ns0:is>
      </ns0:c>
      <ns0:c r="G78" s="80" t="n">
        <ns0:v>0</ns0:v>
      </ns0:c>
      <ns0:c r="H78" s="80" t="n">
        <ns0:v>0</ns0:v>
      </ns0:c>
      <ns0:c r="I78" s="81" t="inlineStr">
        <ns0:is>
          <ns0:t>—</ns0:t>
        </ns0:is>
      </ns0:c>
      <ns0:c r="J78" s="81" t="inlineStr">
        <ns0:is>
          <ns0:t>00000000000000000000010000010011</ns0:t>
        </ns0:is>
      </ns0:c>
      <ns0:c r="K78" s="82" t="inlineStr">
        <ns0:is>
          <ns0:t>s0 ← zero + (+0); арифметика RV32I по модулю 2³².</ns0:t>
        </ns0:is>
      </ns0:c>
      <ns0:c r="L78" s="79" t="inlineStr">
        <ns0:is>
          <ns0:t>Только ROM</ns0:t>
        </ns0:is>
      </ns0:c>
      <ns0:c r="M78" s="74" t="inlineStr">
        <ns0:is>
          <ns0:t>31–20
000000000000
imm[11:0]</ns0:t>
        </ns0:is>
      </ns0:c>
      <ns0:c r="N78" s="75" t="inlineStr">
        <ns0:is>
          <ns0:t>19–15
00000
rs1</ns0:t>
        </ns0:is>
      </ns0:c>
      <ns0:c r="O78" s="83" t="inlineStr">
        <ns0:is>
          <ns0:t>14–12
000
funct3</ns0:t>
        </ns0:is>
      </ns0:c>
      <ns0:c r="P78" s="75" t="inlineStr">
        <ns0:is>
          <ns0:t>11–7
01000
rd</ns0:t>
        </ns0:is>
      </ns0:c>
      <ns0:c r="Q78" s="76" t="inlineStr">
        <ns0:is>
          <ns0:t>6–0
0010011
opcode</ns0:t>
        </ns0:is>
      </ns0:c>
    </ns0:row>
    <ns0:row r="79" ht="52" customHeight="1">
      <ns0:c r="A79" s="68" t="n">
        <ns0:v>71</ns0:v>
      </ns0:c>
      <ns0:c r="B79" s="69" t="inlineStr">
        <ns0:is>
          <ns0:t>0x00000118</ns0:t>
        </ns0:is>
      </ns0:c>
      <ns0:c r="C79" s="69" t="inlineStr">
        <ns0:is>
          <ns0:t>0x028F8C63</ns0:t>
        </ns0:is>
      </ns0:c>
      <ns0:c r="D79" s="70" t="inlineStr">
        <ns0:is>
          <ns0:t>beq t6, s0, 0x00000150</ns0:t>
        </ns0:is>
      </ns0:c>
      <ns0:c r="E79" s="71" t="inlineStr">
        <ns0:is>
          <ns0:t>beq</ns0:t>
        </ns0:is>
      </ns0:c>
      <ns0:c r="F79" s="71" t="inlineStr">
        <ns0:is>
          <ns0:t>B</ns0:t>
        </ns0:is>
      </ns0:c>
      <ns0:c r="G79" s="71" t="n">
        <ns0:v>0</ns0:v>
      </ns0:c>
      <ns0:c r="H79" s="71" t="n">
        <ns0:v>56</ns0:v>
      </ns0:c>
      <ns0:c r="I79" s="72" t="inlineStr">
        <ns0:is>
          <ns0:t>0x00000150</ns0:t>
        </ns0:is>
      </ns0:c>
      <ns0:c r="J79" s="72" t="inlineStr">
        <ns0:is>
          <ns0:t>00000010100011111000110001100011</ns0:t>
        </ns0:is>
      </ns0:c>
      <ns0:c r="K79" s="73" t="inlineStr">
        <ns0:is>
          <ns0:t>Если t6 = s0, PC ← 0x00000150; иначе PC ← PC+4. Смещение +56 байт.</ns0:t>
        </ns0:is>
      </ns0:c>
      <ns0:c r="L79" s="70" t="inlineStr">
        <ns0:is>
          <ns0:t>Только ROM</ns0:t>
        </ns0:is>
      </ns0:c>
      <ns0:c r="M79" s="74" t="inlineStr">
        <ns0:is>
          <ns0:t>31
0
imm[12]</ns0:t>
        </ns0:is>
      </ns0:c>
      <ns0:c r="N79" s="74" t="inlineStr">
        <ns0:is>
          <ns0:t>30–25
000001
imm[10:5]</ns0:t>
        </ns0:is>
      </ns0:c>
      <ns0:c r="O79" s="75" t="inlineStr">
        <ns0:is>
          <ns0:t>24–20
01000
rs2</ns0:t>
        </ns0:is>
      </ns0:c>
      <ns0:c r="P79" s="75" t="inlineStr">
        <ns0:is>
          <ns0:t>19–15
11111
rs1</ns0:t>
        </ns0:is>
      </ns0:c>
      <ns0:c r="Q79" s="83" t="inlineStr">
        <ns0:is>
          <ns0:t>14–12
000
funct3</ns0:t>
        </ns0:is>
      </ns0:c>
      <ns0:c r="R79" s="74" t="inlineStr">
        <ns0:is>
          <ns0:t>11–8
1100
imm[4:1]</ns0:t>
        </ns0:is>
      </ns0:c>
      <ns0:c r="S79" s="74" t="inlineStr">
        <ns0:is>
          <ns0:t>7
0
imm[11]</ns0:t>
        </ns0:is>
      </ns0:c>
      <ns0:c r="T79" s="76" t="inlineStr">
        <ns0:is>
          <ns0:t>6–0
1100011
opcode</ns0:t>
        </ns0:is>
      </ns0:c>
    </ns0:row>
    <ns0:row r="80" ht="52" customHeight="1">
      <ns0:c r="A80" s="77" t="n">
        <ns0:v>72</ns0:v>
      </ns0:c>
      <ns0:c r="B80" s="78" t="inlineStr">
        <ns0:is>
          <ns0:t>0x0000011C</ns0:t>
        </ns0:is>
      </ns0:c>
      <ns0:c r="C80" s="78" t="inlineStr">
        <ns0:is>
          <ns0:t>0x00100413</ns0:t>
        </ns0:is>
      </ns0:c>
      <ns0:c r="D80" s="79" t="inlineStr">
        <ns0:is>
          <ns0:t>addi s0, zero, 1</ns0:t>
        </ns0:is>
      </ns0:c>
      <ns0:c r="E80" s="80" t="inlineStr">
        <ns0:is>
          <ns0:t>addi</ns0:t>
        </ns0:is>
      </ns0:c>
      <ns0:c r="F80" s="80" t="inlineStr">
        <ns0:is>
          <ns0:t>I</ns0:t>
        </ns0:is>
      </ns0:c>
      <ns0:c r="G80" s="80" t="n">
        <ns0:v>0</ns0:v>
      </ns0:c>
      <ns0:c r="H80" s="80" t="n">
        <ns0:v>1</ns0:v>
      </ns0:c>
      <ns0:c r="I80" s="81" t="inlineStr">
        <ns0:is>
          <ns0:t>—</ns0:t>
        </ns0:is>
      </ns0:c>
      <ns0:c r="J80" s="81" t="inlineStr">
        <ns0:is>
          <ns0:t>00000000000100000000010000010011</ns0:t>
        </ns0:is>
      </ns0:c>
      <ns0:c r="K80" s="82" t="inlineStr">
        <ns0:is>
          <ns0:t>s0 ← zero + (+1); арифметика RV32I по модулю 2³².</ns0:t>
        </ns0:is>
      </ns0:c>
      <ns0:c r="L80" s="79" t="inlineStr">
        <ns0:is>
          <ns0:t>Только ROM</ns0:t>
        </ns0:is>
      </ns0:c>
      <ns0:c r="M80" s="74" t="inlineStr">
        <ns0:is>
          <ns0:t>31–20
000000000001
imm[11:0]</ns0:t>
        </ns0:is>
      </ns0:c>
      <ns0:c r="N80" s="75" t="inlineStr">
        <ns0:is>
          <ns0:t>19–15
00000
rs1</ns0:t>
        </ns0:is>
      </ns0:c>
      <ns0:c r="O80" s="83" t="inlineStr">
        <ns0:is>
          <ns0:t>14–12
000
funct3</ns0:t>
        </ns0:is>
      </ns0:c>
      <ns0:c r="P80" s="75" t="inlineStr">
        <ns0:is>
          <ns0:t>11–7
01000
rd</ns0:t>
        </ns0:is>
      </ns0:c>
      <ns0:c r="Q80" s="76" t="inlineStr">
        <ns0:is>
          <ns0:t>6–0
0010011
opcode</ns0:t>
        </ns0:is>
      </ns0:c>
    </ns0:row>
    <ns0:row r="81" ht="52" customHeight="1">
      <ns0:c r="A81" s="68" t="n">
        <ns0:v>73</ns0:v>
      </ns0:c>
      <ns0:c r="B81" s="69" t="inlineStr">
        <ns0:is>
          <ns0:t>0x00000120</ns0:t>
        </ns0:is>
      </ns0:c>
      <ns0:c r="C81" s="69" t="inlineStr">
        <ns0:is>
          <ns0:t>0x028F8C63</ns0:t>
        </ns0:is>
      </ns0:c>
      <ns0:c r="D81" s="70" t="inlineStr">
        <ns0:is>
          <ns0:t>beq t6, s0, 0x00000158</ns0:t>
        </ns0:is>
      </ns0:c>
      <ns0:c r="E81" s="71" t="inlineStr">
        <ns0:is>
          <ns0:t>beq</ns0:t>
        </ns0:is>
      </ns0:c>
      <ns0:c r="F81" s="71" t="inlineStr">
        <ns0:is>
          <ns0:t>B</ns0:t>
        </ns0:is>
      </ns0:c>
      <ns0:c r="G81" s="71" t="n">
        <ns0:v>0</ns0:v>
      </ns0:c>
      <ns0:c r="H81" s="71" t="n">
        <ns0:v>56</ns0:v>
      </ns0:c>
      <ns0:c r="I81" s="72" t="inlineStr">
        <ns0:is>
          <ns0:t>0x00000158</ns0:t>
        </ns0:is>
      </ns0:c>
      <ns0:c r="J81" s="72" t="inlineStr">
        <ns0:is>
          <ns0:t>00000010100011111000110001100011</ns0:t>
        </ns0:is>
      </ns0:c>
      <ns0:c r="K81" s="73" t="inlineStr">
        <ns0:is>
          <ns0:t>Если t6 = s0, PC ← 0x00000158; иначе PC ← PC+4. Смещение +56 байт.</ns0:t>
        </ns0:is>
      </ns0:c>
      <ns0:c r="L81" s="70" t="inlineStr">
        <ns0:is>
          <ns0:t>Только ROM</ns0:t>
        </ns0:is>
      </ns0:c>
      <ns0:c r="M81" s="74" t="inlineStr">
        <ns0:is>
          <ns0:t>31
0
imm[12]</ns0:t>
        </ns0:is>
      </ns0:c>
      <ns0:c r="N81" s="74" t="inlineStr">
        <ns0:is>
          <ns0:t>30–25
000001
imm[10:5]</ns0:t>
        </ns0:is>
      </ns0:c>
      <ns0:c r="O81" s="75" t="inlineStr">
        <ns0:is>
          <ns0:t>24–20
01000
rs2</ns0:t>
        </ns0:is>
      </ns0:c>
      <ns0:c r="P81" s="75" t="inlineStr">
        <ns0:is>
          <ns0:t>19–15
11111
rs1</ns0:t>
        </ns0:is>
      </ns0:c>
      <ns0:c r="Q81" s="83" t="inlineStr">
        <ns0:is>
          <ns0:t>14–12
000
funct3</ns0:t>
        </ns0:is>
      </ns0:c>
      <ns0:c r="R81" s="74" t="inlineStr">
        <ns0:is>
          <ns0:t>11–8
1100
imm[4:1]</ns0:t>
        </ns0:is>
      </ns0:c>
      <ns0:c r="S81" s="74" t="inlineStr">
        <ns0:is>
          <ns0:t>7
0
imm[11]</ns0:t>
        </ns0:is>
      </ns0:c>
      <ns0:c r="T81" s="76" t="inlineStr">
        <ns0:is>
          <ns0:t>6–0
1100011
opcode</ns0:t>
        </ns0:is>
      </ns0:c>
    </ns0:row>
    <ns0:row r="82" ht="52" customHeight="1">
      <ns0:c r="A82" s="77" t="n">
        <ns0:v>74</ns0:v>
      </ns0:c>
      <ns0:c r="B82" s="78" t="inlineStr">
        <ns0:is>
          <ns0:t>0x00000124</ns0:t>
        </ns0:is>
      </ns0:c>
      <ns0:c r="C82" s="78" t="inlineStr">
        <ns0:is>
          <ns0:t>0x00200413</ns0:t>
        </ns0:is>
      </ns0:c>
      <ns0:c r="D82" s="79" t="inlineStr">
        <ns0:is>
          <ns0:t>addi s0, zero, 2</ns0:t>
        </ns0:is>
      </ns0:c>
      <ns0:c r="E82" s="80" t="inlineStr">
        <ns0:is>
          <ns0:t>addi</ns0:t>
        </ns0:is>
      </ns0:c>
      <ns0:c r="F82" s="80" t="inlineStr">
        <ns0:is>
          <ns0:t>I</ns0:t>
        </ns0:is>
      </ns0:c>
      <ns0:c r="G82" s="80" t="n">
        <ns0:v>0</ns0:v>
      </ns0:c>
      <ns0:c r="H82" s="80" t="n">
        <ns0:v>2</ns0:v>
      </ns0:c>
      <ns0:c r="I82" s="81" t="inlineStr">
        <ns0:is>
          <ns0:t>—</ns0:t>
        </ns0:is>
      </ns0:c>
      <ns0:c r="J82" s="81" t="inlineStr">
        <ns0:is>
          <ns0:t>00000000001000000000010000010011</ns0:t>
        </ns0:is>
      </ns0:c>
      <ns0:c r="K82" s="82" t="inlineStr">
        <ns0:is>
          <ns0:t>s0 ← zero + (+2); арифметика RV32I по модулю 2³².</ns0:t>
        </ns0:is>
      </ns0:c>
      <ns0:c r="L82" s="79" t="inlineStr">
        <ns0:is>
          <ns0:t>Только ROM</ns0:t>
        </ns0:is>
      </ns0:c>
      <ns0:c r="M82" s="74" t="inlineStr">
        <ns0:is>
          <ns0:t>31–20
000000000010
imm[11:0]</ns0:t>
        </ns0:is>
      </ns0:c>
      <ns0:c r="N82" s="75" t="inlineStr">
        <ns0:is>
          <ns0:t>19–15
00000
rs1</ns0:t>
        </ns0:is>
      </ns0:c>
      <ns0:c r="O82" s="83" t="inlineStr">
        <ns0:is>
          <ns0:t>14–12
000
funct3</ns0:t>
        </ns0:is>
      </ns0:c>
      <ns0:c r="P82" s="75" t="inlineStr">
        <ns0:is>
          <ns0:t>11–7
01000
rd</ns0:t>
        </ns0:is>
      </ns0:c>
      <ns0:c r="Q82" s="76" t="inlineStr">
        <ns0:is>
          <ns0:t>6–0
0010011
opcode</ns0:t>
        </ns0:is>
      </ns0:c>
    </ns0:row>
    <ns0:row r="83" ht="52" customHeight="1">
      <ns0:c r="A83" s="68" t="n">
        <ns0:v>75</ns0:v>
      </ns0:c>
      <ns0:c r="B83" s="69" t="inlineStr">
        <ns0:is>
          <ns0:t>0x00000128</ns0:t>
        </ns0:is>
      </ns0:c>
      <ns0:c r="C83" s="69" t="inlineStr">
        <ns0:is>
          <ns0:t>0x028F8C63</ns0:t>
        </ns0:is>
      </ns0:c>
      <ns0:c r="D83" s="70" t="inlineStr">
        <ns0:is>
          <ns0:t>beq t6, s0, 0x00000160</ns0:t>
        </ns0:is>
      </ns0:c>
      <ns0:c r="E83" s="71" t="inlineStr">
        <ns0:is>
          <ns0:t>beq</ns0:t>
        </ns0:is>
      </ns0:c>
      <ns0:c r="F83" s="71" t="inlineStr">
        <ns0:is>
          <ns0:t>B</ns0:t>
        </ns0:is>
      </ns0:c>
      <ns0:c r="G83" s="71" t="n">
        <ns0:v>0</ns0:v>
      </ns0:c>
      <ns0:c r="H83" s="71" t="n">
        <ns0:v>56</ns0:v>
      </ns0:c>
      <ns0:c r="I83" s="72" t="inlineStr">
        <ns0:is>
          <ns0:t>0x00000160</ns0:t>
        </ns0:is>
      </ns0:c>
      <ns0:c r="J83" s="72" t="inlineStr">
        <ns0:is>
          <ns0:t>00000010100011111000110001100011</ns0:t>
        </ns0:is>
      </ns0:c>
      <ns0:c r="K83" s="73" t="inlineStr">
        <ns0:is>
          <ns0:t>Если t6 = s0, PC ← 0x00000160; иначе PC ← PC+4. Смещение +56 байт.</ns0:t>
        </ns0:is>
      </ns0:c>
      <ns0:c r="L83" s="70" t="inlineStr">
        <ns0:is>
          <ns0:t>Только ROM</ns0:t>
        </ns0:is>
      </ns0:c>
      <ns0:c r="M83" s="74" t="inlineStr">
        <ns0:is>
          <ns0:t>31
0
imm[12]</ns0:t>
        </ns0:is>
      </ns0:c>
      <ns0:c r="N83" s="74" t="inlineStr">
        <ns0:is>
          <ns0:t>30–25
000001
imm[10:5]</ns0:t>
        </ns0:is>
      </ns0:c>
      <ns0:c r="O83" s="75" t="inlineStr">
        <ns0:is>
          <ns0:t>24–20
01000
rs2</ns0:t>
        </ns0:is>
      </ns0:c>
      <ns0:c r="P83" s="75" t="inlineStr">
        <ns0:is>
          <ns0:t>19–15
11111
rs1</ns0:t>
        </ns0:is>
      </ns0:c>
      <ns0:c r="Q83" s="83" t="inlineStr">
        <ns0:is>
          <ns0:t>14–12
000
funct3</ns0:t>
        </ns0:is>
      </ns0:c>
      <ns0:c r="R83" s="74" t="inlineStr">
        <ns0:is>
          <ns0:t>11–8
1100
imm[4:1]</ns0:t>
        </ns0:is>
      </ns0:c>
      <ns0:c r="S83" s="74" t="inlineStr">
        <ns0:is>
          <ns0:t>7
0
imm[11]</ns0:t>
        </ns0:is>
      </ns0:c>
      <ns0:c r="T83" s="76" t="inlineStr">
        <ns0:is>
          <ns0:t>6–0
1100011
opcode</ns0:t>
        </ns0:is>
      </ns0:c>
    </ns0:row>
    <ns0:row r="84" ht="52" customHeight="1">
      <ns0:c r="A84" s="77" t="n">
        <ns0:v>76</ns0:v>
      </ns0:c>
      <ns0:c r="B84" s="78" t="inlineStr">
        <ns0:is>
          <ns0:t>0x0000012C</ns0:t>
        </ns0:is>
      </ns0:c>
      <ns0:c r="C84" s="78" t="inlineStr">
        <ns0:is>
          <ns0:t>0x00400413</ns0:t>
        </ns0:is>
      </ns0:c>
      <ns0:c r="D84" s="79" t="inlineStr">
        <ns0:is>
          <ns0:t>addi s0, zero, 4</ns0:t>
        </ns0:is>
      </ns0:c>
      <ns0:c r="E84" s="80" t="inlineStr">
        <ns0:is>
          <ns0:t>addi</ns0:t>
        </ns0:is>
      </ns0:c>
      <ns0:c r="F84" s="80" t="inlineStr">
        <ns0:is>
          <ns0:t>I</ns0:t>
        </ns0:is>
      </ns0:c>
      <ns0:c r="G84" s="80" t="n">
        <ns0:v>0</ns0:v>
      </ns0:c>
      <ns0:c r="H84" s="80" t="n">
        <ns0:v>4</ns0:v>
      </ns0:c>
      <ns0:c r="I84" s="81" t="inlineStr">
        <ns0:is>
          <ns0:t>—</ns0:t>
        </ns0:is>
      </ns0:c>
      <ns0:c r="J84" s="81" t="inlineStr">
        <ns0:is>
          <ns0:t>00000000010000000000010000010011</ns0:t>
        </ns0:is>
      </ns0:c>
      <ns0:c r="K84" s="82" t="inlineStr">
        <ns0:is>
          <ns0:t>s0 ← zero + (+4); арифметика RV32I по модулю 2³².</ns0:t>
        </ns0:is>
      </ns0:c>
      <ns0:c r="L84" s="79" t="inlineStr">
        <ns0:is>
          <ns0:t>Только ROM</ns0:t>
        </ns0:is>
      </ns0:c>
      <ns0:c r="M84" s="74" t="inlineStr">
        <ns0:is>
          <ns0:t>31–20
000000000100
imm[11:0]</ns0:t>
        </ns0:is>
      </ns0:c>
      <ns0:c r="N84" s="75" t="inlineStr">
        <ns0:is>
          <ns0:t>19–15
00000
rs1</ns0:t>
        </ns0:is>
      </ns0:c>
      <ns0:c r="O84" s="83" t="inlineStr">
        <ns0:is>
          <ns0:t>14–12
000
funct3</ns0:t>
        </ns0:is>
      </ns0:c>
      <ns0:c r="P84" s="75" t="inlineStr">
        <ns0:is>
          <ns0:t>11–7
01000
rd</ns0:t>
        </ns0:is>
      </ns0:c>
      <ns0:c r="Q84" s="76" t="inlineStr">
        <ns0:is>
          <ns0:t>6–0
0010011
opcode</ns0:t>
        </ns0:is>
      </ns0:c>
    </ns0:row>
    <ns0:row r="85" ht="52" customHeight="1">
      <ns0:c r="A85" s="68" t="n">
        <ns0:v>77</ns0:v>
      </ns0:c>
      <ns0:c r="B85" s="69" t="inlineStr">
        <ns0:is>
          <ns0:t>0x00000130</ns0:t>
        </ns0:is>
      </ns0:c>
      <ns0:c r="C85" s="69" t="inlineStr">
        <ns0:is>
          <ns0:t>0x028F8C63</ns0:t>
        </ns0:is>
      </ns0:c>
      <ns0:c r="D85" s="70" t="inlineStr">
        <ns0:is>
          <ns0:t>beq t6, s0, 0x00000168</ns0:t>
        </ns0:is>
      </ns0:c>
      <ns0:c r="E85" s="71" t="inlineStr">
        <ns0:is>
          <ns0:t>beq</ns0:t>
        </ns0:is>
      </ns0:c>
      <ns0:c r="F85" s="71" t="inlineStr">
        <ns0:is>
          <ns0:t>B</ns0:t>
        </ns0:is>
      </ns0:c>
      <ns0:c r="G85" s="71" t="n">
        <ns0:v>0</ns0:v>
      </ns0:c>
      <ns0:c r="H85" s="71" t="n">
        <ns0:v>56</ns0:v>
      </ns0:c>
      <ns0:c r="I85" s="72" t="inlineStr">
        <ns0:is>
          <ns0:t>0x00000168</ns0:t>
        </ns0:is>
      </ns0:c>
      <ns0:c r="J85" s="72" t="inlineStr">
        <ns0:is>
          <ns0:t>00000010100011111000110001100011</ns0:t>
        </ns0:is>
      </ns0:c>
      <ns0:c r="K85" s="73" t="inlineStr">
        <ns0:is>
          <ns0:t>Если t6 = s0, PC ← 0x00000168; иначе PC ← PC+4. Смещение +56 байт.</ns0:t>
        </ns0:is>
      </ns0:c>
      <ns0:c r="L85" s="70" t="inlineStr">
        <ns0:is>
          <ns0:t>Только ROM</ns0:t>
        </ns0:is>
      </ns0:c>
      <ns0:c r="M85" s="74" t="inlineStr">
        <ns0:is>
          <ns0:t>31
0
imm[12]</ns0:t>
        </ns0:is>
      </ns0:c>
      <ns0:c r="N85" s="74" t="inlineStr">
        <ns0:is>
          <ns0:t>30–25
000001
imm[10:5]</ns0:t>
        </ns0:is>
      </ns0:c>
      <ns0:c r="O85" s="75" t="inlineStr">
        <ns0:is>
          <ns0:t>24–20
01000
rs2</ns0:t>
        </ns0:is>
      </ns0:c>
      <ns0:c r="P85" s="75" t="inlineStr">
        <ns0:is>
          <ns0:t>19–15
11111
rs1</ns0:t>
        </ns0:is>
      </ns0:c>
      <ns0:c r="Q85" s="83" t="inlineStr">
        <ns0:is>
          <ns0:t>14–12
000
funct3</ns0:t>
        </ns0:is>
      </ns0:c>
      <ns0:c r="R85" s="74" t="inlineStr">
        <ns0:is>
          <ns0:t>11–8
1100
imm[4:1]</ns0:t>
        </ns0:is>
      </ns0:c>
      <ns0:c r="S85" s="74" t="inlineStr">
        <ns0:is>
          <ns0:t>7
0
imm[11]</ns0:t>
        </ns0:is>
      </ns0:c>
      <ns0:c r="T85" s="76" t="inlineStr">
        <ns0:is>
          <ns0:t>6–0
1100011
opcode</ns0:t>
        </ns0:is>
      </ns0:c>
    </ns0:row>
    <ns0:row r="86" ht="52" customHeight="1">
      <ns0:c r="A86" s="77" t="n">
        <ns0:v>78</ns0:v>
      </ns0:c>
      <ns0:c r="B86" s="78" t="inlineStr">
        <ns0:is>
          <ns0:t>0x00000134</ns0:t>
        </ns0:is>
      </ns0:c>
      <ns0:c r="C86" s="78" t="inlineStr">
        <ns0:is>
          <ns0:t>0x00800413</ns0:t>
        </ns0:is>
      </ns0:c>
      <ns0:c r="D86" s="79" t="inlineStr">
        <ns0:is>
          <ns0:t>addi s0, zero, 8</ns0:t>
        </ns0:is>
      </ns0:c>
      <ns0:c r="E86" s="80" t="inlineStr">
        <ns0:is>
          <ns0:t>addi</ns0:t>
        </ns0:is>
      </ns0:c>
      <ns0:c r="F86" s="80" t="inlineStr">
        <ns0:is>
          <ns0:t>I</ns0:t>
        </ns0:is>
      </ns0:c>
      <ns0:c r="G86" s="80" t="n">
        <ns0:v>0</ns0:v>
      </ns0:c>
      <ns0:c r="H86" s="80" t="n">
        <ns0:v>8</ns0:v>
      </ns0:c>
      <ns0:c r="I86" s="81" t="inlineStr">
        <ns0:is>
          <ns0:t>—</ns0:t>
        </ns0:is>
      </ns0:c>
      <ns0:c r="J86" s="81" t="inlineStr">
        <ns0:is>
          <ns0:t>00000000100000000000010000010011</ns0:t>
        </ns0:is>
      </ns0:c>
      <ns0:c r="K86" s="82" t="inlineStr">
        <ns0:is>
          <ns0:t>s0 ← zero + (+8); арифметика RV32I по модулю 2³².</ns0:t>
        </ns0:is>
      </ns0:c>
      <ns0:c r="L86" s="79" t="inlineStr">
        <ns0:is>
          <ns0:t>Только ROM</ns0:t>
        </ns0:is>
      </ns0:c>
      <ns0:c r="M86" s="74" t="inlineStr">
        <ns0:is>
          <ns0:t>31–20
000000001000
imm[11:0]</ns0:t>
        </ns0:is>
      </ns0:c>
      <ns0:c r="N86" s="75" t="inlineStr">
        <ns0:is>
          <ns0:t>19–15
00000
rs1</ns0:t>
        </ns0:is>
      </ns0:c>
      <ns0:c r="O86" s="83" t="inlineStr">
        <ns0:is>
          <ns0:t>14–12
000
funct3</ns0:t>
        </ns0:is>
      </ns0:c>
      <ns0:c r="P86" s="75" t="inlineStr">
        <ns0:is>
          <ns0:t>11–7
01000
rd</ns0:t>
        </ns0:is>
      </ns0:c>
      <ns0:c r="Q86" s="76" t="inlineStr">
        <ns0:is>
          <ns0:t>6–0
0010011
opcode</ns0:t>
        </ns0:is>
      </ns0:c>
    </ns0:row>
    <ns0:row r="87" ht="52" customHeight="1">
      <ns0:c r="A87" s="68" t="n">
        <ns0:v>79</ns0:v>
      </ns0:c>
      <ns0:c r="B87" s="69" t="inlineStr">
        <ns0:is>
          <ns0:t>0x00000138</ns0:t>
        </ns0:is>
      </ns0:c>
      <ns0:c r="C87" s="69" t="inlineStr">
        <ns0:is>
          <ns0:t>0x028F8C63</ns0:t>
        </ns0:is>
      </ns0:c>
      <ns0:c r="D87" s="70" t="inlineStr">
        <ns0:is>
          <ns0:t>beq t6, s0, 0x00000170</ns0:t>
        </ns0:is>
      </ns0:c>
      <ns0:c r="E87" s="71" t="inlineStr">
        <ns0:is>
          <ns0:t>beq</ns0:t>
        </ns0:is>
      </ns0:c>
      <ns0:c r="F87" s="71" t="inlineStr">
        <ns0:is>
          <ns0:t>B</ns0:t>
        </ns0:is>
      </ns0:c>
      <ns0:c r="G87" s="71" t="n">
        <ns0:v>0</ns0:v>
      </ns0:c>
      <ns0:c r="H87" s="71" t="n">
        <ns0:v>56</ns0:v>
      </ns0:c>
      <ns0:c r="I87" s="72" t="inlineStr">
        <ns0:is>
          <ns0:t>0x00000170</ns0:t>
        </ns0:is>
      </ns0:c>
      <ns0:c r="J87" s="72" t="inlineStr">
        <ns0:is>
          <ns0:t>00000010100011111000110001100011</ns0:t>
        </ns0:is>
      </ns0:c>
      <ns0:c r="K87" s="73" t="inlineStr">
        <ns0:is>
          <ns0:t>Если t6 = s0, PC ← 0x00000170; иначе PC ← PC+4. Смещение +56 байт.</ns0:t>
        </ns0:is>
      </ns0:c>
      <ns0:c r="L87" s="70" t="inlineStr">
        <ns0:is>
          <ns0:t>Только ROM</ns0:t>
        </ns0:is>
      </ns0:c>
      <ns0:c r="M87" s="74" t="inlineStr">
        <ns0:is>
          <ns0:t>31
0
imm[12]</ns0:t>
        </ns0:is>
      </ns0:c>
      <ns0:c r="N87" s="74" t="inlineStr">
        <ns0:is>
          <ns0:t>30–25
000001
imm[10:5]</ns0:t>
        </ns0:is>
      </ns0:c>
      <ns0:c r="O87" s="75" t="inlineStr">
        <ns0:is>
          <ns0:t>24–20
01000
rs2</ns0:t>
        </ns0:is>
      </ns0:c>
      <ns0:c r="P87" s="75" t="inlineStr">
        <ns0:is>
          <ns0:t>19–15
11111
rs1</ns0:t>
        </ns0:is>
      </ns0:c>
      <ns0:c r="Q87" s="83" t="inlineStr">
        <ns0:is>
          <ns0:t>14–12
000
funct3</ns0:t>
        </ns0:is>
      </ns0:c>
      <ns0:c r="R87" s="74" t="inlineStr">
        <ns0:is>
          <ns0:t>11–8
1100
imm[4:1]</ns0:t>
        </ns0:is>
      </ns0:c>
      <ns0:c r="S87" s="74" t="inlineStr">
        <ns0:is>
          <ns0:t>7
0
imm[11]</ns0:t>
        </ns0:is>
      </ns0:c>
      <ns0:c r="T87" s="76" t="inlineStr">
        <ns0:is>
          <ns0:t>6–0
1100011
opcode</ns0:t>
        </ns0:is>
      </ns0:c>
    </ns0:row>
    <ns0:row r="88" ht="52" customHeight="1">
      <ns0:c r="A88" s="77" t="n">
        <ns0:v>80</ns0:v>
      </ns0:c>
      <ns0:c r="B88" s="78" t="inlineStr">
        <ns0:is>
          <ns0:t>0x0000013C</ns0:t>
        </ns0:is>
      </ns0:c>
      <ns0:c r="C88" s="78" t="inlineStr">
        <ns0:is>
          <ns0:t>0x01000413</ns0:t>
        </ns0:is>
      </ns0:c>
      <ns0:c r="D88" s="79" t="inlineStr">
        <ns0:is>
          <ns0:t>addi s0, zero, 16</ns0:t>
        </ns0:is>
      </ns0:c>
      <ns0:c r="E88" s="80" t="inlineStr">
        <ns0:is>
          <ns0:t>addi</ns0:t>
        </ns0:is>
      </ns0:c>
      <ns0:c r="F88" s="80" t="inlineStr">
        <ns0:is>
          <ns0:t>I</ns0:t>
        </ns0:is>
      </ns0:c>
      <ns0:c r="G88" s="80" t="n">
        <ns0:v>0</ns0:v>
      </ns0:c>
      <ns0:c r="H88" s="80" t="n">
        <ns0:v>16</ns0:v>
      </ns0:c>
      <ns0:c r="I88" s="81" t="inlineStr">
        <ns0:is>
          <ns0:t>—</ns0:t>
        </ns0:is>
      </ns0:c>
      <ns0:c r="J88" s="81" t="inlineStr">
        <ns0:is>
          <ns0:t>00000001000000000000010000010011</ns0:t>
        </ns0:is>
      </ns0:c>
      <ns0:c r="K88" s="82" t="inlineStr">
        <ns0:is>
          <ns0:t>s0 ← zero + (+16); арифметика RV32I по модулю 2³².</ns0:t>
        </ns0:is>
      </ns0:c>
      <ns0:c r="L88" s="79" t="inlineStr">
        <ns0:is>
          <ns0:t>Только ROM</ns0:t>
        </ns0:is>
      </ns0:c>
      <ns0:c r="M88" s="74" t="inlineStr">
        <ns0:is>
          <ns0:t>31–20
000000010000
imm[11:0]</ns0:t>
        </ns0:is>
      </ns0:c>
      <ns0:c r="N88" s="75" t="inlineStr">
        <ns0:is>
          <ns0:t>19–15
00000
rs1</ns0:t>
        </ns0:is>
      </ns0:c>
      <ns0:c r="O88" s="83" t="inlineStr">
        <ns0:is>
          <ns0:t>14–12
000
funct3</ns0:t>
        </ns0:is>
      </ns0:c>
      <ns0:c r="P88" s="75" t="inlineStr">
        <ns0:is>
          <ns0:t>11–7
01000
rd</ns0:t>
        </ns0:is>
      </ns0:c>
      <ns0:c r="Q88" s="76" t="inlineStr">
        <ns0:is>
          <ns0:t>6–0
0010011
opcode</ns0:t>
        </ns0:is>
      </ns0:c>
    </ns0:row>
    <ns0:row r="89" ht="52" customHeight="1">
      <ns0:c r="A89" s="68" t="n">
        <ns0:v>81</ns0:v>
      </ns0:c>
      <ns0:c r="B89" s="69" t="inlineStr">
        <ns0:is>
          <ns0:t>0x00000140</ns0:t>
        </ns0:is>
      </ns0:c>
      <ns0:c r="C89" s="69" t="inlineStr">
        <ns0:is>
          <ns0:t>0x028F8C63</ns0:t>
        </ns0:is>
      </ns0:c>
      <ns0:c r="D89" s="70" t="inlineStr">
        <ns0:is>
          <ns0:t>beq t6, s0, 0x00000178</ns0:t>
        </ns0:is>
      </ns0:c>
      <ns0:c r="E89" s="71" t="inlineStr">
        <ns0:is>
          <ns0:t>beq</ns0:t>
        </ns0:is>
      </ns0:c>
      <ns0:c r="F89" s="71" t="inlineStr">
        <ns0:is>
          <ns0:t>B</ns0:t>
        </ns0:is>
      </ns0:c>
      <ns0:c r="G89" s="71" t="n">
        <ns0:v>0</ns0:v>
      </ns0:c>
      <ns0:c r="H89" s="71" t="n">
        <ns0:v>56</ns0:v>
      </ns0:c>
      <ns0:c r="I89" s="72" t="inlineStr">
        <ns0:is>
          <ns0:t>0x00000178</ns0:t>
        </ns0:is>
      </ns0:c>
      <ns0:c r="J89" s="72" t="inlineStr">
        <ns0:is>
          <ns0:t>00000010100011111000110001100011</ns0:t>
        </ns0:is>
      </ns0:c>
      <ns0:c r="K89" s="73" t="inlineStr">
        <ns0:is>
          <ns0:t>Если t6 = s0, PC ← 0x00000178; иначе PC ← PC+4. Смещение +56 байт.</ns0:t>
        </ns0:is>
      </ns0:c>
      <ns0:c r="L89" s="70" t="inlineStr">
        <ns0:is>
          <ns0:t>Только ROM</ns0:t>
        </ns0:is>
      </ns0:c>
      <ns0:c r="M89" s="74" t="inlineStr">
        <ns0:is>
          <ns0:t>31
0
imm[12]</ns0:t>
        </ns0:is>
      </ns0:c>
      <ns0:c r="N89" s="74" t="inlineStr">
        <ns0:is>
          <ns0:t>30–25
000001
imm[10:5]</ns0:t>
        </ns0:is>
      </ns0:c>
      <ns0:c r="O89" s="75" t="inlineStr">
        <ns0:is>
          <ns0:t>24–20
01000
rs2</ns0:t>
        </ns0:is>
      </ns0:c>
      <ns0:c r="P89" s="75" t="inlineStr">
        <ns0:is>
          <ns0:t>19–15
11111
rs1</ns0:t>
        </ns0:is>
      </ns0:c>
      <ns0:c r="Q89" s="83" t="inlineStr">
        <ns0:is>
          <ns0:t>14–12
000
funct3</ns0:t>
        </ns0:is>
      </ns0:c>
      <ns0:c r="R89" s="74" t="inlineStr">
        <ns0:is>
          <ns0:t>11–8
1100
imm[4:1]</ns0:t>
        </ns0:is>
      </ns0:c>
      <ns0:c r="S89" s="74" t="inlineStr">
        <ns0:is>
          <ns0:t>7
0
imm[11]</ns0:t>
        </ns0:is>
      </ns0:c>
      <ns0:c r="T89" s="76" t="inlineStr">
        <ns0:is>
          <ns0:t>6–0
1100011
opcode</ns0:t>
        </ns0:is>
      </ns0:c>
    </ns0:row>
    <ns0:row r="90" ht="52" customHeight="1">
      <ns0:c r="A90" s="77" t="n">
        <ns0:v>82</ns0:v>
      </ns0:c>
      <ns0:c r="B90" s="78" t="inlineStr">
        <ns0:is>
          <ns0:t>0x00000144</ns0:t>
        </ns0:is>
      </ns0:c>
      <ns0:c r="C90" s="78" t="inlineStr">
        <ns0:is>
          <ns0:t>0x02000413</ns0:t>
        </ns0:is>
      </ns0:c>
      <ns0:c r="D90" s="79" t="inlineStr">
        <ns0:is>
          <ns0:t>addi s0, zero, 32</ns0:t>
        </ns0:is>
      </ns0:c>
      <ns0:c r="E90" s="80" t="inlineStr">
        <ns0:is>
          <ns0:t>addi</ns0:t>
        </ns0:is>
      </ns0:c>
      <ns0:c r="F90" s="80" t="inlineStr">
        <ns0:is>
          <ns0:t>I</ns0:t>
        </ns0:is>
      </ns0:c>
      <ns0:c r="G90" s="80" t="n">
        <ns0:v>0</ns0:v>
      </ns0:c>
      <ns0:c r="H90" s="80" t="n">
        <ns0:v>32</ns0:v>
      </ns0:c>
      <ns0:c r="I90" s="81" t="inlineStr">
        <ns0:is>
          <ns0:t>—</ns0:t>
        </ns0:is>
      </ns0:c>
      <ns0:c r="J90" s="81" t="inlineStr">
        <ns0:is>
          <ns0:t>00000010000000000000010000010011</ns0:t>
        </ns0:is>
      </ns0:c>
      <ns0:c r="K90" s="82" t="inlineStr">
        <ns0:is>
          <ns0:t>s0 ← zero + (+32); арифметика RV32I по модулю 2³².</ns0:t>
        </ns0:is>
      </ns0:c>
      <ns0:c r="L90" s="79" t="inlineStr">
        <ns0:is>
          <ns0:t>Только ROM</ns0:t>
        </ns0:is>
      </ns0:c>
      <ns0:c r="M90" s="74" t="inlineStr">
        <ns0:is>
          <ns0:t>31–20
000000100000
imm[11:0]</ns0:t>
        </ns0:is>
      </ns0:c>
      <ns0:c r="N90" s="75" t="inlineStr">
        <ns0:is>
          <ns0:t>19–15
00000
rs1</ns0:t>
        </ns0:is>
      </ns0:c>
      <ns0:c r="O90" s="83" t="inlineStr">
        <ns0:is>
          <ns0:t>14–12
000
funct3</ns0:t>
        </ns0:is>
      </ns0:c>
      <ns0:c r="P90" s="75" t="inlineStr">
        <ns0:is>
          <ns0:t>11–7
01000
rd</ns0:t>
        </ns0:is>
      </ns0:c>
      <ns0:c r="Q90" s="76" t="inlineStr">
        <ns0:is>
          <ns0:t>6–0
0010011
opcode</ns0:t>
        </ns0:is>
      </ns0:c>
    </ns0:row>
    <ns0:row r="91" ht="52" customHeight="1">
      <ns0:c r="A91" s="68" t="n">
        <ns0:v>83</ns0:v>
      </ns0:c>
      <ns0:c r="B91" s="69" t="inlineStr">
        <ns0:is>
          <ns0:t>0x00000148</ns0:t>
        </ns0:is>
      </ns0:c>
      <ns0:c r="C91" s="69" t="inlineStr">
        <ns0:is>
          <ns0:t>0x028F8C63</ns0:t>
        </ns0:is>
      </ns0:c>
      <ns0:c r="D91" s="70" t="inlineStr">
        <ns0:is>
          <ns0:t>beq t6, s0, 0x00000180</ns0:t>
        </ns0:is>
      </ns0:c>
      <ns0:c r="E91" s="71" t="inlineStr">
        <ns0:is>
          <ns0:t>beq</ns0:t>
        </ns0:is>
      </ns0:c>
      <ns0:c r="F91" s="71" t="inlineStr">
        <ns0:is>
          <ns0:t>B</ns0:t>
        </ns0:is>
      </ns0:c>
      <ns0:c r="G91" s="71" t="n">
        <ns0:v>0</ns0:v>
      </ns0:c>
      <ns0:c r="H91" s="71" t="n">
        <ns0:v>56</ns0:v>
      </ns0:c>
      <ns0:c r="I91" s="72" t="inlineStr">
        <ns0:is>
          <ns0:t>0x00000180</ns0:t>
        </ns0:is>
      </ns0:c>
      <ns0:c r="J91" s="72" t="inlineStr">
        <ns0:is>
          <ns0:t>00000010100011111000110001100011</ns0:t>
        </ns0:is>
      </ns0:c>
      <ns0:c r="K91" s="73" t="inlineStr">
        <ns0:is>
          <ns0:t>Если t6 = s0, PC ← 0x00000180; иначе PC ← PC+4. Смещение +56 байт.</ns0:t>
        </ns0:is>
      </ns0:c>
      <ns0:c r="L91" s="70" t="inlineStr">
        <ns0:is>
          <ns0:t>Только ROM</ns0:t>
        </ns0:is>
      </ns0:c>
      <ns0:c r="M91" s="74" t="inlineStr">
        <ns0:is>
          <ns0:t>31
0
imm[12]</ns0:t>
        </ns0:is>
      </ns0:c>
      <ns0:c r="N91" s="74" t="inlineStr">
        <ns0:is>
          <ns0:t>30–25
000001
imm[10:5]</ns0:t>
        </ns0:is>
      </ns0:c>
      <ns0:c r="O91" s="75" t="inlineStr">
        <ns0:is>
          <ns0:t>24–20
01000
rs2</ns0:t>
        </ns0:is>
      </ns0:c>
      <ns0:c r="P91" s="75" t="inlineStr">
        <ns0:is>
          <ns0:t>19–15
11111
rs1</ns0:t>
        </ns0:is>
      </ns0:c>
      <ns0:c r="Q91" s="83" t="inlineStr">
        <ns0:is>
          <ns0:t>14–12
000
funct3</ns0:t>
        </ns0:is>
      </ns0:c>
      <ns0:c r="R91" s="74" t="inlineStr">
        <ns0:is>
          <ns0:t>11–8
1100
imm[4:1]</ns0:t>
        </ns0:is>
      </ns0:c>
      <ns0:c r="S91" s="74" t="inlineStr">
        <ns0:is>
          <ns0:t>7
0
imm[11]</ns0:t>
        </ns0:is>
      </ns0:c>
      <ns0:c r="T91" s="76" t="inlineStr">
        <ns0:is>
          <ns0:t>6–0
1100011
opcode</ns0:t>
        </ns0:is>
      </ns0:c>
    </ns0:row>
    <ns0:row r="92" ht="52" customHeight="1">
      <ns0:c r="A92" s="77" t="n">
        <ns0:v>84</ns0:v>
      </ns0:c>
      <ns0:c r="B92" s="78" t="inlineStr">
        <ns0:is>
          <ns0:t>0x0000014C</ns0:t>
        </ns0:is>
      </ns0:c>
      <ns0:c r="C92" s="78" t="inlineStr">
        <ns0:is>
          <ns0:t>0x0740006F</ns0:t>
        </ns0:is>
      </ns0:c>
      <ns0:c r="D92" s="79" t="inlineStr">
        <ns0:is>
          <ns0:t>jal zero, 0x000001c0</ns0:t>
        </ns0:is>
      </ns0:c>
      <ns0:c r="E92" s="80" t="inlineStr">
        <ns0:is>
          <ns0:t>jal</ns0:t>
        </ns0:is>
      </ns0:c>
      <ns0:c r="F92" s="80" t="inlineStr">
        <ns0:is>
          <ns0:t>J</ns0:t>
        </ns0:is>
      </ns0:c>
      <ns0:c r="G92" s="80" t="n">
        <ns0:v>0</ns0:v>
      </ns0:c>
      <ns0:c r="H92" s="80" t="n">
        <ns0:v>116</ns0:v>
      </ns0:c>
      <ns0:c r="I92" s="81" t="inlineStr">
        <ns0:is>
          <ns0:t>0x000001C0</ns0:t>
        </ns0:is>
      </ns0:c>
      <ns0:c r="J92" s="81" t="inlineStr">
        <ns0:is>
          <ns0:t>00000111010000000000000001101111</ns0:t>
        </ns0:is>
      </ns0:c>
      <ns0:c r="K92" s="82" t="inlineStr">
        <ns0:is>
          <ns0:t>PC ← 0x000001C0; rd (zero) ← PC+4. Смещение +116 байт относительно PC.</ns0:t>
        </ns0:is>
      </ns0:c>
      <ns0:c r="L92" s="79" t="inlineStr">
        <ns0:is>
          <ns0:t>Только ROM</ns0:t>
        </ns0:is>
      </ns0:c>
      <ns0:c r="M92" s="74" t="inlineStr">
        <ns0:is>
          <ns0:t>31
0
imm[20]</ns0:t>
        </ns0:is>
      </ns0:c>
      <ns0:c r="N92" s="74" t="inlineStr">
        <ns0:is>
          <ns0:t>30–21
0000111010
imm[10:1]</ns0:t>
        </ns0:is>
      </ns0:c>
      <ns0:c r="O92" s="74" t="inlineStr">
        <ns0:is>
          <ns0:t>20
0
imm[11]</ns0:t>
        </ns0:is>
      </ns0:c>
      <ns0:c r="P92" s="74" t="inlineStr">
        <ns0:is>
          <ns0:t>19–12
00000000
imm[19:12]</ns0:t>
        </ns0:is>
      </ns0:c>
      <ns0:c r="Q92" s="75" t="inlineStr">
        <ns0:is>
          <ns0:t>11–7
00000
rd</ns0:t>
        </ns0:is>
      </ns0:c>
      <ns0:c r="R92" s="76" t="inlineStr">
        <ns0:is>
          <ns0:t>6–0
1101111
opcode</ns0:t>
        </ns0:is>
      </ns0:c>
    </ns0:row>
    <ns0:row r="93" ht="52" customHeight="1">
      <ns0:c r="A93" s="68" t="n">
        <ns0:v>85</ns0:v>
      </ns0:c>
      <ns0:c r="B93" s="69" t="inlineStr">
        <ns0:is>
          <ns0:t>0x00000150</ns0:t>
        </ns0:is>
      </ns0:c>
      <ns0:c r="C93" s="69" t="inlineStr">
        <ns0:is>
          <ns0:t>0x03000F13</ns0:t>
        </ns0:is>
      </ns0:c>
      <ns0:c r="D93" s="70" t="inlineStr">
        <ns0:is>
          <ns0:t>addi t5, zero, 48</ns0:t>
        </ns0:is>
      </ns0:c>
      <ns0:c r="E93" s="71" t="inlineStr">
        <ns0:is>
          <ns0:t>addi</ns0:t>
        </ns0:is>
      </ns0:c>
      <ns0:c r="F93" s="71" t="inlineStr">
        <ns0:is>
          <ns0:t>I</ns0:t>
        </ns0:is>
      </ns0:c>
      <ns0:c r="G93" s="71" t="n">
        <ns0:v>0</ns0:v>
      </ns0:c>
      <ns0:c r="H93" s="71" t="n">
        <ns0:v>48</ns0:v>
      </ns0:c>
      <ns0:c r="I93" s="72" t="inlineStr">
        <ns0:is>
          <ns0:t>—</ns0:t>
        </ns0:is>
      </ns0:c>
      <ns0:c r="J93" s="72" t="inlineStr">
        <ns0:is>
          <ns0:t>00000011000000000000111100010011</ns0:t>
        </ns0:is>
      </ns0:c>
      <ns0:c r="K93" s="73" t="inlineStr">
        <ns0:is>
          <ns0:t>t5 ← zero + (+48); арифметика RV32I по модулю 2³².</ns0:t>
        </ns0:is>
      </ns0:c>
      <ns0:c r="L93" s="70" t="inlineStr">
        <ns0:is>
          <ns0:t>Только ROM</ns0:t>
        </ns0:is>
      </ns0:c>
      <ns0:c r="M93" s="74" t="inlineStr">
        <ns0:is>
          <ns0:t>31–20
000000110000
imm[11:0]</ns0:t>
        </ns0:is>
      </ns0:c>
      <ns0:c r="N93" s="75" t="inlineStr">
        <ns0:is>
          <ns0:t>19–15
00000
rs1</ns0:t>
        </ns0:is>
      </ns0:c>
      <ns0:c r="O93" s="83" t="inlineStr">
        <ns0:is>
          <ns0:t>14–12
000
funct3</ns0:t>
        </ns0:is>
      </ns0:c>
      <ns0:c r="P93" s="75" t="inlineStr">
        <ns0:is>
          <ns0:t>11–7
11110
rd</ns0:t>
        </ns0:is>
      </ns0:c>
      <ns0:c r="Q93" s="76" t="inlineStr">
        <ns0:is>
          <ns0:t>6–0
0010011
opcode</ns0:t>
        </ns0:is>
      </ns0:c>
    </ns0:row>
    <ns0:row r="94" ht="52" customHeight="1">
      <ns0:c r="A94" s="77" t="n">
        <ns0:v>86</ns0:v>
      </ns0:c>
      <ns0:c r="B94" s="78" t="inlineStr">
        <ns0:is>
          <ns0:t>0x00000154</ns0:t>
        </ns0:is>
      </ns0:c>
      <ns0:c r="C94" s="78" t="inlineStr">
        <ns0:is>
          <ns0:t>0x0340006F</ns0:t>
        </ns0:is>
      </ns0:c>
      <ns0:c r="D94" s="79" t="inlineStr">
        <ns0:is>
          <ns0:t>jal zero, 0x00000188</ns0:t>
        </ns0:is>
      </ns0:c>
      <ns0:c r="E94" s="80" t="inlineStr">
        <ns0:is>
          <ns0:t>jal</ns0:t>
        </ns0:is>
      </ns0:c>
      <ns0:c r="F94" s="80" t="inlineStr">
        <ns0:is>
          <ns0:t>J</ns0:t>
        </ns0:is>
      </ns0:c>
      <ns0:c r="G94" s="80" t="n">
        <ns0:v>0</ns0:v>
      </ns0:c>
      <ns0:c r="H94" s="80" t="n">
        <ns0:v>52</ns0:v>
      </ns0:c>
      <ns0:c r="I94" s="81" t="inlineStr">
        <ns0:is>
          <ns0:t>0x00000188</ns0:t>
        </ns0:is>
      </ns0:c>
      <ns0:c r="J94" s="81" t="inlineStr">
        <ns0:is>
          <ns0:t>00000011010000000000000001101111</ns0:t>
        </ns0:is>
      </ns0:c>
      <ns0:c r="K94" s="82" t="inlineStr">
        <ns0:is>
          <ns0:t>PC ← 0x00000188; rd (zero) ← PC+4. Смещение +52 байт относительно PC.</ns0:t>
        </ns0:is>
      </ns0:c>
      <ns0:c r="L94" s="79" t="inlineStr">
        <ns0:is>
          <ns0:t>Только ROM</ns0:t>
        </ns0:is>
      </ns0:c>
      <ns0:c r="M94" s="74" t="inlineStr">
        <ns0:is>
          <ns0:t>31
0
imm[20]</ns0:t>
        </ns0:is>
      </ns0:c>
      <ns0:c r="N94" s="74" t="inlineStr">
        <ns0:is>
          <ns0:t>30–21
0000011010
imm[10:1]</ns0:t>
        </ns0:is>
      </ns0:c>
      <ns0:c r="O94" s="74" t="inlineStr">
        <ns0:is>
          <ns0:t>20
0
imm[11]</ns0:t>
        </ns0:is>
      </ns0:c>
      <ns0:c r="P94" s="74" t="inlineStr">
        <ns0:is>
          <ns0:t>19–12
00000000
imm[19:12]</ns0:t>
        </ns0:is>
      </ns0:c>
      <ns0:c r="Q94" s="75" t="inlineStr">
        <ns0:is>
          <ns0:t>11–7
00000
rd</ns0:t>
        </ns0:is>
      </ns0:c>
      <ns0:c r="R94" s="76" t="inlineStr">
        <ns0:is>
          <ns0:t>6–0
1101111
opcode</ns0:t>
        </ns0:is>
      </ns0:c>
    </ns0:row>
    <ns0:row r="95" ht="52" customHeight="1">
      <ns0:c r="A95" s="68" t="n">
        <ns0:v>87</ns0:v>
      </ns0:c>
      <ns0:c r="B95" s="69" t="inlineStr">
        <ns0:is>
          <ns0:t>0x00000158</ns0:t>
        </ns0:is>
      </ns0:c>
      <ns0:c r="C95" s="69" t="inlineStr">
        <ns0:is>
          <ns0:t>0x03100F13</ns0:t>
        </ns0:is>
      </ns0:c>
      <ns0:c r="D95" s="70" t="inlineStr">
        <ns0:is>
          <ns0:t>addi t5, zero, 49</ns0:t>
        </ns0:is>
      </ns0:c>
      <ns0:c r="E95" s="71" t="inlineStr">
        <ns0:is>
          <ns0:t>addi</ns0:t>
        </ns0:is>
      </ns0:c>
      <ns0:c r="F95" s="71" t="inlineStr">
        <ns0:is>
          <ns0:t>I</ns0:t>
        </ns0:is>
      </ns0:c>
      <ns0:c r="G95" s="71" t="n">
        <ns0:v>0</ns0:v>
      </ns0:c>
      <ns0:c r="H95" s="71" t="n">
        <ns0:v>49</ns0:v>
      </ns0:c>
      <ns0:c r="I95" s="72" t="inlineStr">
        <ns0:is>
          <ns0:t>—</ns0:t>
        </ns0:is>
      </ns0:c>
      <ns0:c r="J95" s="72" t="inlineStr">
        <ns0:is>
          <ns0:t>00000011000100000000111100010011</ns0:t>
        </ns0:is>
      </ns0:c>
      <ns0:c r="K95" s="73" t="inlineStr">
        <ns0:is>
          <ns0:t>t5 ← zero + (+49); арифметика RV32I по модулю 2³².</ns0:t>
        </ns0:is>
      </ns0:c>
      <ns0:c r="L95" s="70" t="inlineStr">
        <ns0:is>
          <ns0:t>Только ROM</ns0:t>
        </ns0:is>
      </ns0:c>
      <ns0:c r="M95" s="74" t="inlineStr">
        <ns0:is>
          <ns0:t>31–20
000000110001
imm[11:0]</ns0:t>
        </ns0:is>
      </ns0:c>
      <ns0:c r="N95" s="75" t="inlineStr">
        <ns0:is>
          <ns0:t>19–15
00000
rs1</ns0:t>
        </ns0:is>
      </ns0:c>
      <ns0:c r="O95" s="83" t="inlineStr">
        <ns0:is>
          <ns0:t>14–12
000
funct3</ns0:t>
        </ns0:is>
      </ns0:c>
      <ns0:c r="P95" s="75" t="inlineStr">
        <ns0:is>
          <ns0:t>11–7
11110
rd</ns0:t>
        </ns0:is>
      </ns0:c>
      <ns0:c r="Q95" s="76" t="inlineStr">
        <ns0:is>
          <ns0:t>6–0
0010011
opcode</ns0:t>
        </ns0:is>
      </ns0:c>
    </ns0:row>
    <ns0:row r="96" ht="52" customHeight="1">
      <ns0:c r="A96" s="77" t="n">
        <ns0:v>88</ns0:v>
      </ns0:c>
      <ns0:c r="B96" s="78" t="inlineStr">
        <ns0:is>
          <ns0:t>0x0000015C</ns0:t>
        </ns0:is>
      </ns0:c>
      <ns0:c r="C96" s="78" t="inlineStr">
        <ns0:is>
          <ns0:t>0x02C0006F</ns0:t>
        </ns0:is>
      </ns0:c>
      <ns0:c r="D96" s="79" t="inlineStr">
        <ns0:is>
          <ns0:t>jal zero, 0x00000188</ns0:t>
        </ns0:is>
      </ns0:c>
      <ns0:c r="E96" s="80" t="inlineStr">
        <ns0:is>
          <ns0:t>jal</ns0:t>
        </ns0:is>
      </ns0:c>
      <ns0:c r="F96" s="80" t="inlineStr">
        <ns0:is>
          <ns0:t>J</ns0:t>
        </ns0:is>
      </ns0:c>
      <ns0:c r="G96" s="80" t="n">
        <ns0:v>0</ns0:v>
      </ns0:c>
      <ns0:c r="H96" s="80" t="n">
        <ns0:v>44</ns0:v>
      </ns0:c>
      <ns0:c r="I96" s="81" t="inlineStr">
        <ns0:is>
          <ns0:t>0x00000188</ns0:t>
        </ns0:is>
      </ns0:c>
      <ns0:c r="J96" s="81" t="inlineStr">
        <ns0:is>
          <ns0:t>00000010110000000000000001101111</ns0:t>
        </ns0:is>
      </ns0:c>
      <ns0:c r="K96" s="82" t="inlineStr">
        <ns0:is>
          <ns0:t>PC ← 0x00000188; rd (zero) ← PC+4. Смещение +44 байт относительно PC.</ns0:t>
        </ns0:is>
      </ns0:c>
      <ns0:c r="L96" s="79" t="inlineStr">
        <ns0:is>
          <ns0:t>Только ROM</ns0:t>
        </ns0:is>
      </ns0:c>
      <ns0:c r="M96" s="74" t="inlineStr">
        <ns0:is>
          <ns0:t>31
0
imm[20]</ns0:t>
        </ns0:is>
      </ns0:c>
      <ns0:c r="N96" s="74" t="inlineStr">
        <ns0:is>
          <ns0:t>30–21
0000010110
imm[10:1]</ns0:t>
        </ns0:is>
      </ns0:c>
      <ns0:c r="O96" s="74" t="inlineStr">
        <ns0:is>
          <ns0:t>20
0
imm[11]</ns0:t>
        </ns0:is>
      </ns0:c>
      <ns0:c r="P96" s="74" t="inlineStr">
        <ns0:is>
          <ns0:t>19–12
00000000
imm[19:12]</ns0:t>
        </ns0:is>
      </ns0:c>
      <ns0:c r="Q96" s="75" t="inlineStr">
        <ns0:is>
          <ns0:t>11–7
00000
rd</ns0:t>
        </ns0:is>
      </ns0:c>
      <ns0:c r="R96" s="76" t="inlineStr">
        <ns0:is>
          <ns0:t>6–0
1101111
opcode</ns0:t>
        </ns0:is>
      </ns0:c>
    </ns0:row>
    <ns0:row r="97" ht="52" customHeight="1">
      <ns0:c r="A97" s="68" t="n">
        <ns0:v>89</ns0:v>
      </ns0:c>
      <ns0:c r="B97" s="69" t="inlineStr">
        <ns0:is>
          <ns0:t>0x00000160</ns0:t>
        </ns0:is>
      </ns0:c>
      <ns0:c r="C97" s="69" t="inlineStr">
        <ns0:is>
          <ns0:t>0x03200F13</ns0:t>
        </ns0:is>
      </ns0:c>
      <ns0:c r="D97" s="70" t="inlineStr">
        <ns0:is>
          <ns0:t>addi t5, zero, 50</ns0:t>
        </ns0:is>
      </ns0:c>
      <ns0:c r="E97" s="71" t="inlineStr">
        <ns0:is>
          <ns0:t>addi</ns0:t>
        </ns0:is>
      </ns0:c>
      <ns0:c r="F97" s="71" t="inlineStr">
        <ns0:is>
          <ns0:t>I</ns0:t>
        </ns0:is>
      </ns0:c>
      <ns0:c r="G97" s="71" t="n">
        <ns0:v>0</ns0:v>
      </ns0:c>
      <ns0:c r="H97" s="71" t="n">
        <ns0:v>50</ns0:v>
      </ns0:c>
      <ns0:c r="I97" s="72" t="inlineStr">
        <ns0:is>
          <ns0:t>—</ns0:t>
        </ns0:is>
      </ns0:c>
      <ns0:c r="J97" s="72" t="inlineStr">
        <ns0:is>
          <ns0:t>00000011001000000000111100010011</ns0:t>
        </ns0:is>
      </ns0:c>
      <ns0:c r="K97" s="73" t="inlineStr">
        <ns0:is>
          <ns0:t>t5 ← zero + (+50); арифметика RV32I по модулю 2³².</ns0:t>
        </ns0:is>
      </ns0:c>
      <ns0:c r="L97" s="70" t="inlineStr">
        <ns0:is>
          <ns0:t>Только ROM</ns0:t>
        </ns0:is>
      </ns0:c>
      <ns0:c r="M97" s="74" t="inlineStr">
        <ns0:is>
          <ns0:t>31–20
000000110010
imm[11:0]</ns0:t>
        </ns0:is>
      </ns0:c>
      <ns0:c r="N97" s="75" t="inlineStr">
        <ns0:is>
          <ns0:t>19–15
00000
rs1</ns0:t>
        </ns0:is>
      </ns0:c>
      <ns0:c r="O97" s="83" t="inlineStr">
        <ns0:is>
          <ns0:t>14–12
000
funct3</ns0:t>
        </ns0:is>
      </ns0:c>
      <ns0:c r="P97" s="75" t="inlineStr">
        <ns0:is>
          <ns0:t>11–7
11110
rd</ns0:t>
        </ns0:is>
      </ns0:c>
      <ns0:c r="Q97" s="76" t="inlineStr">
        <ns0:is>
          <ns0:t>6–0
0010011
opcode</ns0:t>
        </ns0:is>
      </ns0:c>
    </ns0:row>
    <ns0:row r="98" ht="52" customHeight="1">
      <ns0:c r="A98" s="77" t="n">
        <ns0:v>90</ns0:v>
      </ns0:c>
      <ns0:c r="B98" s="78" t="inlineStr">
        <ns0:is>
          <ns0:t>0x00000164</ns0:t>
        </ns0:is>
      </ns0:c>
      <ns0:c r="C98" s="78" t="inlineStr">
        <ns0:is>
          <ns0:t>0x0240006F</ns0:t>
        </ns0:is>
      </ns0:c>
      <ns0:c r="D98" s="79" t="inlineStr">
        <ns0:is>
          <ns0:t>jal zero, 0x00000188</ns0:t>
        </ns0:is>
      </ns0:c>
      <ns0:c r="E98" s="80" t="inlineStr">
        <ns0:is>
          <ns0:t>jal</ns0:t>
        </ns0:is>
      </ns0:c>
      <ns0:c r="F98" s="80" t="inlineStr">
        <ns0:is>
          <ns0:t>J</ns0:t>
        </ns0:is>
      </ns0:c>
      <ns0:c r="G98" s="80" t="n">
        <ns0:v>0</ns0:v>
      </ns0:c>
      <ns0:c r="H98" s="80" t="n">
        <ns0:v>36</ns0:v>
      </ns0:c>
      <ns0:c r="I98" s="81" t="inlineStr">
        <ns0:is>
          <ns0:t>0x00000188</ns0:t>
        </ns0:is>
      </ns0:c>
      <ns0:c r="J98" s="81" t="inlineStr">
        <ns0:is>
          <ns0:t>00000010010000000000000001101111</ns0:t>
        </ns0:is>
      </ns0:c>
      <ns0:c r="K98" s="82" t="inlineStr">
        <ns0:is>
          <ns0:t>PC ← 0x00000188; rd (zero) ← PC+4. Смещение +36 байт относительно PC.</ns0:t>
        </ns0:is>
      </ns0:c>
      <ns0:c r="L98" s="79" t="inlineStr">
        <ns0:is>
          <ns0:t>Только ROM</ns0:t>
        </ns0:is>
      </ns0:c>
      <ns0:c r="M98" s="74" t="inlineStr">
        <ns0:is>
          <ns0:t>31
0
imm[20]</ns0:t>
        </ns0:is>
      </ns0:c>
      <ns0:c r="N98" s="74" t="inlineStr">
        <ns0:is>
          <ns0:t>30–21
0000010010
imm[10:1]</ns0:t>
        </ns0:is>
      </ns0:c>
      <ns0:c r="O98" s="74" t="inlineStr">
        <ns0:is>
          <ns0:t>20
0
imm[11]</ns0:t>
        </ns0:is>
      </ns0:c>
      <ns0:c r="P98" s="74" t="inlineStr">
        <ns0:is>
          <ns0:t>19–12
00000000
imm[19:12]</ns0:t>
        </ns0:is>
      </ns0:c>
      <ns0:c r="Q98" s="75" t="inlineStr">
        <ns0:is>
          <ns0:t>11–7
00000
rd</ns0:t>
        </ns0:is>
      </ns0:c>
      <ns0:c r="R98" s="76" t="inlineStr">
        <ns0:is>
          <ns0:t>6–0
1101111
opcode</ns0:t>
        </ns0:is>
      </ns0:c>
    </ns0:row>
    <ns0:row r="99" ht="52" customHeight="1">
      <ns0:c r="A99" s="68" t="n">
        <ns0:v>91</ns0:v>
      </ns0:c>
      <ns0:c r="B99" s="69" t="inlineStr">
        <ns0:is>
          <ns0:t>0x00000168</ns0:t>
        </ns0:is>
      </ns0:c>
      <ns0:c r="C99" s="69" t="inlineStr">
        <ns0:is>
          <ns0:t>0x03300F13</ns0:t>
        </ns0:is>
      </ns0:c>
      <ns0:c r="D99" s="70" t="inlineStr">
        <ns0:is>
          <ns0:t>addi t5, zero, 51</ns0:t>
        </ns0:is>
      </ns0:c>
      <ns0:c r="E99" s="71" t="inlineStr">
        <ns0:is>
          <ns0:t>addi</ns0:t>
        </ns0:is>
      </ns0:c>
      <ns0:c r="F99" s="71" t="inlineStr">
        <ns0:is>
          <ns0:t>I</ns0:t>
        </ns0:is>
      </ns0:c>
      <ns0:c r="G99" s="71" t="n">
        <ns0:v>0</ns0:v>
      </ns0:c>
      <ns0:c r="H99" s="71" t="n">
        <ns0:v>51</ns0:v>
      </ns0:c>
      <ns0:c r="I99" s="72" t="inlineStr">
        <ns0:is>
          <ns0:t>—</ns0:t>
        </ns0:is>
      </ns0:c>
      <ns0:c r="J99" s="72" t="inlineStr">
        <ns0:is>
          <ns0:t>00000011001100000000111100010011</ns0:t>
        </ns0:is>
      </ns0:c>
      <ns0:c r="K99" s="73" t="inlineStr">
        <ns0:is>
          <ns0:t>t5 ← zero + (+51); арифметика RV32I по модулю 2³².</ns0:t>
        </ns0:is>
      </ns0:c>
      <ns0:c r="L99" s="70" t="inlineStr">
        <ns0:is>
          <ns0:t>Только ROM</ns0:t>
        </ns0:is>
      </ns0:c>
      <ns0:c r="M99" s="74" t="inlineStr">
        <ns0:is>
          <ns0:t>31–20
000000110011
imm[11:0]</ns0:t>
        </ns0:is>
      </ns0:c>
      <ns0:c r="N99" s="75" t="inlineStr">
        <ns0:is>
          <ns0:t>19–15
00000
rs1</ns0:t>
        </ns0:is>
      </ns0:c>
      <ns0:c r="O99" s="83" t="inlineStr">
        <ns0:is>
          <ns0:t>14–12
000
funct3</ns0:t>
        </ns0:is>
      </ns0:c>
      <ns0:c r="P99" s="75" t="inlineStr">
        <ns0:is>
          <ns0:t>11–7
11110
rd</ns0:t>
        </ns0:is>
      </ns0:c>
      <ns0:c r="Q99" s="76" t="inlineStr">
        <ns0:is>
          <ns0:t>6–0
0010011
opcode</ns0:t>
        </ns0:is>
      </ns0:c>
    </ns0:row>
    <ns0:row r="100" ht="52" customHeight="1">
      <ns0:c r="A100" s="77" t="n">
        <ns0:v>92</ns0:v>
      </ns0:c>
      <ns0:c r="B100" s="78" t="inlineStr">
        <ns0:is>
          <ns0:t>0x0000016C</ns0:t>
        </ns0:is>
      </ns0:c>
      <ns0:c r="C100" s="78" t="inlineStr">
        <ns0:is>
          <ns0:t>0x01C0006F</ns0:t>
        </ns0:is>
      </ns0:c>
      <ns0:c r="D100" s="79" t="inlineStr">
        <ns0:is>
          <ns0:t>jal zero, 0x00000188</ns0:t>
        </ns0:is>
      </ns0:c>
      <ns0:c r="E100" s="80" t="inlineStr">
        <ns0:is>
          <ns0:t>jal</ns0:t>
        </ns0:is>
      </ns0:c>
      <ns0:c r="F100" s="80" t="inlineStr">
        <ns0:is>
          <ns0:t>J</ns0:t>
        </ns0:is>
      </ns0:c>
      <ns0:c r="G100" s="80" t="n">
        <ns0:v>0</ns0:v>
      </ns0:c>
      <ns0:c r="H100" s="80" t="n">
        <ns0:v>28</ns0:v>
      </ns0:c>
      <ns0:c r="I100" s="81" t="inlineStr">
        <ns0:is>
          <ns0:t>0x00000188</ns0:t>
        </ns0:is>
      </ns0:c>
      <ns0:c r="J100" s="81" t="inlineStr">
        <ns0:is>
          <ns0:t>00000001110000000000000001101111</ns0:t>
        </ns0:is>
      </ns0:c>
      <ns0:c r="K100" s="82" t="inlineStr">
        <ns0:is>
          <ns0:t>PC ← 0x00000188; rd (zero) ← PC+4. Смещение +28 байт относительно PC.</ns0:t>
        </ns0:is>
      </ns0:c>
      <ns0:c r="L100" s="79" t="inlineStr">
        <ns0:is>
          <ns0:t>Только ROM</ns0:t>
        </ns0:is>
      </ns0:c>
      <ns0:c r="M100" s="74" t="inlineStr">
        <ns0:is>
          <ns0:t>31
0
imm[20]</ns0:t>
        </ns0:is>
      </ns0:c>
      <ns0:c r="N100" s="74" t="inlineStr">
        <ns0:is>
          <ns0:t>30–21
0000001110
imm[10:1]</ns0:t>
        </ns0:is>
      </ns0:c>
      <ns0:c r="O100" s="74" t="inlineStr">
        <ns0:is>
          <ns0:t>20
0
imm[11]</ns0:t>
        </ns0:is>
      </ns0:c>
      <ns0:c r="P100" s="74" t="inlineStr">
        <ns0:is>
          <ns0:t>19–12
00000000
imm[19:12]</ns0:t>
        </ns0:is>
      </ns0:c>
      <ns0:c r="Q100" s="75" t="inlineStr">
        <ns0:is>
          <ns0:t>11–7
00000
rd</ns0:t>
        </ns0:is>
      </ns0:c>
      <ns0:c r="R100" s="76" t="inlineStr">
        <ns0:is>
          <ns0:t>6–0
1101111
opcode</ns0:t>
        </ns0:is>
      </ns0:c>
    </ns0:row>
    <ns0:row r="101" ht="52" customHeight="1">
      <ns0:c r="A101" s="68" t="n">
        <ns0:v>93</ns0:v>
      </ns0:c>
      <ns0:c r="B101" s="69" t="inlineStr">
        <ns0:is>
          <ns0:t>0x00000170</ns0:t>
        </ns0:is>
      </ns0:c>
      <ns0:c r="C101" s="69" t="inlineStr">
        <ns0:is>
          <ns0:t>0x03400F13</ns0:t>
        </ns0:is>
      </ns0:c>
      <ns0:c r="D101" s="70" t="inlineStr">
        <ns0:is>
          <ns0:t>addi t5, zero, 52</ns0:t>
        </ns0:is>
      </ns0:c>
      <ns0:c r="E101" s="71" t="inlineStr">
        <ns0:is>
          <ns0:t>addi</ns0:t>
        </ns0:is>
      </ns0:c>
      <ns0:c r="F101" s="71" t="inlineStr">
        <ns0:is>
          <ns0:t>I</ns0:t>
        </ns0:is>
      </ns0:c>
      <ns0:c r="G101" s="71" t="n">
        <ns0:v>0</ns0:v>
      </ns0:c>
      <ns0:c r="H101" s="71" t="n">
        <ns0:v>52</ns0:v>
      </ns0:c>
      <ns0:c r="I101" s="72" t="inlineStr">
        <ns0:is>
          <ns0:t>—</ns0:t>
        </ns0:is>
      </ns0:c>
      <ns0:c r="J101" s="72" t="inlineStr">
        <ns0:is>
          <ns0:t>00000011010000000000111100010011</ns0:t>
        </ns0:is>
      </ns0:c>
      <ns0:c r="K101" s="73" t="inlineStr">
        <ns0:is>
          <ns0:t>t5 ← zero + (+52); арифметика RV32I по модулю 2³².</ns0:t>
        </ns0:is>
      </ns0:c>
      <ns0:c r="L101" s="70" t="inlineStr">
        <ns0:is>
          <ns0:t>Только ROM</ns0:t>
        </ns0:is>
      </ns0:c>
      <ns0:c r="M101" s="74" t="inlineStr">
        <ns0:is>
          <ns0:t>31–20
000000110100
imm[11:0]</ns0:t>
        </ns0:is>
      </ns0:c>
      <ns0:c r="N101" s="75" t="inlineStr">
        <ns0:is>
          <ns0:t>19–15
00000
rs1</ns0:t>
        </ns0:is>
      </ns0:c>
      <ns0:c r="O101" s="83" t="inlineStr">
        <ns0:is>
          <ns0:t>14–12
000
funct3</ns0:t>
        </ns0:is>
      </ns0:c>
      <ns0:c r="P101" s="75" t="inlineStr">
        <ns0:is>
          <ns0:t>11–7
11110
rd</ns0:t>
        </ns0:is>
      </ns0:c>
      <ns0:c r="Q101" s="76" t="inlineStr">
        <ns0:is>
          <ns0:t>6–0
0010011
opcode</ns0:t>
        </ns0:is>
      </ns0:c>
    </ns0:row>
    <ns0:row r="102" ht="52" customHeight="1">
      <ns0:c r="A102" s="77" t="n">
        <ns0:v>94</ns0:v>
      </ns0:c>
      <ns0:c r="B102" s="78" t="inlineStr">
        <ns0:is>
          <ns0:t>0x00000174</ns0:t>
        </ns0:is>
      </ns0:c>
      <ns0:c r="C102" s="78" t="inlineStr">
        <ns0:is>
          <ns0:t>0x0140006F</ns0:t>
        </ns0:is>
      </ns0:c>
      <ns0:c r="D102" s="79" t="inlineStr">
        <ns0:is>
          <ns0:t>jal zero, 0x00000188</ns0:t>
        </ns0:is>
      </ns0:c>
      <ns0:c r="E102" s="80" t="inlineStr">
        <ns0:is>
          <ns0:t>jal</ns0:t>
        </ns0:is>
      </ns0:c>
      <ns0:c r="F102" s="80" t="inlineStr">
        <ns0:is>
          <ns0:t>J</ns0:t>
        </ns0:is>
      </ns0:c>
      <ns0:c r="G102" s="80" t="n">
        <ns0:v>0</ns0:v>
      </ns0:c>
      <ns0:c r="H102" s="80" t="n">
        <ns0:v>20</ns0:v>
      </ns0:c>
      <ns0:c r="I102" s="81" t="inlineStr">
        <ns0:is>
          <ns0:t>0x00000188</ns0:t>
        </ns0:is>
      </ns0:c>
      <ns0:c r="J102" s="81" t="inlineStr">
        <ns0:is>
          <ns0:t>00000001010000000000000001101111</ns0:t>
        </ns0:is>
      </ns0:c>
      <ns0:c r="K102" s="82" t="inlineStr">
        <ns0:is>
          <ns0:t>PC ← 0x00000188; rd (zero) ← PC+4. Смещение +20 байт относительно PC.</ns0:t>
        </ns0:is>
      </ns0:c>
      <ns0:c r="L102" s="79" t="inlineStr">
        <ns0:is>
          <ns0:t>Только ROM</ns0:t>
        </ns0:is>
      </ns0:c>
      <ns0:c r="M102" s="74" t="inlineStr">
        <ns0:is>
          <ns0:t>31
0
imm[20]</ns0:t>
        </ns0:is>
      </ns0:c>
      <ns0:c r="N102" s="74" t="inlineStr">
        <ns0:is>
          <ns0:t>30–21
0000001010
imm[10:1]</ns0:t>
        </ns0:is>
      </ns0:c>
      <ns0:c r="O102" s="74" t="inlineStr">
        <ns0:is>
          <ns0:t>20
0
imm[11]</ns0:t>
        </ns0:is>
      </ns0:c>
      <ns0:c r="P102" s="74" t="inlineStr">
        <ns0:is>
          <ns0:t>19–12
00000000
imm[19:12]</ns0:t>
        </ns0:is>
      </ns0:c>
      <ns0:c r="Q102" s="75" t="inlineStr">
        <ns0:is>
          <ns0:t>11–7
00000
rd</ns0:t>
        </ns0:is>
      </ns0:c>
      <ns0:c r="R102" s="76" t="inlineStr">
        <ns0:is>
          <ns0:t>6–0
1101111
opcode</ns0:t>
        </ns0:is>
      </ns0:c>
    </ns0:row>
    <ns0:row r="103" ht="52" customHeight="1">
      <ns0:c r="A103" s="68" t="n">
        <ns0:v>95</ns0:v>
      </ns0:c>
      <ns0:c r="B103" s="69" t="inlineStr">
        <ns0:is>
          <ns0:t>0x00000178</ns0:t>
        </ns0:is>
      </ns0:c>
      <ns0:c r="C103" s="69" t="inlineStr">
        <ns0:is>
          <ns0:t>0x03500F13</ns0:t>
        </ns0:is>
      </ns0:c>
      <ns0:c r="D103" s="70" t="inlineStr">
        <ns0:is>
          <ns0:t>addi t5, zero, 53</ns0:t>
        </ns0:is>
      </ns0:c>
      <ns0:c r="E103" s="71" t="inlineStr">
        <ns0:is>
          <ns0:t>addi</ns0:t>
        </ns0:is>
      </ns0:c>
      <ns0:c r="F103" s="71" t="inlineStr">
        <ns0:is>
          <ns0:t>I</ns0:t>
        </ns0:is>
      </ns0:c>
      <ns0:c r="G103" s="71" t="n">
        <ns0:v>0</ns0:v>
      </ns0:c>
      <ns0:c r="H103" s="71" t="n">
        <ns0:v>53</ns0:v>
      </ns0:c>
      <ns0:c r="I103" s="72" t="inlineStr">
        <ns0:is>
          <ns0:t>—</ns0:t>
        </ns0:is>
      </ns0:c>
      <ns0:c r="J103" s="72" t="inlineStr">
        <ns0:is>
          <ns0:t>00000011010100000000111100010011</ns0:t>
        </ns0:is>
      </ns0:c>
      <ns0:c r="K103" s="73" t="inlineStr">
        <ns0:is>
          <ns0:t>t5 ← zero + (+53); арифметика RV32I по модулю 2³².</ns0:t>
        </ns0:is>
      </ns0:c>
      <ns0:c r="L103" s="70" t="inlineStr">
        <ns0:is>
          <ns0:t>Только ROM</ns0:t>
        </ns0:is>
      </ns0:c>
      <ns0:c r="M103" s="74" t="inlineStr">
        <ns0:is>
          <ns0:t>31–20
000000110101
imm[11:0]</ns0:t>
        </ns0:is>
      </ns0:c>
      <ns0:c r="N103" s="75" t="inlineStr">
        <ns0:is>
          <ns0:t>19–15
00000
rs1</ns0:t>
        </ns0:is>
      </ns0:c>
      <ns0:c r="O103" s="83" t="inlineStr">
        <ns0:is>
          <ns0:t>14–12
000
funct3</ns0:t>
        </ns0:is>
      </ns0:c>
      <ns0:c r="P103" s="75" t="inlineStr">
        <ns0:is>
          <ns0:t>11–7
11110
rd</ns0:t>
        </ns0:is>
      </ns0:c>
      <ns0:c r="Q103" s="76" t="inlineStr">
        <ns0:is>
          <ns0:t>6–0
0010011
opcode</ns0:t>
        </ns0:is>
      </ns0:c>
    </ns0:row>
    <ns0:row r="104" ht="52" customHeight="1">
      <ns0:c r="A104" s="77" t="n">
        <ns0:v>96</ns0:v>
      </ns0:c>
      <ns0:c r="B104" s="78" t="inlineStr">
        <ns0:is>
          <ns0:t>0x0000017C</ns0:t>
        </ns0:is>
      </ns0:c>
      <ns0:c r="C104" s="78" t="inlineStr">
        <ns0:is>
          <ns0:t>0x00C0006F</ns0:t>
        </ns0:is>
      </ns0:c>
      <ns0:c r="D104" s="79" t="inlineStr">
        <ns0:is>
          <ns0:t>jal zero, 0x00000188</ns0:t>
        </ns0:is>
      </ns0:c>
      <ns0:c r="E104" s="80" t="inlineStr">
        <ns0:is>
          <ns0:t>jal</ns0:t>
        </ns0:is>
      </ns0:c>
      <ns0:c r="F104" s="80" t="inlineStr">
        <ns0:is>
          <ns0:t>J</ns0:t>
        </ns0:is>
      </ns0:c>
      <ns0:c r="G104" s="80" t="n">
        <ns0:v>0</ns0:v>
      </ns0:c>
      <ns0:c r="H104" s="80" t="n">
        <ns0:v>12</ns0:v>
      </ns0:c>
      <ns0:c r="I104" s="81" t="inlineStr">
        <ns0:is>
          <ns0:t>0x00000188</ns0:t>
        </ns0:is>
      </ns0:c>
      <ns0:c r="J104" s="81" t="inlineStr">
        <ns0:is>
          <ns0:t>00000000110000000000000001101111</ns0:t>
        </ns0:is>
      </ns0:c>
      <ns0:c r="K104" s="82" t="inlineStr">
        <ns0:is>
          <ns0:t>PC ← 0x00000188; rd (zero) ← PC+4. Смещение +12 байт относительно PC.</ns0:t>
        </ns0:is>
      </ns0:c>
      <ns0:c r="L104" s="79" t="inlineStr">
        <ns0:is>
          <ns0:t>Только ROM</ns0:t>
        </ns0:is>
      </ns0:c>
      <ns0:c r="M104" s="74" t="inlineStr">
        <ns0:is>
          <ns0:t>31
0
imm[20]</ns0:t>
        </ns0:is>
      </ns0:c>
      <ns0:c r="N104" s="74" t="inlineStr">
        <ns0:is>
          <ns0:t>30–21
0000000110
imm[10:1]</ns0:t>
        </ns0:is>
      </ns0:c>
      <ns0:c r="O104" s="74" t="inlineStr">
        <ns0:is>
          <ns0:t>20
0
imm[11]</ns0:t>
        </ns0:is>
      </ns0:c>
      <ns0:c r="P104" s="74" t="inlineStr">
        <ns0:is>
          <ns0:t>19–12
00000000
imm[19:12]</ns0:t>
        </ns0:is>
      </ns0:c>
      <ns0:c r="Q104" s="75" t="inlineStr">
        <ns0:is>
          <ns0:t>11–7
00000
rd</ns0:t>
        </ns0:is>
      </ns0:c>
      <ns0:c r="R104" s="76" t="inlineStr">
        <ns0:is>
          <ns0:t>6–0
1101111
opcode</ns0:t>
        </ns0:is>
      </ns0:c>
    </ns0:row>
    <ns0:row r="105" ht="52" customHeight="1">
      <ns0:c r="A105" s="68" t="n">
        <ns0:v>97</ns0:v>
      </ns0:c>
      <ns0:c r="B105" s="69" t="inlineStr">
        <ns0:is>
          <ns0:t>0x00000180</ns0:t>
        </ns0:is>
      </ns0:c>
      <ns0:c r="C105" s="69" t="inlineStr">
        <ns0:is>
          <ns0:t>0x03600F13</ns0:t>
        </ns0:is>
      </ns0:c>
      <ns0:c r="D105" s="70" t="inlineStr">
        <ns0:is>
          <ns0:t>addi t5, zero, 54</ns0:t>
        </ns0:is>
      </ns0:c>
      <ns0:c r="E105" s="71" t="inlineStr">
        <ns0:is>
          <ns0:t>addi</ns0:t>
        </ns0:is>
      </ns0:c>
      <ns0:c r="F105" s="71" t="inlineStr">
        <ns0:is>
          <ns0:t>I</ns0:t>
        </ns0:is>
      </ns0:c>
      <ns0:c r="G105" s="71" t="n">
        <ns0:v>0</ns0:v>
      </ns0:c>
      <ns0:c r="H105" s="71" t="n">
        <ns0:v>54</ns0:v>
      </ns0:c>
      <ns0:c r="I105" s="72" t="inlineStr">
        <ns0:is>
          <ns0:t>—</ns0:t>
        </ns0:is>
      </ns0:c>
      <ns0:c r="J105" s="72" t="inlineStr">
        <ns0:is>
          <ns0:t>00000011011000000000111100010011</ns0:t>
        </ns0:is>
      </ns0:c>
      <ns0:c r="K105" s="73" t="inlineStr">
        <ns0:is>
          <ns0:t>t5 ← zero + (+54); арифметика RV32I по модулю 2³².</ns0:t>
        </ns0:is>
      </ns0:c>
      <ns0:c r="L105" s="70" t="inlineStr">
        <ns0:is>
          <ns0:t>Только ROM</ns0:t>
        </ns0:is>
      </ns0:c>
      <ns0:c r="M105" s="74" t="inlineStr">
        <ns0:is>
          <ns0:t>31–20
000000110110
imm[11:0]</ns0:t>
        </ns0:is>
      </ns0:c>
      <ns0:c r="N105" s="75" t="inlineStr">
        <ns0:is>
          <ns0:t>19–15
00000
rs1</ns0:t>
        </ns0:is>
      </ns0:c>
      <ns0:c r="O105" s="83" t="inlineStr">
        <ns0:is>
          <ns0:t>14–12
000
funct3</ns0:t>
        </ns0:is>
      </ns0:c>
      <ns0:c r="P105" s="75" t="inlineStr">
        <ns0:is>
          <ns0:t>11–7
11110
rd</ns0:t>
        </ns0:is>
      </ns0:c>
      <ns0:c r="Q105" s="76" t="inlineStr">
        <ns0:is>
          <ns0:t>6–0
0010011
opcode</ns0:t>
        </ns0:is>
      </ns0:c>
    </ns0:row>
    <ns0:row r="106" ht="52" customHeight="1">
      <ns0:c r="A106" s="77" t="n">
        <ns0:v>98</ns0:v>
      </ns0:c>
      <ns0:c r="B106" s="78" t="inlineStr">
        <ns0:is>
          <ns0:t>0x00000184</ns0:t>
        </ns0:is>
      </ns0:c>
      <ns0:c r="C106" s="78" t="inlineStr">
        <ns0:is>
          <ns0:t>0x0040006F</ns0:t>
        </ns0:is>
      </ns0:c>
      <ns0:c r="D106" s="79" t="inlineStr">
        <ns0:is>
          <ns0:t>jal zero, 0x00000188</ns0:t>
        </ns0:is>
      </ns0:c>
      <ns0:c r="E106" s="80" t="inlineStr">
        <ns0:is>
          <ns0:t>jal</ns0:t>
        </ns0:is>
      </ns0:c>
      <ns0:c r="F106" s="80" t="inlineStr">
        <ns0:is>
          <ns0:t>J</ns0:t>
        </ns0:is>
      </ns0:c>
      <ns0:c r="G106" s="80" t="n">
        <ns0:v>0</ns0:v>
      </ns0:c>
      <ns0:c r="H106" s="80" t="n">
        <ns0:v>4</ns0:v>
      </ns0:c>
      <ns0:c r="I106" s="81" t="inlineStr">
        <ns0:is>
          <ns0:t>0x00000188</ns0:t>
        </ns0:is>
      </ns0:c>
      <ns0:c r="J106" s="81" t="inlineStr">
        <ns0:is>
          <ns0:t>00000000010000000000000001101111</ns0:t>
        </ns0:is>
      </ns0:c>
      <ns0:c r="K106" s="82" t="inlineStr">
        <ns0:is>
          <ns0:t>PC ← 0x00000188; rd (zero) ← PC+4. Смещение +4 байт относительно PC.</ns0:t>
        </ns0:is>
      </ns0:c>
      <ns0:c r="L106" s="79" t="inlineStr">
        <ns0:is>
          <ns0:t>Только ROM</ns0:t>
        </ns0:is>
      </ns0:c>
      <ns0:c r="M106" s="74" t="inlineStr">
        <ns0:is>
          <ns0:t>31
0
imm[20]</ns0:t>
        </ns0:is>
      </ns0:c>
      <ns0:c r="N106" s="74" t="inlineStr">
        <ns0:is>
          <ns0:t>30–21
0000000010
imm[10:1]</ns0:t>
        </ns0:is>
      </ns0:c>
      <ns0:c r="O106" s="74" t="inlineStr">
        <ns0:is>
          <ns0:t>20
0
imm[11]</ns0:t>
        </ns0:is>
      </ns0:c>
      <ns0:c r="P106" s="74" t="inlineStr">
        <ns0:is>
          <ns0:t>19–12
00000000
imm[19:12]</ns0:t>
        </ns0:is>
      </ns0:c>
      <ns0:c r="Q106" s="75" t="inlineStr">
        <ns0:is>
          <ns0:t>11–7
00000
rd</ns0:t>
        </ns0:is>
      </ns0:c>
      <ns0:c r="R106" s="76" t="inlineStr">
        <ns0:is>
          <ns0:t>6–0
1101111
opcode</ns0:t>
        </ns0:is>
      </ns0:c>
    </ns0:row>
    <ns0:row r="107" ht="52" customHeight="1">
      <ns0:c r="A107" s="68" t="n">
        <ns0:v>99</ns0:v>
      </ns0:c>
      <ns0:c r="B107" s="69" t="inlineStr">
        <ns0:is>
          <ns0:t>0x00000188</ns0:t>
        </ns0:is>
      </ns0:c>
      <ns0:c r="C107" s="69" t="inlineStr">
        <ns0:is>
          <ns0:t>0x04C00313</ns0:t>
        </ns0:is>
      </ns0:c>
      <ns0:c r="D107" s="70" t="inlineStr">
        <ns0:is>
          <ns0:t>addi t1, zero, 76</ns0:t>
        </ns0:is>
      </ns0:c>
      <ns0:c r="E107" s="71" t="inlineStr">
        <ns0:is>
          <ns0:t>addi</ns0:t>
        </ns0:is>
      </ns0:c>
      <ns0:c r="F107" s="71" t="inlineStr">
        <ns0:is>
          <ns0:t>I</ns0:t>
        </ns0:is>
      </ns0:c>
      <ns0:c r="G107" s="71" t="n">
        <ns0:v>0</ns0:v>
      </ns0:c>
      <ns0:c r="H107" s="71" t="n">
        <ns0:v>76</ns0:v>
      </ns0:c>
      <ns0:c r="I107" s="72" t="inlineStr">
        <ns0:is>
          <ns0:t>—</ns0:t>
        </ns0:is>
      </ns0:c>
      <ns0:c r="J107" s="72" t="inlineStr">
        <ns0:is>
          <ns0:t>00000100110000000000001100010011</ns0:t>
        </ns0:is>
      </ns0:c>
      <ns0:c r="K107" s="73" t="inlineStr">
        <ns0:is>
          <ns0:t>t1 ← zero + (+76); арифметика RV32I по модулю 2³².</ns0:t>
        </ns0:is>
      </ns0:c>
      <ns0:c r="L107" s="70" t="inlineStr">
        <ns0:is>
          <ns0:t>Только ROM</ns0:t>
        </ns0:is>
      </ns0:c>
      <ns0:c r="M107" s="74" t="inlineStr">
        <ns0:is>
          <ns0:t>31–20
000001001100
imm[11:0]</ns0:t>
        </ns0:is>
      </ns0:c>
      <ns0:c r="N107" s="75" t="inlineStr">
        <ns0:is>
          <ns0:t>19–15
00000
rs1</ns0:t>
        </ns0:is>
      </ns0:c>
      <ns0:c r="O107" s="83" t="inlineStr">
        <ns0:is>
          <ns0:t>14–12
000
funct3</ns0:t>
        </ns0:is>
      </ns0:c>
      <ns0:c r="P107" s="75" t="inlineStr">
        <ns0:is>
          <ns0:t>11–7
00110
rd</ns0:t>
        </ns0:is>
      </ns0:c>
      <ns0:c r="Q107" s="76" t="inlineStr">
        <ns0:is>
          <ns0:t>6–0
0010011
opcode</ns0:t>
        </ns0:is>
      </ns0:c>
    </ns0:row>
    <ns0:row r="108" ht="52" customHeight="1">
      <ns0:c r="A108" s="77" t="n">
        <ns0:v>100</ns0:v>
      </ns0:c>
      <ns0:c r="B108" s="78" t="inlineStr">
        <ns0:is>
          <ns0:t>0x0000018C</ns0:t>
        </ns0:is>
      </ns0:c>
      <ns0:c r="C108" s="78" t="inlineStr">
        <ns0:is>
          <ns0:t>0x188000EF</ns0:t>
        </ns0:is>
      </ns0:c>
      <ns0:c r="D108" s="79" t="inlineStr">
        <ns0:is>
          <ns0:t>jal ra, 0x00000314</ns0:t>
        </ns0:is>
      </ns0:c>
      <ns0:c r="E108" s="80" t="inlineStr">
        <ns0:is>
          <ns0:t>jal</ns0:t>
        </ns0:is>
      </ns0:c>
      <ns0:c r="F108" s="80" t="inlineStr">
        <ns0:is>
          <ns0:t>J</ns0:t>
        </ns0:is>
      </ns0:c>
      <ns0:c r="G108" s="80" t="n">
        <ns0:v>0</ns0:v>
      </ns0:c>
      <ns0:c r="H108" s="80" t="n">
        <ns0:v>392</ns0:v>
      </ns0:c>
      <ns0:c r="I108" s="81" t="inlineStr">
        <ns0:is>
          <ns0:t>0x00000314</ns0:t>
        </ns0:is>
      </ns0:c>
      <ns0:c r="J108" s="81" t="inlineStr">
        <ns0:is>
          <ns0:t>00011000100000000000000011101111</ns0:t>
        </ns0:is>
      </ns0:c>
      <ns0:c r="K108" s="82" t="inlineStr">
        <ns0:is>
          <ns0:t>PC ← 0x00000314; rd (ra) ← PC+4. Смещение +392 байт относительно PC.</ns0:t>
        </ns0:is>
      </ns0:c>
      <ns0:c r="L108" s="79" t="inlineStr">
        <ns0:is>
          <ns0:t>Только ROM</ns0:t>
        </ns0:is>
      </ns0:c>
      <ns0:c r="M108" s="74" t="inlineStr">
        <ns0:is>
          <ns0:t>31
0
imm[20]</ns0:t>
        </ns0:is>
      </ns0:c>
      <ns0:c r="N108" s="74" t="inlineStr">
        <ns0:is>
          <ns0:t>30–21
0011000100
imm[10:1]</ns0:t>
        </ns0:is>
      </ns0:c>
      <ns0:c r="O108" s="74" t="inlineStr">
        <ns0:is>
          <ns0:t>20
0
imm[11]</ns0:t>
        </ns0:is>
      </ns0:c>
      <ns0:c r="P108" s="74" t="inlineStr">
        <ns0:is>
          <ns0:t>19–12
00000000
imm[19:12]</ns0:t>
        </ns0:is>
      </ns0:c>
      <ns0:c r="Q108" s="75" t="inlineStr">
        <ns0:is>
          <ns0:t>11–7
00001
rd</ns0:t>
        </ns0:is>
      </ns0:c>
      <ns0:c r="R108" s="76" t="inlineStr">
        <ns0:is>
          <ns0:t>6–0
1101111
opcode</ns0:t>
        </ns0:is>
      </ns0:c>
    </ns0:row>
    <ns0:row r="109" ht="52" customHeight="1">
      <ns0:c r="A109" s="68" t="n">
        <ns0:v>101</ns0:v>
      </ns0:c>
      <ns0:c r="B109" s="69" t="inlineStr">
        <ns0:is>
          <ns0:t>0x00000190</ns0:t>
        </ns0:is>
      </ns0:c>
      <ns0:c r="C109" s="69" t="inlineStr">
        <ns0:is>
          <ns0:t>0x03D00313</ns0:t>
        </ns0:is>
      </ns0:c>
      <ns0:c r="D109" s="70" t="inlineStr">
        <ns0:is>
          <ns0:t>addi t1, zero, 61</ns0:t>
        </ns0:is>
      </ns0:c>
      <ns0:c r="E109" s="71" t="inlineStr">
        <ns0:is>
          <ns0:t>addi</ns0:t>
        </ns0:is>
      </ns0:c>
      <ns0:c r="F109" s="71" t="inlineStr">
        <ns0:is>
          <ns0:t>I</ns0:t>
        </ns0:is>
      </ns0:c>
      <ns0:c r="G109" s="71" t="n">
        <ns0:v>0</ns0:v>
      </ns0:c>
      <ns0:c r="H109" s="71" t="n">
        <ns0:v>61</ns0:v>
      </ns0:c>
      <ns0:c r="I109" s="72" t="inlineStr">
        <ns0:is>
          <ns0:t>—</ns0:t>
        </ns0:is>
      </ns0:c>
      <ns0:c r="J109" s="72" t="inlineStr">
        <ns0:is>
          <ns0:t>00000011110100000000001100010011</ns0:t>
        </ns0:is>
      </ns0:c>
      <ns0:c r="K109" s="73" t="inlineStr">
        <ns0:is>
          <ns0:t>t1 ← zero + (+61); арифметика RV32I по модулю 2³².</ns0:t>
        </ns0:is>
      </ns0:c>
      <ns0:c r="L109" s="70" t="inlineStr">
        <ns0:is>
          <ns0:t>Только ROM</ns0:t>
        </ns0:is>
      </ns0:c>
      <ns0:c r="M109" s="74" t="inlineStr">
        <ns0:is>
          <ns0:t>31–20
000000111101
imm[11:0]</ns0:t>
        </ns0:is>
      </ns0:c>
      <ns0:c r="N109" s="75" t="inlineStr">
        <ns0:is>
          <ns0:t>19–15
00000
rs1</ns0:t>
        </ns0:is>
      </ns0:c>
      <ns0:c r="O109" s="83" t="inlineStr">
        <ns0:is>
          <ns0:t>14–12
000
funct3</ns0:t>
        </ns0:is>
      </ns0:c>
      <ns0:c r="P109" s="75" t="inlineStr">
        <ns0:is>
          <ns0:t>11–7
00110
rd</ns0:t>
        </ns0:is>
      </ns0:c>
      <ns0:c r="Q109" s="76" t="inlineStr">
        <ns0:is>
          <ns0:t>6–0
0010011
opcode</ns0:t>
        </ns0:is>
      </ns0:c>
    </ns0:row>
    <ns0:row r="110" ht="52" customHeight="1">
      <ns0:c r="A110" s="77" t="n">
        <ns0:v>102</ns0:v>
      </ns0:c>
      <ns0:c r="B110" s="78" t="inlineStr">
        <ns0:is>
          <ns0:t>0x00000194</ns0:t>
        </ns0:is>
      </ns0:c>
      <ns0:c r="C110" s="78" t="inlineStr">
        <ns0:is>
          <ns0:t>0x180000EF</ns0:t>
        </ns0:is>
      </ns0:c>
      <ns0:c r="D110" s="79" t="inlineStr">
        <ns0:is>
          <ns0:t>jal ra, 0x00000314</ns0:t>
        </ns0:is>
      </ns0:c>
      <ns0:c r="E110" s="80" t="inlineStr">
        <ns0:is>
          <ns0:t>jal</ns0:t>
        </ns0:is>
      </ns0:c>
      <ns0:c r="F110" s="80" t="inlineStr">
        <ns0:is>
          <ns0:t>J</ns0:t>
        </ns0:is>
      </ns0:c>
      <ns0:c r="G110" s="80" t="n">
        <ns0:v>0</ns0:v>
      </ns0:c>
      <ns0:c r="H110" s="80" t="n">
        <ns0:v>384</ns0:v>
      </ns0:c>
      <ns0:c r="I110" s="81" t="inlineStr">
        <ns0:is>
          <ns0:t>0x00000314</ns0:t>
        </ns0:is>
      </ns0:c>
      <ns0:c r="J110" s="81" t="inlineStr">
        <ns0:is>
          <ns0:t>00011000000000000000000011101111</ns0:t>
        </ns0:is>
      </ns0:c>
      <ns0:c r="K110" s="82" t="inlineStr">
        <ns0:is>
          <ns0:t>PC ← 0x00000314; rd (ra) ← PC+4. Смещение +384 байт относительно PC.</ns0:t>
        </ns0:is>
      </ns0:c>
      <ns0:c r="L110" s="79" t="inlineStr">
        <ns0:is>
          <ns0:t>Только ROM</ns0:t>
        </ns0:is>
      </ns0:c>
      <ns0:c r="M110" s="74" t="inlineStr">
        <ns0:is>
          <ns0:t>31
0
imm[20]</ns0:t>
        </ns0:is>
      </ns0:c>
      <ns0:c r="N110" s="74" t="inlineStr">
        <ns0:is>
          <ns0:t>30–21
0011000000
imm[10:1]</ns0:t>
        </ns0:is>
      </ns0:c>
      <ns0:c r="O110" s="74" t="inlineStr">
        <ns0:is>
          <ns0:t>20
0
imm[11]</ns0:t>
        </ns0:is>
      </ns0:c>
      <ns0:c r="P110" s="74" t="inlineStr">
        <ns0:is>
          <ns0:t>19–12
00000000
imm[19:12]</ns0:t>
        </ns0:is>
      </ns0:c>
      <ns0:c r="Q110" s="75" t="inlineStr">
        <ns0:is>
          <ns0:t>11–7
00001
rd</ns0:t>
        </ns0:is>
      </ns0:c>
      <ns0:c r="R110" s="76" t="inlineStr">
        <ns0:is>
          <ns0:t>6–0
1101111
opcode</ns0:t>
        </ns0:is>
      </ns0:c>
    </ns0:row>
    <ns0:row r="111" ht="52" customHeight="1">
      <ns0:c r="A111" s="68" t="n">
        <ns0:v>103</ns0:v>
      </ns0:c>
      <ns0:c r="B111" s="69" t="inlineStr">
        <ns0:is>
          <ns0:t>0x00000198</ns0:t>
        </ns0:is>
      </ns0:c>
      <ns0:c r="C111" s="69" t="inlineStr">
        <ns0:is>
          <ns0:t>0x000F0313</ns0:t>
        </ns0:is>
      </ns0:c>
      <ns0:c r="D111" s="70" t="inlineStr">
        <ns0:is>
          <ns0:t>addi t1, t5, 0</ns0:t>
        </ns0:is>
      </ns0:c>
      <ns0:c r="E111" s="71" t="inlineStr">
        <ns0:is>
          <ns0:t>addi</ns0:t>
        </ns0:is>
      </ns0:c>
      <ns0:c r="F111" s="71" t="inlineStr">
        <ns0:is>
          <ns0:t>I</ns0:t>
        </ns0:is>
      </ns0:c>
      <ns0:c r="G111" s="71" t="n">
        <ns0:v>0</ns0:v>
      </ns0:c>
      <ns0:c r="H111" s="71" t="n">
        <ns0:v>0</ns0:v>
      </ns0:c>
      <ns0:c r="I111" s="72" t="inlineStr">
        <ns0:is>
          <ns0:t>—</ns0:t>
        </ns0:is>
      </ns0:c>
      <ns0:c r="J111" s="72" t="inlineStr">
        <ns0:is>
          <ns0:t>00000000000011110000001100010011</ns0:t>
        </ns0:is>
      </ns0:c>
      <ns0:c r="K111" s="73" t="inlineStr">
        <ns0:is>
          <ns0:t>t1 ← t5 + (+0); арифметика RV32I по модулю 2³².</ns0:t>
        </ns0:is>
      </ns0:c>
      <ns0:c r="L111" s="70" t="inlineStr">
        <ns0:is>
          <ns0:t>Только ROM</ns0:t>
        </ns0:is>
      </ns0:c>
      <ns0:c r="M111" s="74" t="inlineStr">
        <ns0:is>
          <ns0:t>31–20
000000000000
imm[11:0]</ns0:t>
        </ns0:is>
      </ns0:c>
      <ns0:c r="N111" s="75" t="inlineStr">
        <ns0:is>
          <ns0:t>19–15
11110
rs1</ns0:t>
        </ns0:is>
      </ns0:c>
      <ns0:c r="O111" s="83" t="inlineStr">
        <ns0:is>
          <ns0:t>14–12
000
funct3</ns0:t>
        </ns0:is>
      </ns0:c>
      <ns0:c r="P111" s="75" t="inlineStr">
        <ns0:is>
          <ns0:t>11–7
00110
rd</ns0:t>
        </ns0:is>
      </ns0:c>
      <ns0:c r="Q111" s="76" t="inlineStr">
        <ns0:is>
          <ns0:t>6–0
0010011
opcode</ns0:t>
        </ns0:is>
      </ns0:c>
    </ns0:row>
    <ns0:row r="112" ht="52" customHeight="1">
      <ns0:c r="A112" s="77" t="n">
        <ns0:v>104</ns0:v>
      </ns0:c>
      <ns0:c r="B112" s="78" t="inlineStr">
        <ns0:is>
          <ns0:t>0x0000019C</ns0:t>
        </ns0:is>
      </ns0:c>
      <ns0:c r="C112" s="78" t="inlineStr">
        <ns0:is>
          <ns0:t>0x178000EF</ns0:t>
        </ns0:is>
      </ns0:c>
      <ns0:c r="D112" s="79" t="inlineStr">
        <ns0:is>
          <ns0:t>jal ra, 0x00000314</ns0:t>
        </ns0:is>
      </ns0:c>
      <ns0:c r="E112" s="80" t="inlineStr">
        <ns0:is>
          <ns0:t>jal</ns0:t>
        </ns0:is>
      </ns0:c>
      <ns0:c r="F112" s="80" t="inlineStr">
        <ns0:is>
          <ns0:t>J</ns0:t>
        </ns0:is>
      </ns0:c>
      <ns0:c r="G112" s="80" t="n">
        <ns0:v>0</ns0:v>
      </ns0:c>
      <ns0:c r="H112" s="80" t="n">
        <ns0:v>376</ns0:v>
      </ns0:c>
      <ns0:c r="I112" s="81" t="inlineStr">
        <ns0:is>
          <ns0:t>0x00000314</ns0:t>
        </ns0:is>
      </ns0:c>
      <ns0:c r="J112" s="81" t="inlineStr">
        <ns0:is>
          <ns0:t>00010111100000000000000011101111</ns0:t>
        </ns0:is>
      </ns0:c>
      <ns0:c r="K112" s="82" t="inlineStr">
        <ns0:is>
          <ns0:t>PC ← 0x00000314; rd (ra) ← PC+4. Смещение +376 байт относительно PC.</ns0:t>
        </ns0:is>
      </ns0:c>
      <ns0:c r="L112" s="79" t="inlineStr">
        <ns0:is>
          <ns0:t>Только ROM</ns0:t>
        </ns0:is>
      </ns0:c>
      <ns0:c r="M112" s="74" t="inlineStr">
        <ns0:is>
          <ns0:t>31
0
imm[20]</ns0:t>
        </ns0:is>
      </ns0:c>
      <ns0:c r="N112" s="74" t="inlineStr">
        <ns0:is>
          <ns0:t>30–21
0010111100
imm[10:1]</ns0:t>
        </ns0:is>
      </ns0:c>
      <ns0:c r="O112" s="74" t="inlineStr">
        <ns0:is>
          <ns0:t>20
0
imm[11]</ns0:t>
        </ns0:is>
      </ns0:c>
      <ns0:c r="P112" s="74" t="inlineStr">
        <ns0:is>
          <ns0:t>19–12
00000000
imm[19:12]</ns0:t>
        </ns0:is>
      </ns0:c>
      <ns0:c r="Q112" s="75" t="inlineStr">
        <ns0:is>
          <ns0:t>11–7
00001
rd</ns0:t>
        </ns0:is>
      </ns0:c>
      <ns0:c r="R112" s="76" t="inlineStr">
        <ns0:is>
          <ns0:t>6–0
1101111
opcode</ns0:t>
        </ns0:is>
      </ns0:c>
    </ns0:row>
    <ns0:row r="113" ht="52" customHeight="1">
      <ns0:c r="A113" s="68" t="n">
        <ns0:v>105</ns0:v>
      </ns0:c>
      <ns0:c r="B113" s="69" t="inlineStr">
        <ns0:is>
          <ns0:t>0x000001A0</ns0:t>
        </ns0:is>
      </ns0:c>
      <ns0:c r="C113" s="69" t="inlineStr">
        <ns0:is>
          <ns0:t>0x00A00313</ns0:t>
        </ns0:is>
      </ns0:c>
      <ns0:c r="D113" s="70" t="inlineStr">
        <ns0:is>
          <ns0:t>addi t1, zero, 10</ns0:t>
        </ns0:is>
      </ns0:c>
      <ns0:c r="E113" s="71" t="inlineStr">
        <ns0:is>
          <ns0:t>addi</ns0:t>
        </ns0:is>
      </ns0:c>
      <ns0:c r="F113" s="71" t="inlineStr">
        <ns0:is>
          <ns0:t>I</ns0:t>
        </ns0:is>
      </ns0:c>
      <ns0:c r="G113" s="71" t="n">
        <ns0:v>0</ns0:v>
      </ns0:c>
      <ns0:c r="H113" s="71" t="n">
        <ns0:v>10</ns0:v>
      </ns0:c>
      <ns0:c r="I113" s="72" t="inlineStr">
        <ns0:is>
          <ns0:t>—</ns0:t>
        </ns0:is>
      </ns0:c>
      <ns0:c r="J113" s="72" t="inlineStr">
        <ns0:is>
          <ns0:t>00000000101000000000001100010011</ns0:t>
        </ns0:is>
      </ns0:c>
      <ns0:c r="K113" s="73" t="inlineStr">
        <ns0:is>
          <ns0:t>t1 ← zero + (+10); арифметика RV32I по модулю 2³².</ns0:t>
        </ns0:is>
      </ns0:c>
      <ns0:c r="L113" s="70" t="inlineStr">
        <ns0:is>
          <ns0:t>Только ROM</ns0:t>
        </ns0:is>
      </ns0:c>
      <ns0:c r="M113" s="74" t="inlineStr">
        <ns0:is>
          <ns0:t>31–20
000000001010
imm[11:0]</ns0:t>
        </ns0:is>
      </ns0:c>
      <ns0:c r="N113" s="75" t="inlineStr">
        <ns0:is>
          <ns0:t>19–15
00000
rs1</ns0:t>
        </ns0:is>
      </ns0:c>
      <ns0:c r="O113" s="83" t="inlineStr">
        <ns0:is>
          <ns0:t>14–12
000
funct3</ns0:t>
        </ns0:is>
      </ns0:c>
      <ns0:c r="P113" s="75" t="inlineStr">
        <ns0:is>
          <ns0:t>11–7
00110
rd</ns0:t>
        </ns0:is>
      </ns0:c>
      <ns0:c r="Q113" s="76" t="inlineStr">
        <ns0:is>
          <ns0:t>6–0
0010011
opcode</ns0:t>
        </ns0:is>
      </ns0:c>
    </ns0:row>
    <ns0:row r="114" ht="52" customHeight="1">
      <ns0:c r="A114" s="77" t="n">
        <ns0:v>106</ns0:v>
      </ns0:c>
      <ns0:c r="B114" s="78" t="inlineStr">
        <ns0:is>
          <ns0:t>0x000001A4</ns0:t>
        </ns0:is>
      </ns0:c>
      <ns0:c r="C114" s="78" t="inlineStr">
        <ns0:is>
          <ns0:t>0x170000EF</ns0:t>
        </ns0:is>
      </ns0:c>
      <ns0:c r="D114" s="79" t="inlineStr">
        <ns0:is>
          <ns0:t>jal ra, 0x00000314</ns0:t>
        </ns0:is>
      </ns0:c>
      <ns0:c r="E114" s="80" t="inlineStr">
        <ns0:is>
          <ns0:t>jal</ns0:t>
        </ns0:is>
      </ns0:c>
      <ns0:c r="F114" s="80" t="inlineStr">
        <ns0:is>
          <ns0:t>J</ns0:t>
        </ns0:is>
      </ns0:c>
      <ns0:c r="G114" s="80" t="n">
        <ns0:v>0</ns0:v>
      </ns0:c>
      <ns0:c r="H114" s="80" t="n">
        <ns0:v>368</ns0:v>
      </ns0:c>
      <ns0:c r="I114" s="81" t="inlineStr">
        <ns0:is>
          <ns0:t>0x00000314</ns0:t>
        </ns0:is>
      </ns0:c>
      <ns0:c r="J114" s="81" t="inlineStr">
        <ns0:is>
          <ns0:t>00010111000000000000000011101111</ns0:t>
        </ns0:is>
      </ns0:c>
      <ns0:c r="K114" s="82" t="inlineStr">
        <ns0:is>
          <ns0:t>PC ← 0x00000314; rd (ra) ← PC+4. Смещение +368 байт относительно PC.</ns0:t>
        </ns0:is>
      </ns0:c>
      <ns0:c r="L114" s="79" t="inlineStr">
        <ns0:is>
          <ns0:t>Только ROM</ns0:t>
        </ns0:is>
      </ns0:c>
      <ns0:c r="M114" s="74" t="inlineStr">
        <ns0:is>
          <ns0:t>31
0
imm[20]</ns0:t>
        </ns0:is>
      </ns0:c>
      <ns0:c r="N114" s="74" t="inlineStr">
        <ns0:is>
          <ns0:t>30–21
0010111000
imm[10:1]</ns0:t>
        </ns0:is>
      </ns0:c>
      <ns0:c r="O114" s="74" t="inlineStr">
        <ns0:is>
          <ns0:t>20
0
imm[11]</ns0:t>
        </ns0:is>
      </ns0:c>
      <ns0:c r="P114" s="74" t="inlineStr">
        <ns0:is>
          <ns0:t>19–12
00000000
imm[19:12]</ns0:t>
        </ns0:is>
      </ns0:c>
      <ns0:c r="Q114" s="75" t="inlineStr">
        <ns0:is>
          <ns0:t>11–7
00001
rd</ns0:t>
        </ns0:is>
      </ns0:c>
      <ns0:c r="R114" s="76" t="inlineStr">
        <ns0:is>
          <ns0:t>6–0
1101111
opcode</ns0:t>
        </ns0:is>
      </ns0:c>
    </ns0:row>
    <ns0:row r="115" ht="52" customHeight="1">
      <ns0:c r="A115" s="68" t="n">
        <ns0:v>107</ns0:v>
      </ns0:c>
      <ns0:c r="B115" s="69" t="inlineStr">
        <ns0:is>
          <ns0:t>0x000001A8</ns0:t>
        </ns0:is>
      </ns0:c>
      <ns0:c r="C115" s="69" t="inlineStr">
        <ns0:is>
          <ns0:t>0xE91FF06F</ns0:t>
        </ns0:is>
      </ns0:c>
      <ns0:c r="D115" s="70" t="inlineStr">
        <ns0:is>
          <ns0:t>jal zero, 0x00000038</ns0:t>
        </ns0:is>
      </ns0:c>
      <ns0:c r="E115" s="71" t="inlineStr">
        <ns0:is>
          <ns0:t>jal</ns0:t>
        </ns0:is>
      </ns0:c>
      <ns0:c r="F115" s="71" t="inlineStr">
        <ns0:is>
          <ns0:t>J</ns0:t>
        </ns0:is>
      </ns0:c>
      <ns0:c r="G115" s="71" t="n">
        <ns0:v>0</ns0:v>
      </ns0:c>
      <ns0:c r="H115" s="71" t="n">
        <ns0:v>-368</ns0:v>
      </ns0:c>
      <ns0:c r="I115" s="72" t="inlineStr">
        <ns0:is>
          <ns0:t>0x00000038</ns0:t>
        </ns0:is>
      </ns0:c>
      <ns0:c r="J115" s="72" t="inlineStr">
        <ns0:is>
          <ns0:t>11101001000111111111000001101111</ns0:t>
        </ns0:is>
      </ns0:c>
      <ns0:c r="K115" s="73" t="inlineStr">
        <ns0:is>
          <ns0:t>PC ← 0x00000038; rd (zero) ← PC+4. Смещение -368 байт относительно PC.</ns0:t>
        </ns0:is>
      </ns0:c>
      <ns0:c r="L115" s="70" t="inlineStr">
        <ns0:is>
          <ns0:t>Только ROM</ns0:t>
        </ns0:is>
      </ns0:c>
      <ns0:c r="M115" s="74" t="inlineStr">
        <ns0:is>
          <ns0:t>31
1
imm[20]</ns0:t>
        </ns0:is>
      </ns0:c>
      <ns0:c r="N115" s="74" t="inlineStr">
        <ns0:is>
          <ns0:t>30–21
1101001000
imm[10:1]</ns0:t>
        </ns0:is>
      </ns0:c>
      <ns0:c r="O115" s="74" t="inlineStr">
        <ns0:is>
          <ns0:t>20
1
imm[11]</ns0:t>
        </ns0:is>
      </ns0:c>
      <ns0:c r="P115" s="74" t="inlineStr">
        <ns0:is>
          <ns0:t>19–12
11111111
imm[19:12]</ns0:t>
        </ns0:is>
      </ns0:c>
      <ns0:c r="Q115" s="75" t="inlineStr">
        <ns0:is>
          <ns0:t>11–7
00000
rd</ns0:t>
        </ns0:is>
      </ns0:c>
      <ns0:c r="R115" s="76" t="inlineStr">
        <ns0:is>
          <ns0:t>6–0
1101111
opcode</ns0:t>
        </ns0:is>
      </ns0:c>
    </ns0:row>
    <ns0:row r="116" ht="52" customHeight="1">
      <ns0:c r="A116" s="77" t="n">
        <ns0:v>108</ns0:v>
      </ns0:c>
      <ns0:c r="B116" s="78" t="inlineStr">
        <ns0:is>
          <ns0:t>0x000001AC</ns0:t>
        </ns0:is>
      </ns0:c>
      <ns0:c r="C116" s="78" t="inlineStr">
        <ns0:is>
          <ns0:t>0x04500313</ns0:t>
        </ns0:is>
      </ns0:c>
      <ns0:c r="D116" s="79" t="inlineStr">
        <ns0:is>
          <ns0:t>addi t1, zero, 69</ns0:t>
        </ns0:is>
      </ns0:c>
      <ns0:c r="E116" s="80" t="inlineStr">
        <ns0:is>
          <ns0:t>addi</ns0:t>
        </ns0:is>
      </ns0:c>
      <ns0:c r="F116" s="80" t="inlineStr">
        <ns0:is>
          <ns0:t>I</ns0:t>
        </ns0:is>
      </ns0:c>
      <ns0:c r="G116" s="80" t="n">
        <ns0:v>0</ns0:v>
      </ns0:c>
      <ns0:c r="H116" s="80" t="n">
        <ns0:v>69</ns0:v>
      </ns0:c>
      <ns0:c r="I116" s="81" t="inlineStr">
        <ns0:is>
          <ns0:t>—</ns0:t>
        </ns0:is>
      </ns0:c>
      <ns0:c r="J116" s="81" t="inlineStr">
        <ns0:is>
          <ns0:t>00000100010100000000001100010011</ns0:t>
        </ns0:is>
      </ns0:c>
      <ns0:c r="K116" s="82" t="inlineStr">
        <ns0:is>
          <ns0:t>t1 ← zero + (+69); арифметика RV32I по модулю 2³².</ns0:t>
        </ns0:is>
      </ns0:c>
      <ns0:c r="L116" s="79" t="inlineStr">
        <ns0:is>
          <ns0:t>Только ROM</ns0:t>
        </ns0:is>
      </ns0:c>
      <ns0:c r="M116" s="74" t="inlineStr">
        <ns0:is>
          <ns0:t>31–20
000001000101
imm[11:0]</ns0:t>
        </ns0:is>
      </ns0:c>
      <ns0:c r="N116" s="75" t="inlineStr">
        <ns0:is>
          <ns0:t>19–15
00000
rs1</ns0:t>
        </ns0:is>
      </ns0:c>
      <ns0:c r="O116" s="83" t="inlineStr">
        <ns0:is>
          <ns0:t>14–12
000
funct3</ns0:t>
        </ns0:is>
      </ns0:c>
      <ns0:c r="P116" s="75" t="inlineStr">
        <ns0:is>
          <ns0:t>11–7
00110
rd</ns0:t>
        </ns0:is>
      </ns0:c>
      <ns0:c r="Q116" s="76" t="inlineStr">
        <ns0:is>
          <ns0:t>6–0
0010011
opcode</ns0:t>
        </ns0:is>
      </ns0:c>
    </ns0:row>
    <ns0:row r="117" ht="52" customHeight="1">
      <ns0:c r="A117" s="68" t="n">
        <ns0:v>109</ns0:v>
      </ns0:c>
      <ns0:c r="B117" s="69" t="inlineStr">
        <ns0:is>
          <ns0:t>0x000001B0</ns0:t>
        </ns0:is>
      </ns0:c>
      <ns0:c r="C117" s="69" t="inlineStr">
        <ns0:is>
          <ns0:t>0x164000EF</ns0:t>
        </ns0:is>
      </ns0:c>
      <ns0:c r="D117" s="70" t="inlineStr">
        <ns0:is>
          <ns0:t>jal ra, 0x00000314</ns0:t>
        </ns0:is>
      </ns0:c>
      <ns0:c r="E117" s="71" t="inlineStr">
        <ns0:is>
          <ns0:t>jal</ns0:t>
        </ns0:is>
      </ns0:c>
      <ns0:c r="F117" s="71" t="inlineStr">
        <ns0:is>
          <ns0:t>J</ns0:t>
        </ns0:is>
      </ns0:c>
      <ns0:c r="G117" s="71" t="n">
        <ns0:v>0</ns0:v>
      </ns0:c>
      <ns0:c r="H117" s="71" t="n">
        <ns0:v>356</ns0:v>
      </ns0:c>
      <ns0:c r="I117" s="72" t="inlineStr">
        <ns0:is>
          <ns0:t>0x00000314</ns0:t>
        </ns0:is>
      </ns0:c>
      <ns0:c r="J117" s="72" t="inlineStr">
        <ns0:is>
          <ns0:t>00010110010000000000000011101111</ns0:t>
        </ns0:is>
      </ns0:c>
      <ns0:c r="K117" s="73" t="inlineStr">
        <ns0:is>
          <ns0:t>PC ← 0x00000314; rd (ra) ← PC+4. Смещение +356 байт относительно PC.</ns0:t>
        </ns0:is>
      </ns0:c>
      <ns0:c r="L117" s="70" t="inlineStr">
        <ns0:is>
          <ns0:t>Только ROM</ns0:t>
        </ns0:is>
      </ns0:c>
      <ns0:c r="M117" s="74" t="inlineStr">
        <ns0:is>
          <ns0:t>31
0
imm[20]</ns0:t>
        </ns0:is>
      </ns0:c>
      <ns0:c r="N117" s="74" t="inlineStr">
        <ns0:is>
          <ns0:t>30–21
0010110010
imm[10:1]</ns0:t>
        </ns0:is>
      </ns0:c>
      <ns0:c r="O117" s="74" t="inlineStr">
        <ns0:is>
          <ns0:t>20
0
imm[11]</ns0:t>
        </ns0:is>
      </ns0:c>
      <ns0:c r="P117" s="74" t="inlineStr">
        <ns0:is>
          <ns0:t>19–12
00000000
imm[19:12]</ns0:t>
        </ns0:is>
      </ns0:c>
      <ns0:c r="Q117" s="75" t="inlineStr">
        <ns0:is>
          <ns0:t>11–7
00001
rd</ns0:t>
        </ns0:is>
      </ns0:c>
      <ns0:c r="R117" s="76" t="inlineStr">
        <ns0:is>
          <ns0:t>6–0
1101111
opcode</ns0:t>
        </ns0:is>
      </ns0:c>
    </ns0:row>
    <ns0:row r="118" ht="52" customHeight="1">
      <ns0:c r="A118" s="77" t="n">
        <ns0:v>110</ns0:v>
      </ns0:c>
      <ns0:c r="B118" s="78" t="inlineStr">
        <ns0:is>
          <ns0:t>0x000001B4</ns0:t>
        </ns0:is>
      </ns0:c>
      <ns0:c r="C118" s="78" t="inlineStr">
        <ns0:is>
          <ns0:t>0x00A00313</ns0:t>
        </ns0:is>
      </ns0:c>
      <ns0:c r="D118" s="79" t="inlineStr">
        <ns0:is>
          <ns0:t>addi t1, zero, 10</ns0:t>
        </ns0:is>
      </ns0:c>
      <ns0:c r="E118" s="80" t="inlineStr">
        <ns0:is>
          <ns0:t>addi</ns0:t>
        </ns0:is>
      </ns0:c>
      <ns0:c r="F118" s="80" t="inlineStr">
        <ns0:is>
          <ns0:t>I</ns0:t>
        </ns0:is>
      </ns0:c>
      <ns0:c r="G118" s="80" t="n">
        <ns0:v>0</ns0:v>
      </ns0:c>
      <ns0:c r="H118" s="80" t="n">
        <ns0:v>10</ns0:v>
      </ns0:c>
      <ns0:c r="I118" s="81" t="inlineStr">
        <ns0:is>
          <ns0:t>—</ns0:t>
        </ns0:is>
      </ns0:c>
      <ns0:c r="J118" s="81" t="inlineStr">
        <ns0:is>
          <ns0:t>00000000101000000000001100010011</ns0:t>
        </ns0:is>
      </ns0:c>
      <ns0:c r="K118" s="82" t="inlineStr">
        <ns0:is>
          <ns0:t>t1 ← zero + (+10); арифметика RV32I по модулю 2³².</ns0:t>
        </ns0:is>
      </ns0:c>
      <ns0:c r="L118" s="79" t="inlineStr">
        <ns0:is>
          <ns0:t>Только ROM</ns0:t>
        </ns0:is>
      </ns0:c>
      <ns0:c r="M118" s="74" t="inlineStr">
        <ns0:is>
          <ns0:t>31–20
000000001010
imm[11:0]</ns0:t>
        </ns0:is>
      </ns0:c>
      <ns0:c r="N118" s="75" t="inlineStr">
        <ns0:is>
          <ns0:t>19–15
00000
rs1</ns0:t>
        </ns0:is>
      </ns0:c>
      <ns0:c r="O118" s="83" t="inlineStr">
        <ns0:is>
          <ns0:t>14–12
000
funct3</ns0:t>
        </ns0:is>
      </ns0:c>
      <ns0:c r="P118" s="75" t="inlineStr">
        <ns0:is>
          <ns0:t>11–7
00110
rd</ns0:t>
        </ns0:is>
      </ns0:c>
      <ns0:c r="Q118" s="76" t="inlineStr">
        <ns0:is>
          <ns0:t>6–0
0010011
opcode</ns0:t>
        </ns0:is>
      </ns0:c>
    </ns0:row>
    <ns0:row r="119" ht="52" customHeight="1">
      <ns0:c r="A119" s="68" t="n">
        <ns0:v>111</ns0:v>
      </ns0:c>
      <ns0:c r="B119" s="69" t="inlineStr">
        <ns0:is>
          <ns0:t>0x000001B8</ns0:t>
        </ns0:is>
      </ns0:c>
      <ns0:c r="C119" s="69" t="inlineStr">
        <ns0:is>
          <ns0:t>0x15C000EF</ns0:t>
        </ns0:is>
      </ns0:c>
      <ns0:c r="D119" s="70" t="inlineStr">
        <ns0:is>
          <ns0:t>jal ra, 0x00000314</ns0:t>
        </ns0:is>
      </ns0:c>
      <ns0:c r="E119" s="71" t="inlineStr">
        <ns0:is>
          <ns0:t>jal</ns0:t>
        </ns0:is>
      </ns0:c>
      <ns0:c r="F119" s="71" t="inlineStr">
        <ns0:is>
          <ns0:t>J</ns0:t>
        </ns0:is>
      </ns0:c>
      <ns0:c r="G119" s="71" t="n">
        <ns0:v>0</ns0:v>
      </ns0:c>
      <ns0:c r="H119" s="71" t="n">
        <ns0:v>348</ns0:v>
      </ns0:c>
      <ns0:c r="I119" s="72" t="inlineStr">
        <ns0:is>
          <ns0:t>0x00000314</ns0:t>
        </ns0:is>
      </ns0:c>
      <ns0:c r="J119" s="72" t="inlineStr">
        <ns0:is>
          <ns0:t>00010101110000000000000011101111</ns0:t>
        </ns0:is>
      </ns0:c>
      <ns0:c r="K119" s="73" t="inlineStr">
        <ns0:is>
          <ns0:t>PC ← 0x00000314; rd (ra) ← PC+4. Смещение +348 байт относительно PC.</ns0:t>
        </ns0:is>
      </ns0:c>
      <ns0:c r="L119" s="70" t="inlineStr">
        <ns0:is>
          <ns0:t>Только ROM</ns0:t>
        </ns0:is>
      </ns0:c>
      <ns0:c r="M119" s="74" t="inlineStr">
        <ns0:is>
          <ns0:t>31
0
imm[20]</ns0:t>
        </ns0:is>
      </ns0:c>
      <ns0:c r="N119" s="74" t="inlineStr">
        <ns0:is>
          <ns0:t>30–21
0010101110
imm[10:1]</ns0:t>
        </ns0:is>
      </ns0:c>
      <ns0:c r="O119" s="74" t="inlineStr">
        <ns0:is>
          <ns0:t>20
0
imm[11]</ns0:t>
        </ns0:is>
      </ns0:c>
      <ns0:c r="P119" s="74" t="inlineStr">
        <ns0:is>
          <ns0:t>19–12
00000000
imm[19:12]</ns0:t>
        </ns0:is>
      </ns0:c>
      <ns0:c r="Q119" s="75" t="inlineStr">
        <ns0:is>
          <ns0:t>11–7
00001
rd</ns0:t>
        </ns0:is>
      </ns0:c>
      <ns0:c r="R119" s="76" t="inlineStr">
        <ns0:is>
          <ns0:t>6–0
1101111
opcode</ns0:t>
        </ns0:is>
      </ns0:c>
    </ns0:row>
    <ns0:row r="120" ht="52" customHeight="1">
      <ns0:c r="A120" s="77" t="n">
        <ns0:v>112</ns0:v>
      </ns0:c>
      <ns0:c r="B120" s="78" t="inlineStr">
        <ns0:is>
          <ns0:t>0x000001BC</ns0:t>
        </ns0:is>
      </ns0:c>
      <ns0:c r="C120" s="78" t="inlineStr">
        <ns0:is>
          <ns0:t>0xE7DFF06F</ns0:t>
        </ns0:is>
      </ns0:c>
      <ns0:c r="D120" s="79" t="inlineStr">
        <ns0:is>
          <ns0:t>jal zero, 0x00000038</ns0:t>
        </ns0:is>
      </ns0:c>
      <ns0:c r="E120" s="80" t="inlineStr">
        <ns0:is>
          <ns0:t>jal</ns0:t>
        </ns0:is>
      </ns0:c>
      <ns0:c r="F120" s="80" t="inlineStr">
        <ns0:is>
          <ns0:t>J</ns0:t>
        </ns0:is>
      </ns0:c>
      <ns0:c r="G120" s="80" t="n">
        <ns0:v>0</ns0:v>
      </ns0:c>
      <ns0:c r="H120" s="80" t="n">
        <ns0:v>-388</ns0:v>
      </ns0:c>
      <ns0:c r="I120" s="81" t="inlineStr">
        <ns0:is>
          <ns0:t>0x00000038</ns0:t>
        </ns0:is>
      </ns0:c>
      <ns0:c r="J120" s="81" t="inlineStr">
        <ns0:is>
          <ns0:t>11100111110111111111000001101111</ns0:t>
        </ns0:is>
      </ns0:c>
      <ns0:c r="K120" s="82" t="inlineStr">
        <ns0:is>
          <ns0:t>PC ← 0x00000038; rd (zero) ← PC+4. Смещение -388 байт относительно PC.</ns0:t>
        </ns0:is>
      </ns0:c>
      <ns0:c r="L120" s="79" t="inlineStr">
        <ns0:is>
          <ns0:t>Только ROM</ns0:t>
        </ns0:is>
      </ns0:c>
      <ns0:c r="M120" s="74" t="inlineStr">
        <ns0:is>
          <ns0:t>31
1
imm[20]</ns0:t>
        </ns0:is>
      </ns0:c>
      <ns0:c r="N120" s="74" t="inlineStr">
        <ns0:is>
          <ns0:t>30–21
1100111110
imm[10:1]</ns0:t>
        </ns0:is>
      </ns0:c>
      <ns0:c r="O120" s="74" t="inlineStr">
        <ns0:is>
          <ns0:t>20
1
imm[11]</ns0:t>
        </ns0:is>
      </ns0:c>
      <ns0:c r="P120" s="74" t="inlineStr">
        <ns0:is>
          <ns0:t>19–12
11111111
imm[19:12]</ns0:t>
        </ns0:is>
      </ns0:c>
      <ns0:c r="Q120" s="75" t="inlineStr">
        <ns0:is>
          <ns0:t>11–7
00000
rd</ns0:t>
        </ns0:is>
      </ns0:c>
      <ns0:c r="R120" s="76" t="inlineStr">
        <ns0:is>
          <ns0:t>6–0
1101111
opcode</ns0:t>
        </ns0:is>
      </ns0:c>
    </ns0:row>
    <ns0:row r="121" ht="52" customHeight="1">
      <ns0:c r="A121" s="68" t="n">
        <ns0:v>113</ns0:v>
      </ns0:c>
      <ns0:c r="B121" s="69" t="inlineStr">
        <ns0:is>
          <ns0:t>0x000001C0</ns0:t>
        </ns0:is>
      </ns0:c>
      <ns0:c r="C121" s="69" t="inlineStr">
        <ns0:is>
          <ns0:t>0x04600313</ns0:t>
        </ns0:is>
      </ns0:c>
      <ns0:c r="D121" s="70" t="inlineStr">
        <ns0:is>
          <ns0:t>addi t1, zero, 70</ns0:t>
        </ns0:is>
      </ns0:c>
      <ns0:c r="E121" s="71" t="inlineStr">
        <ns0:is>
          <ns0:t>addi</ns0:t>
        </ns0:is>
      </ns0:c>
      <ns0:c r="F121" s="71" t="inlineStr">
        <ns0:is>
          <ns0:t>I</ns0:t>
        </ns0:is>
      </ns0:c>
      <ns0:c r="G121" s="71" t="n">
        <ns0:v>0</ns0:v>
      </ns0:c>
      <ns0:c r="H121" s="71" t="n">
        <ns0:v>70</ns0:v>
      </ns0:c>
      <ns0:c r="I121" s="72" t="inlineStr">
        <ns0:is>
          <ns0:t>—</ns0:t>
        </ns0:is>
      </ns0:c>
      <ns0:c r="J121" s="72" t="inlineStr">
        <ns0:is>
          <ns0:t>00000100011000000000001100010011</ns0:t>
        </ns0:is>
      </ns0:c>
      <ns0:c r="K121" s="73" t="inlineStr">
        <ns0:is>
          <ns0:t>t1 ← zero + (+70); арифметика RV32I по модулю 2³².</ns0:t>
        </ns0:is>
      </ns0:c>
      <ns0:c r="L121" s="70" t="inlineStr">
        <ns0:is>
          <ns0:t>Только ROM</ns0:t>
        </ns0:is>
      </ns0:c>
      <ns0:c r="M121" s="74" t="inlineStr">
        <ns0:is>
          <ns0:t>31–20
000001000110
imm[11:0]</ns0:t>
        </ns0:is>
      </ns0:c>
      <ns0:c r="N121" s="75" t="inlineStr">
        <ns0:is>
          <ns0:t>19–15
00000
rs1</ns0:t>
        </ns0:is>
      </ns0:c>
      <ns0:c r="O121" s="83" t="inlineStr">
        <ns0:is>
          <ns0:t>14–12
000
funct3</ns0:t>
        </ns0:is>
      </ns0:c>
      <ns0:c r="P121" s="75" t="inlineStr">
        <ns0:is>
          <ns0:t>11–7
00110
rd</ns0:t>
        </ns0:is>
      </ns0:c>
      <ns0:c r="Q121" s="76" t="inlineStr">
        <ns0:is>
          <ns0:t>6–0
0010011
opcode</ns0:t>
        </ns0:is>
      </ns0:c>
    </ns0:row>
    <ns0:row r="122" ht="52" customHeight="1">
      <ns0:c r="A122" s="77" t="n">
        <ns0:v>114</ns0:v>
      </ns0:c>
      <ns0:c r="B122" s="78" t="inlineStr">
        <ns0:is>
          <ns0:t>0x000001C4</ns0:t>
        </ns0:is>
      </ns0:c>
      <ns0:c r="C122" s="78" t="inlineStr">
        <ns0:is>
          <ns0:t>0x150000EF</ns0:t>
        </ns0:is>
      </ns0:c>
      <ns0:c r="D122" s="79" t="inlineStr">
        <ns0:is>
          <ns0:t>jal ra, 0x00000314</ns0:t>
        </ns0:is>
      </ns0:c>
      <ns0:c r="E122" s="80" t="inlineStr">
        <ns0:is>
          <ns0:t>jal</ns0:t>
        </ns0:is>
      </ns0:c>
      <ns0:c r="F122" s="80" t="inlineStr">
        <ns0:is>
          <ns0:t>J</ns0:t>
        </ns0:is>
      </ns0:c>
      <ns0:c r="G122" s="80" t="n">
        <ns0:v>0</ns0:v>
      </ns0:c>
      <ns0:c r="H122" s="80" t="n">
        <ns0:v>336</ns0:v>
      </ns0:c>
      <ns0:c r="I122" s="81" t="inlineStr">
        <ns0:is>
          <ns0:t>0x00000314</ns0:t>
        </ns0:is>
      </ns0:c>
      <ns0:c r="J122" s="81" t="inlineStr">
        <ns0:is>
          <ns0:t>00010101000000000000000011101111</ns0:t>
        </ns0:is>
      </ns0:c>
      <ns0:c r="K122" s="82" t="inlineStr">
        <ns0:is>
          <ns0:t>PC ← 0x00000314; rd (ra) ← PC+4. Смещение +336 байт относительно PC.</ns0:t>
        </ns0:is>
      </ns0:c>
      <ns0:c r="L122" s="79" t="inlineStr">
        <ns0:is>
          <ns0:t>Только ROM</ns0:t>
        </ns0:is>
      </ns0:c>
      <ns0:c r="M122" s="74" t="inlineStr">
        <ns0:is>
          <ns0:t>31
0
imm[20]</ns0:t>
        </ns0:is>
      </ns0:c>
      <ns0:c r="N122" s="74" t="inlineStr">
        <ns0:is>
          <ns0:t>30–21
0010101000
imm[10:1]</ns0:t>
        </ns0:is>
      </ns0:c>
      <ns0:c r="O122" s="74" t="inlineStr">
        <ns0:is>
          <ns0:t>20
0
imm[11]</ns0:t>
        </ns0:is>
      </ns0:c>
      <ns0:c r="P122" s="74" t="inlineStr">
        <ns0:is>
          <ns0:t>19–12
00000000
imm[19:12]</ns0:t>
        </ns0:is>
      </ns0:c>
      <ns0:c r="Q122" s="75" t="inlineStr">
        <ns0:is>
          <ns0:t>11–7
00001
rd</ns0:t>
        </ns0:is>
      </ns0:c>
      <ns0:c r="R122" s="76" t="inlineStr">
        <ns0:is>
          <ns0:t>6–0
1101111
opcode</ns0:t>
        </ns0:is>
      </ns0:c>
    </ns0:row>
    <ns0:row r="123" ht="52" customHeight="1">
      <ns0:c r="A123" s="68" t="n">
        <ns0:v>115</ns0:v>
      </ns0:c>
      <ns0:c r="B123" s="69" t="inlineStr">
        <ns0:is>
          <ns0:t>0x000001C8</ns0:t>
        </ns0:is>
      </ns0:c>
      <ns0:c r="C123" s="69" t="inlineStr">
        <ns0:is>
          <ns0:t>0x00A00313</ns0:t>
        </ns0:is>
      </ns0:c>
      <ns0:c r="D123" s="70" t="inlineStr">
        <ns0:is>
          <ns0:t>addi t1, zero, 10</ns0:t>
        </ns0:is>
      </ns0:c>
      <ns0:c r="E123" s="71" t="inlineStr">
        <ns0:is>
          <ns0:t>addi</ns0:t>
        </ns0:is>
      </ns0:c>
      <ns0:c r="F123" s="71" t="inlineStr">
        <ns0:is>
          <ns0:t>I</ns0:t>
        </ns0:is>
      </ns0:c>
      <ns0:c r="G123" s="71" t="n">
        <ns0:v>0</ns0:v>
      </ns0:c>
      <ns0:c r="H123" s="71" t="n">
        <ns0:v>10</ns0:v>
      </ns0:c>
      <ns0:c r="I123" s="72" t="inlineStr">
        <ns0:is>
          <ns0:t>—</ns0:t>
        </ns0:is>
      </ns0:c>
      <ns0:c r="J123" s="72" t="inlineStr">
        <ns0:is>
          <ns0:t>00000000101000000000001100010011</ns0:t>
        </ns0:is>
      </ns0:c>
      <ns0:c r="K123" s="73" t="inlineStr">
        <ns0:is>
          <ns0:t>t1 ← zero + (+10); арифметика RV32I по модулю 2³².</ns0:t>
        </ns0:is>
      </ns0:c>
      <ns0:c r="L123" s="70" t="inlineStr">
        <ns0:is>
          <ns0:t>Только ROM</ns0:t>
        </ns0:is>
      </ns0:c>
      <ns0:c r="M123" s="74" t="inlineStr">
        <ns0:is>
          <ns0:t>31–20
000000001010
imm[11:0]</ns0:t>
        </ns0:is>
      </ns0:c>
      <ns0:c r="N123" s="75" t="inlineStr">
        <ns0:is>
          <ns0:t>19–15
00000
rs1</ns0:t>
        </ns0:is>
      </ns0:c>
      <ns0:c r="O123" s="83" t="inlineStr">
        <ns0:is>
          <ns0:t>14–12
000
funct3</ns0:t>
        </ns0:is>
      </ns0:c>
      <ns0:c r="P123" s="75" t="inlineStr">
        <ns0:is>
          <ns0:t>11–7
00110
rd</ns0:t>
        </ns0:is>
      </ns0:c>
      <ns0:c r="Q123" s="76" t="inlineStr">
        <ns0:is>
          <ns0:t>6–0
0010011
opcode</ns0:t>
        </ns0:is>
      </ns0:c>
    </ns0:row>
    <ns0:row r="124" ht="52" customHeight="1">
      <ns0:c r="A124" s="77" t="n">
        <ns0:v>116</ns0:v>
      </ns0:c>
      <ns0:c r="B124" s="78" t="inlineStr">
        <ns0:is>
          <ns0:t>0x000001CC</ns0:t>
        </ns0:is>
      </ns0:c>
      <ns0:c r="C124" s="78" t="inlineStr">
        <ns0:is>
          <ns0:t>0x148000EF</ns0:t>
        </ns0:is>
      </ns0:c>
      <ns0:c r="D124" s="79" t="inlineStr">
        <ns0:is>
          <ns0:t>jal ra, 0x00000314</ns0:t>
        </ns0:is>
      </ns0:c>
      <ns0:c r="E124" s="80" t="inlineStr">
        <ns0:is>
          <ns0:t>jal</ns0:t>
        </ns0:is>
      </ns0:c>
      <ns0:c r="F124" s="80" t="inlineStr">
        <ns0:is>
          <ns0:t>J</ns0:t>
        </ns0:is>
      </ns0:c>
      <ns0:c r="G124" s="80" t="n">
        <ns0:v>0</ns0:v>
      </ns0:c>
      <ns0:c r="H124" s="80" t="n">
        <ns0:v>328</ns0:v>
      </ns0:c>
      <ns0:c r="I124" s="81" t="inlineStr">
        <ns0:is>
          <ns0:t>0x00000314</ns0:t>
        </ns0:is>
      </ns0:c>
      <ns0:c r="J124" s="81" t="inlineStr">
        <ns0:is>
          <ns0:t>00010100100000000000000011101111</ns0:t>
        </ns0:is>
      </ns0:c>
      <ns0:c r="K124" s="82" t="inlineStr">
        <ns0:is>
          <ns0:t>PC ← 0x00000314; rd (ra) ← PC+4. Смещение +328 байт относительно PC.</ns0:t>
        </ns0:is>
      </ns0:c>
      <ns0:c r="L124" s="79" t="inlineStr">
        <ns0:is>
          <ns0:t>Только ROM</ns0:t>
        </ns0:is>
      </ns0:c>
      <ns0:c r="M124" s="74" t="inlineStr">
        <ns0:is>
          <ns0:t>31
0
imm[20]</ns0:t>
        </ns0:is>
      </ns0:c>
      <ns0:c r="N124" s="74" t="inlineStr">
        <ns0:is>
          <ns0:t>30–21
0010100100
imm[10:1]</ns0:t>
        </ns0:is>
      </ns0:c>
      <ns0:c r="O124" s="74" t="inlineStr">
        <ns0:is>
          <ns0:t>20
0
imm[11]</ns0:t>
        </ns0:is>
      </ns0:c>
      <ns0:c r="P124" s="74" t="inlineStr">
        <ns0:is>
          <ns0:t>19–12
00000000
imm[19:12]</ns0:t>
        </ns0:is>
      </ns0:c>
      <ns0:c r="Q124" s="75" t="inlineStr">
        <ns0:is>
          <ns0:t>11–7
00001
rd</ns0:t>
        </ns0:is>
      </ns0:c>
      <ns0:c r="R124" s="76" t="inlineStr">
        <ns0:is>
          <ns0:t>6–0
1101111
opcode</ns0:t>
        </ns0:is>
      </ns0:c>
    </ns0:row>
    <ns0:row r="125" ht="52" customHeight="1">
      <ns0:c r="A125" s="68" t="n">
        <ns0:v>117</ns0:v>
      </ns0:c>
      <ns0:c r="B125" s="69" t="inlineStr">
        <ns0:is>
          <ns0:t>0x000001D0</ns0:t>
        </ns0:is>
      </ns0:c>
      <ns0:c r="C125" s="69" t="inlineStr">
        <ns0:is>
          <ns0:t>0xE69FF06F</ns0:t>
        </ns0:is>
      </ns0:c>
      <ns0:c r="D125" s="70" t="inlineStr">
        <ns0:is>
          <ns0:t>jal zero, 0x00000038</ns0:t>
        </ns0:is>
      </ns0:c>
      <ns0:c r="E125" s="71" t="inlineStr">
        <ns0:is>
          <ns0:t>jal</ns0:t>
        </ns0:is>
      </ns0:c>
      <ns0:c r="F125" s="71" t="inlineStr">
        <ns0:is>
          <ns0:t>J</ns0:t>
        </ns0:is>
      </ns0:c>
      <ns0:c r="G125" s="71" t="n">
        <ns0:v>0</ns0:v>
      </ns0:c>
      <ns0:c r="H125" s="71" t="n">
        <ns0:v>-408</ns0:v>
      </ns0:c>
      <ns0:c r="I125" s="72" t="inlineStr">
        <ns0:is>
          <ns0:t>0x00000038</ns0:t>
        </ns0:is>
      </ns0:c>
      <ns0:c r="J125" s="72" t="inlineStr">
        <ns0:is>
          <ns0:t>11100110100111111111000001101111</ns0:t>
        </ns0:is>
      </ns0:c>
      <ns0:c r="K125" s="73" t="inlineStr">
        <ns0:is>
          <ns0:t>PC ← 0x00000038; rd (zero) ← PC+4. Смещение -408 байт относительно PC.</ns0:t>
        </ns0:is>
      </ns0:c>
      <ns0:c r="L125" s="70" t="inlineStr">
        <ns0:is>
          <ns0:t>Только ROM</ns0:t>
        </ns0:is>
      </ns0:c>
      <ns0:c r="M125" s="74" t="inlineStr">
        <ns0:is>
          <ns0:t>31
1
imm[20]</ns0:t>
        </ns0:is>
      </ns0:c>
      <ns0:c r="N125" s="74" t="inlineStr">
        <ns0:is>
          <ns0:t>30–21
1100110100
imm[10:1]</ns0:t>
        </ns0:is>
      </ns0:c>
      <ns0:c r="O125" s="74" t="inlineStr">
        <ns0:is>
          <ns0:t>20
1
imm[11]</ns0:t>
        </ns0:is>
      </ns0:c>
      <ns0:c r="P125" s="74" t="inlineStr">
        <ns0:is>
          <ns0:t>19–12
11111111
imm[19:12]</ns0:t>
        </ns0:is>
      </ns0:c>
      <ns0:c r="Q125" s="75" t="inlineStr">
        <ns0:is>
          <ns0:t>11–7
00000
rd</ns0:t>
        </ns0:is>
      </ns0:c>
      <ns0:c r="R125" s="76" t="inlineStr">
        <ns0:is>
          <ns0:t>6–0
1101111
opcode</ns0:t>
        </ns0:is>
      </ns0:c>
    </ns0:row>
    <ns0:row r="126" ht="52" customHeight="1">
      <ns0:c r="A126" s="77" t="n">
        <ns0:v>118</ns0:v>
      </ns0:c>
      <ns0:c r="B126" s="78" t="inlineStr">
        <ns0:is>
          <ns0:t>0x000001D4</ns0:t>
        </ns0:is>
      </ns0:c>
      <ns0:c r="C126" s="78" t="inlineStr">
        <ns0:is>
          <ns0:t>0x03C2AC23</ns0:t>
        </ns0:is>
      </ns0:c>
      <ns0:c r="D126" s="79" t="inlineStr">
        <ns0:is>
          <ns0:t>sw t3, 56(t0)</ns0:t>
        </ns0:is>
      </ns0:c>
      <ns0:c r="E126" s="80" t="inlineStr">
        <ns0:is>
          <ns0:t>sw</ns0:t>
        </ns0:is>
      </ns0:c>
      <ns0:c r="F126" s="80" t="inlineStr">
        <ns0:is>
          <ns0:t>S</ns0:t>
        </ns0:is>
      </ns0:c>
      <ns0:c r="G126" s="80" t="n">
        <ns0:v>0</ns0:v>
      </ns0:c>
      <ns0:c r="H126" s="80" t="n">
        <ns0:v>56</ns0:v>
      </ns0:c>
      <ns0:c r="I126" s="81" t="inlineStr">
        <ns0:is>
          <ns0:t>—</ns0:t>
        </ns0:is>
      </ns0:c>
      <ns0:c r="J126" s="81" t="inlineStr">
        <ns0:is>
          <ns0:t>00000011110000101010110000100011</ns0:t>
        </ns0:is>
      </ns0:c>
      <ns0:c r="K126" s="82" t="inlineStr">
        <ns0:is>
          <ns0:t>MEM32[t0 +56] ← t3. Число, находящееся в rs2, не кодируется в самой инструкции.</ns0:t>
        </ns0:is>
      </ns0:c>
      <ns0:c r="L126" s="79" t="inlineStr">
        <ns0:is>
          <ns0:t>Только ROM</ns0:t>
        </ns0:is>
      </ns0:c>
      <ns0:c r="M126" s="74" t="inlineStr">
        <ns0:is>
          <ns0:t>31–25
0000001
imm[11:5]</ns0:t>
        </ns0:is>
      </ns0:c>
      <ns0:c r="N126" s="75" t="inlineStr">
        <ns0:is>
          <ns0:t>24–20
11100
rs2</ns0:t>
        </ns0:is>
      </ns0:c>
      <ns0:c r="O126" s="75" t="inlineStr">
        <ns0:is>
          <ns0:t>19–15
00101
rs1</ns0:t>
        </ns0:is>
      </ns0:c>
      <ns0:c r="P126" s="83" t="inlineStr">
        <ns0:is>
          <ns0:t>14–12
010
funct3</ns0:t>
        </ns0:is>
      </ns0:c>
      <ns0:c r="Q126" s="74" t="inlineStr">
        <ns0:is>
          <ns0:t>11–7
11000
imm[4:0]</ns0:t>
        </ns0:is>
      </ns0:c>
      <ns0:c r="R126" s="76" t="inlineStr">
        <ns0:is>
          <ns0:t>6–0
0100011
opcode</ns0:t>
        </ns0:is>
      </ns0:c>
    </ns0:row>
    <ns0:row r="127" ht="52" customHeight="1">
      <ns0:c r="A127" s="68" t="n">
        <ns0:v>119</ns0:v>
      </ns0:c>
      <ns0:c r="B127" s="69" t="inlineStr">
        <ns0:is>
          <ns0:t>0x000001D8</ns0:t>
        </ns0:is>
      </ns0:c>
      <ns0:c r="C127" s="69" t="inlineStr">
        <ns0:is>
          <ns0:t>0x04300313</ns0:t>
        </ns0:is>
      </ns0:c>
      <ns0:c r="D127" s="70" t="inlineStr">
        <ns0:is>
          <ns0:t>addi t1, zero, 67</ns0:t>
        </ns0:is>
      </ns0:c>
      <ns0:c r="E127" s="71" t="inlineStr">
        <ns0:is>
          <ns0:t>addi</ns0:t>
        </ns0:is>
      </ns0:c>
      <ns0:c r="F127" s="71" t="inlineStr">
        <ns0:is>
          <ns0:t>I</ns0:t>
        </ns0:is>
      </ns0:c>
      <ns0:c r="G127" s="71" t="n">
        <ns0:v>0</ns0:v>
      </ns0:c>
      <ns0:c r="H127" s="71" t="n">
        <ns0:v>67</ns0:v>
      </ns0:c>
      <ns0:c r="I127" s="72" t="inlineStr">
        <ns0:is>
          <ns0:t>—</ns0:t>
        </ns0:is>
      </ns0:c>
      <ns0:c r="J127" s="72" t="inlineStr">
        <ns0:is>
          <ns0:t>00000100001100000000001100010011</ns0:t>
        </ns0:is>
      </ns0:c>
      <ns0:c r="K127" s="73" t="inlineStr">
        <ns0:is>
          <ns0:t>t1 ← zero + (+67); арифметика RV32I по модулю 2³².</ns0:t>
        </ns0:is>
      </ns0:c>
      <ns0:c r="L127" s="70" t="inlineStr">
        <ns0:is>
          <ns0:t>Только ROM</ns0:t>
        </ns0:is>
      </ns0:c>
      <ns0:c r="M127" s="74" t="inlineStr">
        <ns0:is>
          <ns0:t>31–20
000001000011
imm[11:0]</ns0:t>
        </ns0:is>
      </ns0:c>
      <ns0:c r="N127" s="75" t="inlineStr">
        <ns0:is>
          <ns0:t>19–15
00000
rs1</ns0:t>
        </ns0:is>
      </ns0:c>
      <ns0:c r="O127" s="83" t="inlineStr">
        <ns0:is>
          <ns0:t>14–12
000
funct3</ns0:t>
        </ns0:is>
      </ns0:c>
      <ns0:c r="P127" s="75" t="inlineStr">
        <ns0:is>
          <ns0:t>11–7
00110
rd</ns0:t>
        </ns0:is>
      </ns0:c>
      <ns0:c r="Q127" s="76" t="inlineStr">
        <ns0:is>
          <ns0:t>6–0
0010011
opcode</ns0:t>
        </ns0:is>
      </ns0:c>
    </ns0:row>
    <ns0:row r="128" ht="52" customHeight="1">
      <ns0:c r="A128" s="77" t="n">
        <ns0:v>120</ns0:v>
      </ns0:c>
      <ns0:c r="B128" s="78" t="inlineStr">
        <ns0:is>
          <ns0:t>0x000001DC</ns0:t>
        </ns0:is>
      </ns0:c>
      <ns0:c r="C128" s="78" t="inlineStr">
        <ns0:is>
          <ns0:t>0x138000EF</ns0:t>
        </ns0:is>
      </ns0:c>
      <ns0:c r="D128" s="79" t="inlineStr">
        <ns0:is>
          <ns0:t>jal ra, 0x00000314</ns0:t>
        </ns0:is>
      </ns0:c>
      <ns0:c r="E128" s="80" t="inlineStr">
        <ns0:is>
          <ns0:t>jal</ns0:t>
        </ns0:is>
      </ns0:c>
      <ns0:c r="F128" s="80" t="inlineStr">
        <ns0:is>
          <ns0:t>J</ns0:t>
        </ns0:is>
      </ns0:c>
      <ns0:c r="G128" s="80" t="n">
        <ns0:v>0</ns0:v>
      </ns0:c>
      <ns0:c r="H128" s="80" t="n">
        <ns0:v>312</ns0:v>
      </ns0:c>
      <ns0:c r="I128" s="81" t="inlineStr">
        <ns0:is>
          <ns0:t>0x00000314</ns0:t>
        </ns0:is>
      </ns0:c>
      <ns0:c r="J128" s="81" t="inlineStr">
        <ns0:is>
          <ns0:t>00010011100000000000000011101111</ns0:t>
        </ns0:is>
      </ns0:c>
      <ns0:c r="K128" s="82" t="inlineStr">
        <ns0:is>
          <ns0:t>PC ← 0x00000314; rd (ra) ← PC+4. Смещение +312 байт относительно PC.</ns0:t>
        </ns0:is>
      </ns0:c>
      <ns0:c r="L128" s="79" t="inlineStr">
        <ns0:is>
          <ns0:t>Только ROM</ns0:t>
        </ns0:is>
      </ns0:c>
      <ns0:c r="M128" s="74" t="inlineStr">
        <ns0:is>
          <ns0:t>31
0
imm[20]</ns0:t>
        </ns0:is>
      </ns0:c>
      <ns0:c r="N128" s="74" t="inlineStr">
        <ns0:is>
          <ns0:t>30–21
0010011100
imm[10:1]</ns0:t>
        </ns0:is>
      </ns0:c>
      <ns0:c r="O128" s="74" t="inlineStr">
        <ns0:is>
          <ns0:t>20
0
imm[11]</ns0:t>
        </ns0:is>
      </ns0:c>
      <ns0:c r="P128" s="74" t="inlineStr">
        <ns0:is>
          <ns0:t>19–12
00000000
imm[19:12]</ns0:t>
        </ns0:is>
      </ns0:c>
      <ns0:c r="Q128" s="75" t="inlineStr">
        <ns0:is>
          <ns0:t>11–7
00001
rd</ns0:t>
        </ns0:is>
      </ns0:c>
      <ns0:c r="R128" s="76" t="inlineStr">
        <ns0:is>
          <ns0:t>6–0
1101111
opcode</ns0:t>
        </ns0:is>
      </ns0:c>
    </ns0:row>
    <ns0:row r="129" ht="52" customHeight="1">
      <ns0:c r="A129" s="68" t="n">
        <ns0:v>121</ns0:v>
      </ns0:c>
      <ns0:c r="B129" s="69" t="inlineStr">
        <ns0:is>
          <ns0:t>0x000001E0</ns0:t>
        </ns0:is>
      </ns0:c>
      <ns0:c r="C129" s="69" t="inlineStr">
        <ns0:is>
          <ns0:t>0x00A00313</ns0:t>
        </ns0:is>
      </ns0:c>
      <ns0:c r="D129" s="70" t="inlineStr">
        <ns0:is>
          <ns0:t>addi t1, zero, 10</ns0:t>
        </ns0:is>
      </ns0:c>
      <ns0:c r="E129" s="71" t="inlineStr">
        <ns0:is>
          <ns0:t>addi</ns0:t>
        </ns0:is>
      </ns0:c>
      <ns0:c r="F129" s="71" t="inlineStr">
        <ns0:is>
          <ns0:t>I</ns0:t>
        </ns0:is>
      </ns0:c>
      <ns0:c r="G129" s="71" t="n">
        <ns0:v>0</ns0:v>
      </ns0:c>
      <ns0:c r="H129" s="71" t="n">
        <ns0:v>10</ns0:v>
      </ns0:c>
      <ns0:c r="I129" s="72" t="inlineStr">
        <ns0:is>
          <ns0:t>—</ns0:t>
        </ns0:is>
      </ns0:c>
      <ns0:c r="J129" s="72" t="inlineStr">
        <ns0:is>
          <ns0:t>00000000101000000000001100010011</ns0:t>
        </ns0:is>
      </ns0:c>
      <ns0:c r="K129" s="73" t="inlineStr">
        <ns0:is>
          <ns0:t>t1 ← zero + (+10); арифметика RV32I по модулю 2³².</ns0:t>
        </ns0:is>
      </ns0:c>
      <ns0:c r="L129" s="70" t="inlineStr">
        <ns0:is>
          <ns0:t>Только ROM</ns0:t>
        </ns0:is>
      </ns0:c>
      <ns0:c r="M129" s="74" t="inlineStr">
        <ns0:is>
          <ns0:t>31–20
000000001010
imm[11:0]</ns0:t>
        </ns0:is>
      </ns0:c>
      <ns0:c r="N129" s="75" t="inlineStr">
        <ns0:is>
          <ns0:t>19–15
00000
rs1</ns0:t>
        </ns0:is>
      </ns0:c>
      <ns0:c r="O129" s="83" t="inlineStr">
        <ns0:is>
          <ns0:t>14–12
000
funct3</ns0:t>
        </ns0:is>
      </ns0:c>
      <ns0:c r="P129" s="75" t="inlineStr">
        <ns0:is>
          <ns0:t>11–7
00110
rd</ns0:t>
        </ns0:is>
      </ns0:c>
      <ns0:c r="Q129" s="76" t="inlineStr">
        <ns0:is>
          <ns0:t>6–0
0010011
opcode</ns0:t>
        </ns0:is>
      </ns0:c>
    </ns0:row>
    <ns0:row r="130" ht="52" customHeight="1">
      <ns0:c r="A130" s="77" t="n">
        <ns0:v>122</ns0:v>
      </ns0:c>
      <ns0:c r="B130" s="78" t="inlineStr">
        <ns0:is>
          <ns0:t>0x000001E4</ns0:t>
        </ns0:is>
      </ns0:c>
      <ns0:c r="C130" s="78" t="inlineStr">
        <ns0:is>
          <ns0:t>0x130000EF</ns0:t>
        </ns0:is>
      </ns0:c>
      <ns0:c r="D130" s="79" t="inlineStr">
        <ns0:is>
          <ns0:t>jal ra, 0x00000314</ns0:t>
        </ns0:is>
      </ns0:c>
      <ns0:c r="E130" s="80" t="inlineStr">
        <ns0:is>
          <ns0:t>jal</ns0:t>
        </ns0:is>
      </ns0:c>
      <ns0:c r="F130" s="80" t="inlineStr">
        <ns0:is>
          <ns0:t>J</ns0:t>
        </ns0:is>
      </ns0:c>
      <ns0:c r="G130" s="80" t="n">
        <ns0:v>0</ns0:v>
      </ns0:c>
      <ns0:c r="H130" s="80" t="n">
        <ns0:v>304</ns0:v>
      </ns0:c>
      <ns0:c r="I130" s="81" t="inlineStr">
        <ns0:is>
          <ns0:t>0x00000314</ns0:t>
        </ns0:is>
      </ns0:c>
      <ns0:c r="J130" s="81" t="inlineStr">
        <ns0:is>
          <ns0:t>00010011000000000000000011101111</ns0:t>
        </ns0:is>
      </ns0:c>
      <ns0:c r="K130" s="82" t="inlineStr">
        <ns0:is>
          <ns0:t>PC ← 0x00000314; rd (ra) ← PC+4. Смещение +304 байт относительно PC.</ns0:t>
        </ns0:is>
      </ns0:c>
      <ns0:c r="L130" s="79" t="inlineStr">
        <ns0:is>
          <ns0:t>Только ROM</ns0:t>
        </ns0:is>
      </ns0:c>
      <ns0:c r="M130" s="74" t="inlineStr">
        <ns0:is>
          <ns0:t>31
0
imm[20]</ns0:t>
        </ns0:is>
      </ns0:c>
      <ns0:c r="N130" s="74" t="inlineStr">
        <ns0:is>
          <ns0:t>30–21
0010011000
imm[10:1]</ns0:t>
        </ns0:is>
      </ns0:c>
      <ns0:c r="O130" s="74" t="inlineStr">
        <ns0:is>
          <ns0:t>20
0
imm[11]</ns0:t>
        </ns0:is>
      </ns0:c>
      <ns0:c r="P130" s="74" t="inlineStr">
        <ns0:is>
          <ns0:t>19–12
00000000
imm[19:12]</ns0:t>
        </ns0:is>
      </ns0:c>
      <ns0:c r="Q130" s="75" t="inlineStr">
        <ns0:is>
          <ns0:t>11–7
00001
rd</ns0:t>
        </ns0:is>
      </ns0:c>
      <ns0:c r="R130" s="76" t="inlineStr">
        <ns0:is>
          <ns0:t>6–0
1101111
opcode</ns0:t>
        </ns0:is>
      </ns0:c>
    </ns0:row>
    <ns0:row r="131" ht="52" customHeight="1">
      <ns0:c r="A131" s="68" t="n">
        <ns0:v>123</ns0:v>
      </ns0:c>
      <ns0:c r="B131" s="69" t="inlineStr">
        <ns0:is>
          <ns0:t>0x000001E8</ns0:t>
        </ns0:is>
      </ns0:c>
      <ns0:c r="C131" s="69" t="inlineStr">
        <ns0:is>
          <ns0:t>0xE51FF06F</ns0:t>
        </ns0:is>
      </ns0:c>
      <ns0:c r="D131" s="70" t="inlineStr">
        <ns0:is>
          <ns0:t>jal zero, 0x00000038</ns0:t>
        </ns0:is>
      </ns0:c>
      <ns0:c r="E131" s="71" t="inlineStr">
        <ns0:is>
          <ns0:t>jal</ns0:t>
        </ns0:is>
      </ns0:c>
      <ns0:c r="F131" s="71" t="inlineStr">
        <ns0:is>
          <ns0:t>J</ns0:t>
        </ns0:is>
      </ns0:c>
      <ns0:c r="G131" s="71" t="n">
        <ns0:v>0</ns0:v>
      </ns0:c>
      <ns0:c r="H131" s="71" t="n">
        <ns0:v>-432</ns0:v>
      </ns0:c>
      <ns0:c r="I131" s="72" t="inlineStr">
        <ns0:is>
          <ns0:t>0x00000038</ns0:t>
        </ns0:is>
      </ns0:c>
      <ns0:c r="J131" s="72" t="inlineStr">
        <ns0:is>
          <ns0:t>11100101000111111111000001101111</ns0:t>
        </ns0:is>
      </ns0:c>
      <ns0:c r="K131" s="73" t="inlineStr">
        <ns0:is>
          <ns0:t>PC ← 0x00000038; rd (zero) ← PC+4. Смещение -432 байт относительно PC.</ns0:t>
        </ns0:is>
      </ns0:c>
      <ns0:c r="L131" s="70" t="inlineStr">
        <ns0:is>
          <ns0:t>Только ROM</ns0:t>
        </ns0:is>
      </ns0:c>
      <ns0:c r="M131" s="74" t="inlineStr">
        <ns0:is>
          <ns0:t>31
1
imm[20]</ns0:t>
        </ns0:is>
      </ns0:c>
      <ns0:c r="N131" s="74" t="inlineStr">
        <ns0:is>
          <ns0:t>30–21
1100101000
imm[10:1]</ns0:t>
        </ns0:is>
      </ns0:c>
      <ns0:c r="O131" s="74" t="inlineStr">
        <ns0:is>
          <ns0:t>20
1
imm[11]</ns0:t>
        </ns0:is>
      </ns0:c>
      <ns0:c r="P131" s="74" t="inlineStr">
        <ns0:is>
          <ns0:t>19–12
11111111
imm[19:12]</ns0:t>
        </ns0:is>
      </ns0:c>
      <ns0:c r="Q131" s="75" t="inlineStr">
        <ns0:is>
          <ns0:t>11–7
00000
rd</ns0:t>
        </ns0:is>
      </ns0:c>
      <ns0:c r="R131" s="76" t="inlineStr">
        <ns0:is>
          <ns0:t>6–0
1101111
opcode</ns0:t>
        </ns0:is>
      </ns0:c>
    </ns0:row>
    <ns0:row r="132" ht="52" customHeight="1">
      <ns0:c r="A132" s="77" t="n">
        <ns0:v>124</ns0:v>
      </ns0:c>
      <ns0:c r="B132" s="78" t="inlineStr">
        <ns0:is>
          <ns0:t>0x000001EC</ns0:t>
        </ns0:is>
      </ns0:c>
      <ns0:c r="C132" s="78" t="inlineStr">
        <ns0:is>
          <ns0:t>0x05400313</ns0:t>
        </ns0:is>
      </ns0:c>
      <ns0:c r="D132" s="79" t="inlineStr">
        <ns0:is>
          <ns0:t>addi t1, zero, 84</ns0:t>
        </ns0:is>
      </ns0:c>
      <ns0:c r="E132" s="80" t="inlineStr">
        <ns0:is>
          <ns0:t>addi</ns0:t>
        </ns0:is>
      </ns0:c>
      <ns0:c r="F132" s="80" t="inlineStr">
        <ns0:is>
          <ns0:t>I</ns0:t>
        </ns0:is>
      </ns0:c>
      <ns0:c r="G132" s="80" t="n">
        <ns0:v>0</ns0:v>
      </ns0:c>
      <ns0:c r="H132" s="80" t="n">
        <ns0:v>84</ns0:v>
      </ns0:c>
      <ns0:c r="I132" s="81" t="inlineStr">
        <ns0:is>
          <ns0:t>—</ns0:t>
        </ns0:is>
      </ns0:c>
      <ns0:c r="J132" s="81" t="inlineStr">
        <ns0:is>
          <ns0:t>00000101010000000000001100010011</ns0:t>
        </ns0:is>
      </ns0:c>
      <ns0:c r="K132" s="82" t="inlineStr">
        <ns0:is>
          <ns0:t>t1 ← zero + (+84); арифметика RV32I по модулю 2³².</ns0:t>
        </ns0:is>
      </ns0:c>
      <ns0:c r="L132" s="79" t="inlineStr">
        <ns0:is>
          <ns0:t>Только ROM</ns0:t>
        </ns0:is>
      </ns0:c>
      <ns0:c r="M132" s="74" t="inlineStr">
        <ns0:is>
          <ns0:t>31–20
000001010100
imm[11:0]</ns0:t>
        </ns0:is>
      </ns0:c>
      <ns0:c r="N132" s="75" t="inlineStr">
        <ns0:is>
          <ns0:t>19–15
00000
rs1</ns0:t>
        </ns0:is>
      </ns0:c>
      <ns0:c r="O132" s="83" t="inlineStr">
        <ns0:is>
          <ns0:t>14–12
000
funct3</ns0:t>
        </ns0:is>
      </ns0:c>
      <ns0:c r="P132" s="75" t="inlineStr">
        <ns0:is>
          <ns0:t>11–7
00110
rd</ns0:t>
        </ns0:is>
      </ns0:c>
      <ns0:c r="Q132" s="76" t="inlineStr">
        <ns0:is>
          <ns0:t>6–0
0010011
opcode</ns0:t>
        </ns0:is>
      </ns0:c>
    </ns0:row>
    <ns0:row r="133" ht="52" customHeight="1">
      <ns0:c r="A133" s="68" t="n">
        <ns0:v>125</ns0:v>
      </ns0:c>
      <ns0:c r="B133" s="69" t="inlineStr">
        <ns0:is>
          <ns0:t>0x000001F0</ns0:t>
        </ns0:is>
      </ns0:c>
      <ns0:c r="C133" s="69" t="inlineStr">
        <ns0:is>
          <ns0:t>0x124000EF</ns0:t>
        </ns0:is>
      </ns0:c>
      <ns0:c r="D133" s="70" t="inlineStr">
        <ns0:is>
          <ns0:t>jal ra, 0x00000314</ns0:t>
        </ns0:is>
      </ns0:c>
      <ns0:c r="E133" s="71" t="inlineStr">
        <ns0:is>
          <ns0:t>jal</ns0:t>
        </ns0:is>
      </ns0:c>
      <ns0:c r="F133" s="71" t="inlineStr">
        <ns0:is>
          <ns0:t>J</ns0:t>
        </ns0:is>
      </ns0:c>
      <ns0:c r="G133" s="71" t="n">
        <ns0:v>0</ns0:v>
      </ns0:c>
      <ns0:c r="H133" s="71" t="n">
        <ns0:v>292</ns0:v>
      </ns0:c>
      <ns0:c r="I133" s="72" t="inlineStr">
        <ns0:is>
          <ns0:t>0x00000314</ns0:t>
        </ns0:is>
      </ns0:c>
      <ns0:c r="J133" s="72" t="inlineStr">
        <ns0:is>
          <ns0:t>00010010010000000000000011101111</ns0:t>
        </ns0:is>
      </ns0:c>
      <ns0:c r="K133" s="73" t="inlineStr">
        <ns0:is>
          <ns0:t>PC ← 0x00000314; rd (ra) ← PC+4. Смещение +292 байт относительно PC.</ns0:t>
        </ns0:is>
      </ns0:c>
      <ns0:c r="L133" s="70" t="inlineStr">
        <ns0:is>
          <ns0:t>Только ROM</ns0:t>
        </ns0:is>
      </ns0:c>
      <ns0:c r="M133" s="74" t="inlineStr">
        <ns0:is>
          <ns0:t>31
0
imm[20]</ns0:t>
        </ns0:is>
      </ns0:c>
      <ns0:c r="N133" s="74" t="inlineStr">
        <ns0:is>
          <ns0:t>30–21
0010010010
imm[10:1]</ns0:t>
        </ns0:is>
      </ns0:c>
      <ns0:c r="O133" s="74" t="inlineStr">
        <ns0:is>
          <ns0:t>20
0
imm[11]</ns0:t>
        </ns0:is>
      </ns0:c>
      <ns0:c r="P133" s="74" t="inlineStr">
        <ns0:is>
          <ns0:t>19–12
00000000
imm[19:12]</ns0:t>
        </ns0:is>
      </ns0:c>
      <ns0:c r="Q133" s="75" t="inlineStr">
        <ns0:is>
          <ns0:t>11–7
00001
rd</ns0:t>
        </ns0:is>
      </ns0:c>
      <ns0:c r="R133" s="76" t="inlineStr">
        <ns0:is>
          <ns0:t>6–0
1101111
opcode</ns0:t>
        </ns0:is>
      </ns0:c>
    </ns0:row>
    <ns0:row r="134" ht="52" customHeight="1">
      <ns0:c r="A134" s="77" t="n">
        <ns0:v>126</ns0:v>
      </ns0:c>
      <ns0:c r="B134" s="78" t="inlineStr">
        <ns0:is>
          <ns0:t>0x000001F4</ns0:t>
        </ns0:is>
      </ns0:c>
      <ns0:c r="C134" s="78" t="inlineStr">
        <ns0:is>
          <ns0:t>0x03300313</ns0:t>
        </ns0:is>
      </ns0:c>
      <ns0:c r="D134" s="79" t="inlineStr">
        <ns0:is>
          <ns0:t>addi t1, zero, 51</ns0:t>
        </ns0:is>
      </ns0:c>
      <ns0:c r="E134" s="80" t="inlineStr">
        <ns0:is>
          <ns0:t>addi</ns0:t>
        </ns0:is>
      </ns0:c>
      <ns0:c r="F134" s="80" t="inlineStr">
        <ns0:is>
          <ns0:t>I</ns0:t>
        </ns0:is>
      </ns0:c>
      <ns0:c r="G134" s="80" t="n">
        <ns0:v>0</ns0:v>
      </ns0:c>
      <ns0:c r="H134" s="80" t="n">
        <ns0:v>51</ns0:v>
      </ns0:c>
      <ns0:c r="I134" s="81" t="inlineStr">
        <ns0:is>
          <ns0:t>—</ns0:t>
        </ns0:is>
      </ns0:c>
      <ns0:c r="J134" s="81" t="inlineStr">
        <ns0:is>
          <ns0:t>00000011001100000000001100010011</ns0:t>
        </ns0:is>
      </ns0:c>
      <ns0:c r="K134" s="82" t="inlineStr">
        <ns0:is>
          <ns0:t>t1 ← zero + (+51); арифметика RV32I по модулю 2³².</ns0:t>
        </ns0:is>
      </ns0:c>
      <ns0:c r="L134" s="79" t="inlineStr">
        <ns0:is>
          <ns0:t>Только ROM</ns0:t>
        </ns0:is>
      </ns0:c>
      <ns0:c r="M134" s="74" t="inlineStr">
        <ns0:is>
          <ns0:t>31–20
000000110011
imm[11:0]</ns0:t>
        </ns0:is>
      </ns0:c>
      <ns0:c r="N134" s="75" t="inlineStr">
        <ns0:is>
          <ns0:t>19–15
00000
rs1</ns0:t>
        </ns0:is>
      </ns0:c>
      <ns0:c r="O134" s="83" t="inlineStr">
        <ns0:is>
          <ns0:t>14–12
000
funct3</ns0:t>
        </ns0:is>
      </ns0:c>
      <ns0:c r="P134" s="75" t="inlineStr">
        <ns0:is>
          <ns0:t>11–7
00110
rd</ns0:t>
        </ns0:is>
      </ns0:c>
      <ns0:c r="Q134" s="76" t="inlineStr">
        <ns0:is>
          <ns0:t>6–0
0010011
opcode</ns0:t>
        </ns0:is>
      </ns0:c>
    </ns0:row>
    <ns0:row r="135" ht="52" customHeight="1">
      <ns0:c r="A135" s="68" t="n">
        <ns0:v>127</ns0:v>
      </ns0:c>
      <ns0:c r="B135" s="69" t="inlineStr">
        <ns0:is>
          <ns0:t>0x000001F8</ns0:t>
        </ns0:is>
      </ns0:c>
      <ns0:c r="C135" s="69" t="inlineStr">
        <ns0:is>
          <ns0:t>0x11C000EF</ns0:t>
        </ns0:is>
      </ns0:c>
      <ns0:c r="D135" s="70" t="inlineStr">
        <ns0:is>
          <ns0:t>jal ra, 0x00000314</ns0:t>
        </ns0:is>
      </ns0:c>
      <ns0:c r="E135" s="71" t="inlineStr">
        <ns0:is>
          <ns0:t>jal</ns0:t>
        </ns0:is>
      </ns0:c>
      <ns0:c r="F135" s="71" t="inlineStr">
        <ns0:is>
          <ns0:t>J</ns0:t>
        </ns0:is>
      </ns0:c>
      <ns0:c r="G135" s="71" t="n">
        <ns0:v>0</ns0:v>
      </ns0:c>
      <ns0:c r="H135" s="71" t="n">
        <ns0:v>284</ns0:v>
      </ns0:c>
      <ns0:c r="I135" s="72" t="inlineStr">
        <ns0:is>
          <ns0:t>0x00000314</ns0:t>
        </ns0:is>
      </ns0:c>
      <ns0:c r="J135" s="72" t="inlineStr">
        <ns0:is>
          <ns0:t>00010001110000000000000011101111</ns0:t>
        </ns0:is>
      </ns0:c>
      <ns0:c r="K135" s="73" t="inlineStr">
        <ns0:is>
          <ns0:t>PC ← 0x00000314; rd (ra) ← PC+4. Смещение +284 байт относительно PC.</ns0:t>
        </ns0:is>
      </ns0:c>
      <ns0:c r="L135" s="70" t="inlineStr">
        <ns0:is>
          <ns0:t>Только ROM</ns0:t>
        </ns0:is>
      </ns0:c>
      <ns0:c r="M135" s="74" t="inlineStr">
        <ns0:is>
          <ns0:t>31
0
imm[20]</ns0:t>
        </ns0:is>
      </ns0:c>
      <ns0:c r="N135" s="74" t="inlineStr">
        <ns0:is>
          <ns0:t>30–21
0010001110
imm[10:1]</ns0:t>
        </ns0:is>
      </ns0:c>
      <ns0:c r="O135" s="74" t="inlineStr">
        <ns0:is>
          <ns0:t>20
0
imm[11]</ns0:t>
        </ns0:is>
      </ns0:c>
      <ns0:c r="P135" s="74" t="inlineStr">
        <ns0:is>
          <ns0:t>19–12
00000000
imm[19:12]</ns0:t>
        </ns0:is>
      </ns0:c>
      <ns0:c r="Q135" s="75" t="inlineStr">
        <ns0:is>
          <ns0:t>11–7
00001
rd</ns0:t>
        </ns0:is>
      </ns0:c>
      <ns0:c r="R135" s="76" t="inlineStr">
        <ns0:is>
          <ns0:t>6–0
1101111
opcode</ns0:t>
        </ns0:is>
      </ns0:c>
    </ns0:row>
    <ns0:row r="136" ht="52" customHeight="1">
      <ns0:c r="A136" s="77" t="n">
        <ns0:v>128</ns0:v>
      </ns0:c>
      <ns0:c r="B136" s="78" t="inlineStr">
        <ns0:is>
          <ns0:t>0x000001FC</ns0:t>
        </ns0:is>
      </ns0:c>
      <ns0:c r="C136" s="78" t="inlineStr">
        <ns0:is>
          <ns0:t>0x03A00313</ns0:t>
        </ns0:is>
      </ns0:c>
      <ns0:c r="D136" s="79" t="inlineStr">
        <ns0:is>
          <ns0:t>addi t1, zero, 58</ns0:t>
        </ns0:is>
      </ns0:c>
      <ns0:c r="E136" s="80" t="inlineStr">
        <ns0:is>
          <ns0:t>addi</ns0:t>
        </ns0:is>
      </ns0:c>
      <ns0:c r="F136" s="80" t="inlineStr">
        <ns0:is>
          <ns0:t>I</ns0:t>
        </ns0:is>
      </ns0:c>
      <ns0:c r="G136" s="80" t="n">
        <ns0:v>0</ns0:v>
      </ns0:c>
      <ns0:c r="H136" s="80" t="n">
        <ns0:v>58</ns0:v>
      </ns0:c>
      <ns0:c r="I136" s="81" t="inlineStr">
        <ns0:is>
          <ns0:t>—</ns0:t>
        </ns0:is>
      </ns0:c>
      <ns0:c r="J136" s="81" t="inlineStr">
        <ns0:is>
          <ns0:t>00000011101000000000001100010011</ns0:t>
        </ns0:is>
      </ns0:c>
      <ns0:c r="K136" s="82" t="inlineStr">
        <ns0:is>
          <ns0:t>t1 ← zero + (+58); арифметика RV32I по модулю 2³².</ns0:t>
        </ns0:is>
      </ns0:c>
      <ns0:c r="L136" s="79" t="inlineStr">
        <ns0:is>
          <ns0:t>Только ROM</ns0:t>
        </ns0:is>
      </ns0:c>
      <ns0:c r="M136" s="74" t="inlineStr">
        <ns0:is>
          <ns0:t>31–20
000000111010
imm[11:0]</ns0:t>
        </ns0:is>
      </ns0:c>
      <ns0:c r="N136" s="75" t="inlineStr">
        <ns0:is>
          <ns0:t>19–15
00000
rs1</ns0:t>
        </ns0:is>
      </ns0:c>
      <ns0:c r="O136" s="83" t="inlineStr">
        <ns0:is>
          <ns0:t>14–12
000
funct3</ns0:t>
        </ns0:is>
      </ns0:c>
      <ns0:c r="P136" s="75" t="inlineStr">
        <ns0:is>
          <ns0:t>11–7
00110
rd</ns0:t>
        </ns0:is>
      </ns0:c>
      <ns0:c r="Q136" s="76" t="inlineStr">
        <ns0:is>
          <ns0:t>6–0
0010011
opcode</ns0:t>
        </ns0:is>
      </ns0:c>
    </ns0:row>
    <ns0:row r="137" ht="52" customHeight="1">
      <ns0:c r="A137" s="68" t="n">
        <ns0:v>129</ns0:v>
      </ns0:c>
      <ns0:c r="B137" s="69" t="inlineStr">
        <ns0:is>
          <ns0:t>0x00000200</ns0:t>
        </ns0:is>
      </ns0:c>
      <ns0:c r="C137" s="69" t="inlineStr">
        <ns0:is>
          <ns0:t>0x114000EF</ns0:t>
        </ns0:is>
      </ns0:c>
      <ns0:c r="D137" s="70" t="inlineStr">
        <ns0:is>
          <ns0:t>jal ra, 0x00000314</ns0:t>
        </ns0:is>
      </ns0:c>
      <ns0:c r="E137" s="71" t="inlineStr">
        <ns0:is>
          <ns0:t>jal</ns0:t>
        </ns0:is>
      </ns0:c>
      <ns0:c r="F137" s="71" t="inlineStr">
        <ns0:is>
          <ns0:t>J</ns0:t>
        </ns0:is>
      </ns0:c>
      <ns0:c r="G137" s="71" t="n">
        <ns0:v>0</ns0:v>
      </ns0:c>
      <ns0:c r="H137" s="71" t="n">
        <ns0:v>276</ns0:v>
      </ns0:c>
      <ns0:c r="I137" s="72" t="inlineStr">
        <ns0:is>
          <ns0:t>0x00000314</ns0:t>
        </ns0:is>
      </ns0:c>
      <ns0:c r="J137" s="72" t="inlineStr">
        <ns0:is>
          <ns0:t>00010001010000000000000011101111</ns0:t>
        </ns0:is>
      </ns0:c>
      <ns0:c r="K137" s="73" t="inlineStr">
        <ns0:is>
          <ns0:t>PC ← 0x00000314; rd (ra) ← PC+4. Смещение +276 байт относительно PC.</ns0:t>
        </ns0:is>
      </ns0:c>
      <ns0:c r="L137" s="70" t="inlineStr">
        <ns0:is>
          <ns0:t>Только ROM</ns0:t>
        </ns0:is>
      </ns0:c>
      <ns0:c r="M137" s="74" t="inlineStr">
        <ns0:is>
          <ns0:t>31
0
imm[20]</ns0:t>
        </ns0:is>
      </ns0:c>
      <ns0:c r="N137" s="74" t="inlineStr">
        <ns0:is>
          <ns0:t>30–21
0010001010
imm[10:1]</ns0:t>
        </ns0:is>
      </ns0:c>
      <ns0:c r="O137" s="74" t="inlineStr">
        <ns0:is>
          <ns0:t>20
0
imm[11]</ns0:t>
        </ns0:is>
      </ns0:c>
      <ns0:c r="P137" s="74" t="inlineStr">
        <ns0:is>
          <ns0:t>19–12
00000000
imm[19:12]</ns0:t>
        </ns0:is>
      </ns0:c>
      <ns0:c r="Q137" s="75" t="inlineStr">
        <ns0:is>
          <ns0:t>11–7
00001
rd</ns0:t>
        </ns0:is>
      </ns0:c>
      <ns0:c r="R137" s="76" t="inlineStr">
        <ns0:is>
          <ns0:t>6–0
1101111
opcode</ns0:t>
        </ns0:is>
      </ns0:c>
    </ns0:row>
    <ns0:row r="138" ht="52" customHeight="1">
      <ns0:c r="A138" s="77" t="n">
        <ns0:v>130</ns0:v>
      </ns0:c>
      <ns0:c r="B138" s="78" t="inlineStr">
        <ns0:is>
          <ns0:t>0x00000204</ns0:t>
        </ns0:is>
      </ns0:c>
      <ns0:c r="C138" s="78" t="inlineStr">
        <ns0:is>
          <ns0:t>0x0202A503</ns0:t>
        </ns0:is>
      </ns0:c>
      <ns0:c r="D138" s="79" t="inlineStr">
        <ns0:is>
          <ns0:t>lw a0, 32(t0)</ns0:t>
        </ns0:is>
      </ns0:c>
      <ns0:c r="E138" s="80" t="inlineStr">
        <ns0:is>
          <ns0:t>lw</ns0:t>
        </ns0:is>
      </ns0:c>
      <ns0:c r="F138" s="80" t="inlineStr">
        <ns0:is>
          <ns0:t>I</ns0:t>
        </ns0:is>
      </ns0:c>
      <ns0:c r="G138" s="80" t="n">
        <ns0:v>0</ns0:v>
      </ns0:c>
      <ns0:c r="H138" s="80" t="n">
        <ns0:v>32</ns0:v>
      </ns0:c>
      <ns0:c r="I138" s="81" t="inlineStr">
        <ns0:is>
          <ns0:t>—</ns0:t>
        </ns0:is>
      </ns0:c>
      <ns0:c r="J138" s="81" t="inlineStr">
        <ns0:is>
          <ns0:t>00000010000000101010010100000011</ns0:t>
        </ns0:is>
      </ns0:c>
      <ns0:c r="K138" s="82" t="inlineStr">
        <ns0:is>
          <ns0:t>a0 ← MEM32[t0 +32]. FETCH этой инструкции не удостоверяет регистрацию DATA_READ.</ns0:t>
        </ns0:is>
      </ns0:c>
      <ns0:c r="L138" s="79" t="inlineStr">
        <ns0:is>
          <ns0:t>Только ROM</ns0:t>
        </ns0:is>
      </ns0:c>
      <ns0:c r="M138" s="74" t="inlineStr">
        <ns0:is>
          <ns0:t>31–20
000000100000
imm[11:0]</ns0:t>
        </ns0:is>
      </ns0:c>
      <ns0:c r="N138" s="75" t="inlineStr">
        <ns0:is>
          <ns0:t>19–15
00101
rs1</ns0:t>
        </ns0:is>
      </ns0:c>
      <ns0:c r="O138" s="83" t="inlineStr">
        <ns0:is>
          <ns0:t>14–12
010
funct3</ns0:t>
        </ns0:is>
      </ns0:c>
      <ns0:c r="P138" s="75" t="inlineStr">
        <ns0:is>
          <ns0:t>11–7
01010
rd</ns0:t>
        </ns0:is>
      </ns0:c>
      <ns0:c r="Q138" s="76" t="inlineStr">
        <ns0:is>
          <ns0:t>6–0
0000011
opcode</ns0:t>
        </ns0:is>
      </ns0:c>
    </ns0:row>
    <ns0:row r="139" ht="52" customHeight="1">
      <ns0:c r="A139" s="68" t="n">
        <ns0:v>131</ns0:v>
      </ns0:c>
      <ns0:c r="B139" s="69" t="inlineStr">
        <ns0:is>
          <ns0:t>0x00000208</ns0:t>
        </ns0:is>
      </ns0:c>
      <ns0:c r="C139" s="69" t="inlineStr">
        <ns0:is>
          <ns0:t>0x0FF57913</ns0:t>
        </ns0:is>
      </ns0:c>
      <ns0:c r="D139" s="70" t="inlineStr">
        <ns0:is>
          <ns0:t>andi s2, a0, 255</ns0:t>
        </ns0:is>
      </ns0:c>
      <ns0:c r="E139" s="71" t="inlineStr">
        <ns0:is>
          <ns0:t>andi</ns0:t>
        </ns0:is>
      </ns0:c>
      <ns0:c r="F139" s="71" t="inlineStr">
        <ns0:is>
          <ns0:t>I</ns0:t>
        </ns0:is>
      </ns0:c>
      <ns0:c r="G139" s="71" t="n">
        <ns0:v>0</ns0:v>
      </ns0:c>
      <ns0:c r="H139" s="71" t="n">
        <ns0:v>255</ns0:v>
      </ns0:c>
      <ns0:c r="I139" s="72" t="inlineStr">
        <ns0:is>
          <ns0:t>—</ns0:t>
        </ns0:is>
      </ns0:c>
      <ns0:c r="J139" s="72" t="inlineStr">
        <ns0:is>
          <ns0:t>00001111111101010111100100010011</ns0:t>
        </ns0:is>
      </ns0:c>
      <ns0:c r="K139" s="73" t="inlineStr">
        <ns0:is>
          <ns0:t>s2 ← a0 AND (+255); побитовое И с sign_extend(imm).</ns0:t>
        </ns0:is>
      </ns0:c>
      <ns0:c r="L139" s="70" t="inlineStr">
        <ns0:is>
          <ns0:t>Только ROM</ns0:t>
        </ns0:is>
      </ns0:c>
      <ns0:c r="M139" s="74" t="inlineStr">
        <ns0:is>
          <ns0:t>31–20
000011111111
imm[11:0]</ns0:t>
        </ns0:is>
      </ns0:c>
      <ns0:c r="N139" s="75" t="inlineStr">
        <ns0:is>
          <ns0:t>19–15
01010
rs1</ns0:t>
        </ns0:is>
      </ns0:c>
      <ns0:c r="O139" s="83" t="inlineStr">
        <ns0:is>
          <ns0:t>14–12
111
funct3</ns0:t>
        </ns0:is>
      </ns0:c>
      <ns0:c r="P139" s="75" t="inlineStr">
        <ns0:is>
          <ns0:t>11–7
10010
rd</ns0:t>
        </ns0:is>
      </ns0:c>
      <ns0:c r="Q139" s="76" t="inlineStr">
        <ns0:is>
          <ns0:t>6–0
0010011
opcode</ns0:t>
        </ns0:is>
      </ns0:c>
    </ns0:row>
    <ns0:row r="140" ht="52" customHeight="1">
      <ns0:c r="A140" s="77" t="n">
        <ns0:v>132</ns0:v>
      </ns0:c>
      <ns0:c r="B140" s="78" t="inlineStr">
        <ns0:is>
          <ns0:t>0x0000020C</ns0:t>
        </ns0:is>
      </ns0:c>
      <ns0:c r="C140" s="78" t="inlineStr">
        <ns0:is>
          <ns0:t>0x094000EF</ns0:t>
        </ns0:is>
      </ns0:c>
      <ns0:c r="D140" s="79" t="inlineStr">
        <ns0:is>
          <ns0:t>jal ra, 0x000002a0</ns0:t>
        </ns0:is>
      </ns0:c>
      <ns0:c r="E140" s="80" t="inlineStr">
        <ns0:is>
          <ns0:t>jal</ns0:t>
        </ns0:is>
      </ns0:c>
      <ns0:c r="F140" s="80" t="inlineStr">
        <ns0:is>
          <ns0:t>J</ns0:t>
        </ns0:is>
      </ns0:c>
      <ns0:c r="G140" s="80" t="n">
        <ns0:v>0</ns0:v>
      </ns0:c>
      <ns0:c r="H140" s="80" t="n">
        <ns0:v>148</ns0:v>
      </ns0:c>
      <ns0:c r="I140" s="81" t="inlineStr">
        <ns0:is>
          <ns0:t>0x000002A0</ns0:t>
        </ns0:is>
      </ns0:c>
      <ns0:c r="J140" s="81" t="inlineStr">
        <ns0:is>
          <ns0:t>00001001010000000000000011101111</ns0:t>
        </ns0:is>
      </ns0:c>
      <ns0:c r="K140" s="82" t="inlineStr">
        <ns0:is>
          <ns0:t>PC ← 0x000002A0; rd (ra) ← PC+4. Смещение +148 байт относительно PC.</ns0:t>
        </ns0:is>
      </ns0:c>
      <ns0:c r="L140" s="79" t="inlineStr">
        <ns0:is>
          <ns0:t>Только ROM</ns0:t>
        </ns0:is>
      </ns0:c>
      <ns0:c r="M140" s="74" t="inlineStr">
        <ns0:is>
          <ns0:t>31
0
imm[20]</ns0:t>
        </ns0:is>
      </ns0:c>
      <ns0:c r="N140" s="74" t="inlineStr">
        <ns0:is>
          <ns0:t>30–21
0001001010
imm[10:1]</ns0:t>
        </ns0:is>
      </ns0:c>
      <ns0:c r="O140" s="74" t="inlineStr">
        <ns0:is>
          <ns0:t>20
0
imm[11]</ns0:t>
        </ns0:is>
      </ns0:c>
      <ns0:c r="P140" s="74" t="inlineStr">
        <ns0:is>
          <ns0:t>19–12
00000000
imm[19:12]</ns0:t>
        </ns0:is>
      </ns0:c>
      <ns0:c r="Q140" s="75" t="inlineStr">
        <ns0:is>
          <ns0:t>11–7
00001
rd</ns0:t>
        </ns0:is>
      </ns0:c>
      <ns0:c r="R140" s="76" t="inlineStr">
        <ns0:is>
          <ns0:t>6–0
1101111
opcode</ns0:t>
        </ns0:is>
      </ns0:c>
    </ns0:row>
    <ns0:row r="141" ht="52" customHeight="1">
      <ns0:c r="A141" s="68" t="n">
        <ns0:v>133</ns0:v>
      </ns0:c>
      <ns0:c r="B141" s="69" t="inlineStr">
        <ns0:is>
          <ns0:t>0x00000210</ns0:t>
        </ns0:is>
      </ns0:c>
      <ns0:c r="C141" s="69" t="inlineStr">
        <ns0:is>
          <ns0:t>0x03A00313</ns0:t>
        </ns0:is>
      </ns0:c>
      <ns0:c r="D141" s="70" t="inlineStr">
        <ns0:is>
          <ns0:t>addi t1, zero, 58</ns0:t>
        </ns0:is>
      </ns0:c>
      <ns0:c r="E141" s="71" t="inlineStr">
        <ns0:is>
          <ns0:t>addi</ns0:t>
        </ns0:is>
      </ns0:c>
      <ns0:c r="F141" s="71" t="inlineStr">
        <ns0:is>
          <ns0:t>I</ns0:t>
        </ns0:is>
      </ns0:c>
      <ns0:c r="G141" s="71" t="n">
        <ns0:v>0</ns0:v>
      </ns0:c>
      <ns0:c r="H141" s="71" t="n">
        <ns0:v>58</ns0:v>
      </ns0:c>
      <ns0:c r="I141" s="72" t="inlineStr">
        <ns0:is>
          <ns0:t>—</ns0:t>
        </ns0:is>
      </ns0:c>
      <ns0:c r="J141" s="72" t="inlineStr">
        <ns0:is>
          <ns0:t>00000011101000000000001100010011</ns0:t>
        </ns0:is>
      </ns0:c>
      <ns0:c r="K141" s="73" t="inlineStr">
        <ns0:is>
          <ns0:t>t1 ← zero + (+58); арифметика RV32I по модулю 2³².</ns0:t>
        </ns0:is>
      </ns0:c>
      <ns0:c r="L141" s="70" t="inlineStr">
        <ns0:is>
          <ns0:t>Только ROM</ns0:t>
        </ns0:is>
      </ns0:c>
      <ns0:c r="M141" s="74" t="inlineStr">
        <ns0:is>
          <ns0:t>31–20
000000111010
imm[11:0]</ns0:t>
        </ns0:is>
      </ns0:c>
      <ns0:c r="N141" s="75" t="inlineStr">
        <ns0:is>
          <ns0:t>19–15
00000
rs1</ns0:t>
        </ns0:is>
      </ns0:c>
      <ns0:c r="O141" s="83" t="inlineStr">
        <ns0:is>
          <ns0:t>14–12
000
funct3</ns0:t>
        </ns0:is>
      </ns0:c>
      <ns0:c r="P141" s="75" t="inlineStr">
        <ns0:is>
          <ns0:t>11–7
00110
rd</ns0:t>
        </ns0:is>
      </ns0:c>
      <ns0:c r="Q141" s="76" t="inlineStr">
        <ns0:is>
          <ns0:t>6–0
0010011
opcode</ns0:t>
        </ns0:is>
      </ns0:c>
    </ns0:row>
    <ns0:row r="142" ht="52" customHeight="1">
      <ns0:c r="A142" s="77" t="n">
        <ns0:v>134</ns0:v>
      </ns0:c>
      <ns0:c r="B142" s="78" t="inlineStr">
        <ns0:is>
          <ns0:t>0x00000214</ns0:t>
        </ns0:is>
      </ns0:c>
      <ns0:c r="C142" s="78" t="inlineStr">
        <ns0:is>
          <ns0:t>0x100000EF</ns0:t>
        </ns0:is>
      </ns0:c>
      <ns0:c r="D142" s="79" t="inlineStr">
        <ns0:is>
          <ns0:t>jal ra, 0x00000314</ns0:t>
        </ns0:is>
      </ns0:c>
      <ns0:c r="E142" s="80" t="inlineStr">
        <ns0:is>
          <ns0:t>jal</ns0:t>
        </ns0:is>
      </ns0:c>
      <ns0:c r="F142" s="80" t="inlineStr">
        <ns0:is>
          <ns0:t>J</ns0:t>
        </ns0:is>
      </ns0:c>
      <ns0:c r="G142" s="80" t="n">
        <ns0:v>0</ns0:v>
      </ns0:c>
      <ns0:c r="H142" s="80" t="n">
        <ns0:v>256</ns0:v>
      </ns0:c>
      <ns0:c r="I142" s="81" t="inlineStr">
        <ns0:is>
          <ns0:t>0x00000314</ns0:t>
        </ns0:is>
      </ns0:c>
      <ns0:c r="J142" s="81" t="inlineStr">
        <ns0:is>
          <ns0:t>00010000000000000000000011101111</ns0:t>
        </ns0:is>
      </ns0:c>
      <ns0:c r="K142" s="82" t="inlineStr">
        <ns0:is>
          <ns0:t>PC ← 0x00000314; rd (ra) ← PC+4. Смещение +256 байт относительно PC.</ns0:t>
        </ns0:is>
      </ns0:c>
      <ns0:c r="L142" s="79" t="inlineStr">
        <ns0:is>
          <ns0:t>Только ROM</ns0:t>
        </ns0:is>
      </ns0:c>
      <ns0:c r="M142" s="74" t="inlineStr">
        <ns0:is>
          <ns0:t>31
0
imm[20]</ns0:t>
        </ns0:is>
      </ns0:c>
      <ns0:c r="N142" s="74" t="inlineStr">
        <ns0:is>
          <ns0:t>30–21
0010000000
imm[10:1]</ns0:t>
        </ns0:is>
      </ns0:c>
      <ns0:c r="O142" s="74" t="inlineStr">
        <ns0:is>
          <ns0:t>20
0
imm[11]</ns0:t>
        </ns0:is>
      </ns0:c>
      <ns0:c r="P142" s="74" t="inlineStr">
        <ns0:is>
          <ns0:t>19–12
00000000
imm[19:12]</ns0:t>
        </ns0:is>
      </ns0:c>
      <ns0:c r="Q142" s="75" t="inlineStr">
        <ns0:is>
          <ns0:t>11–7
00001
rd</ns0:t>
        </ns0:is>
      </ns0:c>
      <ns0:c r="R142" s="76" t="inlineStr">
        <ns0:is>
          <ns0:t>6–0
1101111
opcode</ns0:t>
        </ns0:is>
      </ns0:c>
    </ns0:row>
    <ns0:row r="143" ht="52" customHeight="1">
      <ns0:c r="A143" s="68" t="n">
        <ns0:v>135</ns0:v>
      </ns0:c>
      <ns0:c r="B143" s="69" t="inlineStr">
        <ns0:is>
          <ns0:t>0x00000218</ns0:t>
        </ns0:is>
      </ns0:c>
      <ns0:c r="C143" s="69" t="inlineStr">
        <ns0:is>
          <ns0:t>0x0242A503</ns0:t>
        </ns0:is>
      </ns0:c>
      <ns0:c r="D143" s="70" t="inlineStr">
        <ns0:is>
          <ns0:t>lw a0, 36(t0)</ns0:t>
        </ns0:is>
      </ns0:c>
      <ns0:c r="E143" s="71" t="inlineStr">
        <ns0:is>
          <ns0:t>lw</ns0:t>
        </ns0:is>
      </ns0:c>
      <ns0:c r="F143" s="71" t="inlineStr">
        <ns0:is>
          <ns0:t>I</ns0:t>
        </ns0:is>
      </ns0:c>
      <ns0:c r="G143" s="71" t="n">
        <ns0:v>0</ns0:v>
      </ns0:c>
      <ns0:c r="H143" s="71" t="n">
        <ns0:v>36</ns0:v>
      </ns0:c>
      <ns0:c r="I143" s="72" t="inlineStr">
        <ns0:is>
          <ns0:t>—</ns0:t>
        </ns0:is>
      </ns0:c>
      <ns0:c r="J143" s="72" t="inlineStr">
        <ns0:is>
          <ns0:t>00000010010000101010010100000011</ns0:t>
        </ns0:is>
      </ns0:c>
      <ns0:c r="K143" s="73" t="inlineStr">
        <ns0:is>
          <ns0:t>a0 ← MEM32[t0 +36]. FETCH этой инструкции не удостоверяет регистрацию DATA_READ.</ns0:t>
        </ns0:is>
      </ns0:c>
      <ns0:c r="L143" s="70" t="inlineStr">
        <ns0:is>
          <ns0:t>Только ROM</ns0:t>
        </ns0:is>
      </ns0:c>
      <ns0:c r="M143" s="74" t="inlineStr">
        <ns0:is>
          <ns0:t>31–20
000000100100
imm[11:0]</ns0:t>
        </ns0:is>
      </ns0:c>
      <ns0:c r="N143" s="75" t="inlineStr">
        <ns0:is>
          <ns0:t>19–15
00101
rs1</ns0:t>
        </ns0:is>
      </ns0:c>
      <ns0:c r="O143" s="83" t="inlineStr">
        <ns0:is>
          <ns0:t>14–12
010
funct3</ns0:t>
        </ns0:is>
      </ns0:c>
      <ns0:c r="P143" s="75" t="inlineStr">
        <ns0:is>
          <ns0:t>11–7
01010
rd</ns0:t>
        </ns0:is>
      </ns0:c>
      <ns0:c r="Q143" s="76" t="inlineStr">
        <ns0:is>
          <ns0:t>6–0
0000011
opcode</ns0:t>
        </ns0:is>
      </ns0:c>
    </ns0:row>
    <ns0:row r="144" ht="52" customHeight="1">
      <ns0:c r="A144" s="77" t="n">
        <ns0:v>136</ns0:v>
      </ns0:c>
      <ns0:c r="B144" s="78" t="inlineStr">
        <ns0:is>
          <ns0:t>0x0000021C</ns0:t>
        </ns0:is>
      </ns0:c>
      <ns0:c r="C144" s="78" t="inlineStr">
        <ns0:is>
          <ns0:t>0x084000EF</ns0:t>
        </ns0:is>
      </ns0:c>
      <ns0:c r="D144" s="79" t="inlineStr">
        <ns0:is>
          <ns0:t>jal ra, 0x000002a0</ns0:t>
        </ns0:is>
      </ns0:c>
      <ns0:c r="E144" s="80" t="inlineStr">
        <ns0:is>
          <ns0:t>jal</ns0:t>
        </ns0:is>
      </ns0:c>
      <ns0:c r="F144" s="80" t="inlineStr">
        <ns0:is>
          <ns0:t>J</ns0:t>
        </ns0:is>
      </ns0:c>
      <ns0:c r="G144" s="80" t="n">
        <ns0:v>0</ns0:v>
      </ns0:c>
      <ns0:c r="H144" s="80" t="n">
        <ns0:v>132</ns0:v>
      </ns0:c>
      <ns0:c r="I144" s="81" t="inlineStr">
        <ns0:is>
          <ns0:t>0x000002A0</ns0:t>
        </ns0:is>
      </ns0:c>
      <ns0:c r="J144" s="81" t="inlineStr">
        <ns0:is>
          <ns0:t>00001000010000000000000011101111</ns0:t>
        </ns0:is>
      </ns0:c>
      <ns0:c r="K144" s="82" t="inlineStr">
        <ns0:is>
          <ns0:t>PC ← 0x000002A0; rd (ra) ← PC+4. Смещение +132 байт относительно PC.</ns0:t>
        </ns0:is>
      </ns0:c>
      <ns0:c r="L144" s="79" t="inlineStr">
        <ns0:is>
          <ns0:t>Только ROM</ns0:t>
        </ns0:is>
      </ns0:c>
      <ns0:c r="M144" s="74" t="inlineStr">
        <ns0:is>
          <ns0:t>31
0
imm[20]</ns0:t>
        </ns0:is>
      </ns0:c>
      <ns0:c r="N144" s="74" t="inlineStr">
        <ns0:is>
          <ns0:t>30–21
0001000010
imm[10:1]</ns0:t>
        </ns0:is>
      </ns0:c>
      <ns0:c r="O144" s="74" t="inlineStr">
        <ns0:is>
          <ns0:t>20
0
imm[11]</ns0:t>
        </ns0:is>
      </ns0:c>
      <ns0:c r="P144" s="74" t="inlineStr">
        <ns0:is>
          <ns0:t>19–12
00000000
imm[19:12]</ns0:t>
        </ns0:is>
      </ns0:c>
      <ns0:c r="Q144" s="75" t="inlineStr">
        <ns0:is>
          <ns0:t>11–7
00001
rd</ns0:t>
        </ns0:is>
      </ns0:c>
      <ns0:c r="R144" s="76" t="inlineStr">
        <ns0:is>
          <ns0:t>6–0
1101111
opcode</ns0:t>
        </ns0:is>
      </ns0:c>
    </ns0:row>
    <ns0:row r="145" ht="52" customHeight="1">
      <ns0:c r="A145" s="68" t="n">
        <ns0:v>137</ns0:v>
      </ns0:c>
      <ns0:c r="B145" s="69" t="inlineStr">
        <ns0:is>
          <ns0:t>0x00000220</ns0:t>
        </ns0:is>
      </ns0:c>
      <ns0:c r="C145" s="69" t="inlineStr">
        <ns0:is>
          <ns0:t>0x00A00313</ns0:t>
        </ns0:is>
      </ns0:c>
      <ns0:c r="D145" s="70" t="inlineStr">
        <ns0:is>
          <ns0:t>addi t1, zero, 10</ns0:t>
        </ns0:is>
      </ns0:c>
      <ns0:c r="E145" s="71" t="inlineStr">
        <ns0:is>
          <ns0:t>addi</ns0:t>
        </ns0:is>
      </ns0:c>
      <ns0:c r="F145" s="71" t="inlineStr">
        <ns0:is>
          <ns0:t>I</ns0:t>
        </ns0:is>
      </ns0:c>
      <ns0:c r="G145" s="71" t="n">
        <ns0:v>0</ns0:v>
      </ns0:c>
      <ns0:c r="H145" s="71" t="n">
        <ns0:v>10</ns0:v>
      </ns0:c>
      <ns0:c r="I145" s="72" t="inlineStr">
        <ns0:is>
          <ns0:t>—</ns0:t>
        </ns0:is>
      </ns0:c>
      <ns0:c r="J145" s="72" t="inlineStr">
        <ns0:is>
          <ns0:t>00000000101000000000001100010011</ns0:t>
        </ns0:is>
      </ns0:c>
      <ns0:c r="K145" s="73" t="inlineStr">
        <ns0:is>
          <ns0:t>t1 ← zero + (+10); арифметика RV32I по модулю 2³².</ns0:t>
        </ns0:is>
      </ns0:c>
      <ns0:c r="L145" s="70" t="inlineStr">
        <ns0:is>
          <ns0:t>Только ROM</ns0:t>
        </ns0:is>
      </ns0:c>
      <ns0:c r="M145" s="74" t="inlineStr">
        <ns0:is>
          <ns0:t>31–20
000000001010
imm[11:0]</ns0:t>
        </ns0:is>
      </ns0:c>
      <ns0:c r="N145" s="75" t="inlineStr">
        <ns0:is>
          <ns0:t>19–15
00000
rs1</ns0:t>
        </ns0:is>
      </ns0:c>
      <ns0:c r="O145" s="83" t="inlineStr">
        <ns0:is>
          <ns0:t>14–12
000
funct3</ns0:t>
        </ns0:is>
      </ns0:c>
      <ns0:c r="P145" s="75" t="inlineStr">
        <ns0:is>
          <ns0:t>11–7
00110
rd</ns0:t>
        </ns0:is>
      </ns0:c>
      <ns0:c r="Q145" s="76" t="inlineStr">
        <ns0:is>
          <ns0:t>6–0
0010011
opcode</ns0:t>
        </ns0:is>
      </ns0:c>
    </ns0:row>
    <ns0:row r="146" ht="52" customHeight="1">
      <ns0:c r="A146" s="77" t="n">
        <ns0:v>138</ns0:v>
      </ns0:c>
      <ns0:c r="B146" s="78" t="inlineStr">
        <ns0:is>
          <ns0:t>0x00000224</ns0:t>
        </ns0:is>
      </ns0:c>
      <ns0:c r="C146" s="78" t="inlineStr">
        <ns0:is>
          <ns0:t>0x0F0000EF</ns0:t>
        </ns0:is>
      </ns0:c>
      <ns0:c r="D146" s="79" t="inlineStr">
        <ns0:is>
          <ns0:t>jal ra, 0x00000314</ns0:t>
        </ns0:is>
      </ns0:c>
      <ns0:c r="E146" s="80" t="inlineStr">
        <ns0:is>
          <ns0:t>jal</ns0:t>
        </ns0:is>
      </ns0:c>
      <ns0:c r="F146" s="80" t="inlineStr">
        <ns0:is>
          <ns0:t>J</ns0:t>
        </ns0:is>
      </ns0:c>
      <ns0:c r="G146" s="80" t="n">
        <ns0:v>0</ns0:v>
      </ns0:c>
      <ns0:c r="H146" s="80" t="n">
        <ns0:v>240</ns0:v>
      </ns0:c>
      <ns0:c r="I146" s="81" t="inlineStr">
        <ns0:is>
          <ns0:t>0x00000314</ns0:t>
        </ns0:is>
      </ns0:c>
      <ns0:c r="J146" s="81" t="inlineStr">
        <ns0:is>
          <ns0:t>00001111000000000000000011101111</ns0:t>
        </ns0:is>
      </ns0:c>
      <ns0:c r="K146" s="82" t="inlineStr">
        <ns0:is>
          <ns0:t>PC ← 0x00000314; rd (ra) ← PC+4. Смещение +240 байт относительно PC.</ns0:t>
        </ns0:is>
      </ns0:c>
      <ns0:c r="L146" s="79" t="inlineStr">
        <ns0:is>
          <ns0:t>Только ROM</ns0:t>
        </ns0:is>
      </ns0:c>
      <ns0:c r="M146" s="74" t="inlineStr">
        <ns0:is>
          <ns0:t>31
0
imm[20]</ns0:t>
        </ns0:is>
      </ns0:c>
      <ns0:c r="N146" s="74" t="inlineStr">
        <ns0:is>
          <ns0:t>30–21
0001111000
imm[10:1]</ns0:t>
        </ns0:is>
      </ns0:c>
      <ns0:c r="O146" s="74" t="inlineStr">
        <ns0:is>
          <ns0:t>20
0
imm[11]</ns0:t>
        </ns0:is>
      </ns0:c>
      <ns0:c r="P146" s="74" t="inlineStr">
        <ns0:is>
          <ns0:t>19–12
00000000
imm[19:12]</ns0:t>
        </ns0:is>
      </ns0:c>
      <ns0:c r="Q146" s="75" t="inlineStr">
        <ns0:is>
          <ns0:t>11–7
00001
rd</ns0:t>
        </ns0:is>
      </ns0:c>
      <ns0:c r="R146" s="76" t="inlineStr">
        <ns0:is>
          <ns0:t>6–0
1101111
opcode</ns0:t>
        </ns0:is>
      </ns0:c>
    </ns0:row>
    <ns0:row r="147" ht="52" customHeight="1">
      <ns0:c r="A147" s="68" t="n">
        <ns0:v>139</ns0:v>
      </ns0:c>
      <ns0:c r="B147" s="69" t="inlineStr">
        <ns0:is>
          <ns0:t>0x00000228</ns0:t>
        </ns0:is>
      </ns0:c>
      <ns0:c r="C147" s="69" t="inlineStr">
        <ns0:is>
          <ns0:t>0x00000493</ns0:t>
        </ns0:is>
      </ns0:c>
      <ns0:c r="D147" s="70" t="inlineStr">
        <ns0:is>
          <ns0:t>addi s1, zero, 0</ns0:t>
        </ns0:is>
      </ns0:c>
      <ns0:c r="E147" s="71" t="inlineStr">
        <ns0:is>
          <ns0:t>addi</ns0:t>
        </ns0:is>
      </ns0:c>
      <ns0:c r="F147" s="71" t="inlineStr">
        <ns0:is>
          <ns0:t>I</ns0:t>
        </ns0:is>
      </ns0:c>
      <ns0:c r="G147" s="71" t="n">
        <ns0:v>0</ns0:v>
      </ns0:c>
      <ns0:c r="H147" s="71" t="n">
        <ns0:v>0</ns0:v>
      </ns0:c>
      <ns0:c r="I147" s="72" t="inlineStr">
        <ns0:is>
          <ns0:t>—</ns0:t>
        </ns0:is>
      </ns0:c>
      <ns0:c r="J147" s="72" t="inlineStr">
        <ns0:is>
          <ns0:t>00000000000000000000010010010011</ns0:t>
        </ns0:is>
      </ns0:c>
      <ns0:c r="K147" s="73" t="inlineStr">
        <ns0:is>
          <ns0:t>s1 ← zero + (+0); арифметика RV32I по модулю 2³².</ns0:t>
        </ns0:is>
      </ns0:c>
      <ns0:c r="L147" s="70" t="inlineStr">
        <ns0:is>
          <ns0:t>Только ROM</ns0:t>
        </ns0:is>
      </ns0:c>
      <ns0:c r="M147" s="74" t="inlineStr">
        <ns0:is>
          <ns0:t>31–20
000000000000
imm[11:0]</ns0:t>
        </ns0:is>
      </ns0:c>
      <ns0:c r="N147" s="75" t="inlineStr">
        <ns0:is>
          <ns0:t>19–15
00000
rs1</ns0:t>
        </ns0:is>
      </ns0:c>
      <ns0:c r="O147" s="83" t="inlineStr">
        <ns0:is>
          <ns0:t>14–12
000
funct3</ns0:t>
        </ns0:is>
      </ns0:c>
      <ns0:c r="P147" s="75" t="inlineStr">
        <ns0:is>
          <ns0:t>11–7
01001
rd</ns0:t>
        </ns0:is>
      </ns0:c>
      <ns0:c r="Q147" s="76" t="inlineStr">
        <ns0:is>
          <ns0:t>6–0
0010011
opcode</ns0:t>
        </ns0:is>
      </ns0:c>
    </ns0:row>
    <ns0:row r="148" ht="52" customHeight="1">
      <ns0:c r="A148" s="77" t="n">
        <ns0:v>140</ns0:v>
      </ns0:c>
      <ns0:c r="B148" s="78" t="inlineStr">
        <ns0:is>
          <ns0:t>0x0000022C</ns0:t>
        </ns0:is>
      </ns0:c>
      <ns0:c r="C148" s="78" t="inlineStr">
        <ns0:is>
          <ns0:t>0x07248063</ns0:t>
        </ns0:is>
      </ns0:c>
      <ns0:c r="D148" s="79" t="inlineStr">
        <ns0:is>
          <ns0:t>beq s1, s2, 0x0000028c</ns0:t>
        </ns0:is>
      </ns0:c>
      <ns0:c r="E148" s="80" t="inlineStr">
        <ns0:is>
          <ns0:t>beq</ns0:t>
        </ns0:is>
      </ns0:c>
      <ns0:c r="F148" s="80" t="inlineStr">
        <ns0:is>
          <ns0:t>B</ns0:t>
        </ns0:is>
      </ns0:c>
      <ns0:c r="G148" s="80" t="n">
        <ns0:v>0</ns0:v>
      </ns0:c>
      <ns0:c r="H148" s="80" t="n">
        <ns0:v>96</ns0:v>
      </ns0:c>
      <ns0:c r="I148" s="81" t="inlineStr">
        <ns0:is>
          <ns0:t>0x0000028C</ns0:t>
        </ns0:is>
      </ns0:c>
      <ns0:c r="J148" s="81" t="inlineStr">
        <ns0:is>
          <ns0:t>00000111001001001000000001100011</ns0:t>
        </ns0:is>
      </ns0:c>
      <ns0:c r="K148" s="82" t="inlineStr">
        <ns0:is>
          <ns0:t>Если s1 = s2, PC ← 0x0000028C; иначе PC ← PC+4. Смещение +96 байт.</ns0:t>
        </ns0:is>
      </ns0:c>
      <ns0:c r="L148" s="79" t="inlineStr">
        <ns0:is>
          <ns0:t>Только ROM</ns0:t>
        </ns0:is>
      </ns0:c>
      <ns0:c r="M148" s="74" t="inlineStr">
        <ns0:is>
          <ns0:t>31
0
imm[12]</ns0:t>
        </ns0:is>
      </ns0:c>
      <ns0:c r="N148" s="74" t="inlineStr">
        <ns0:is>
          <ns0:t>30–25
000011
imm[10:5]</ns0:t>
        </ns0:is>
      </ns0:c>
      <ns0:c r="O148" s="75" t="inlineStr">
        <ns0:is>
          <ns0:t>24–20
10010
rs2</ns0:t>
        </ns0:is>
      </ns0:c>
      <ns0:c r="P148" s="75" t="inlineStr">
        <ns0:is>
          <ns0:t>19–15
01001
rs1</ns0:t>
        </ns0:is>
      </ns0:c>
      <ns0:c r="Q148" s="83" t="inlineStr">
        <ns0:is>
          <ns0:t>14–12
000
funct3</ns0:t>
        </ns0:is>
      </ns0:c>
      <ns0:c r="R148" s="74" t="inlineStr">
        <ns0:is>
          <ns0:t>11–8
0000
imm[4:1]</ns0:t>
        </ns0:is>
      </ns0:c>
      <ns0:c r="S148" s="74" t="inlineStr">
        <ns0:is>
          <ns0:t>7
0
imm[11]</ns0:t>
        </ns0:is>
      </ns0:c>
      <ns0:c r="T148" s="76" t="inlineStr">
        <ns0:is>
          <ns0:t>6–0
1100011
opcode</ns0:t>
        </ns0:is>
      </ns0:c>
    </ns0:row>
    <ns0:row r="149" ht="52" customHeight="1">
      <ns0:c r="A149" s="68" t="n">
        <ns0:v>141</ns0:v>
      </ns0:c>
      <ns0:c r="B149" s="69" t="inlineStr">
        <ns0:is>
          <ns0:t>0x00000230</ns0:t>
        </ns0:is>
      </ns0:c>
      <ns0:c r="C149" s="69" t="inlineStr">
        <ns0:is>
          <ns0:t>0x0292A423</ns0:t>
        </ns0:is>
      </ns0:c>
      <ns0:c r="D149" s="70" t="inlineStr">
        <ns0:is>
          <ns0:t>sw s1, 40(t0)</ns0:t>
        </ns0:is>
      </ns0:c>
      <ns0:c r="E149" s="71" t="inlineStr">
        <ns0:is>
          <ns0:t>sw</ns0:t>
        </ns0:is>
      </ns0:c>
      <ns0:c r="F149" s="71" t="inlineStr">
        <ns0:is>
          <ns0:t>S</ns0:t>
        </ns0:is>
      </ns0:c>
      <ns0:c r="G149" s="71" t="n">
        <ns0:v>0</ns0:v>
      </ns0:c>
      <ns0:c r="H149" s="71" t="n">
        <ns0:v>40</ns0:v>
      </ns0:c>
      <ns0:c r="I149" s="72" t="inlineStr">
        <ns0:is>
          <ns0:t>—</ns0:t>
        </ns0:is>
      </ns0:c>
      <ns0:c r="J149" s="72" t="inlineStr">
        <ns0:is>
          <ns0:t>00000010100100101010010000100011</ns0:t>
        </ns0:is>
      </ns0:c>
      <ns0:c r="K149" s="73" t="inlineStr">
        <ns0:is>
          <ns0:t>MEM32[t0 +40] ← s1. Число, находящееся в rs2, не кодируется в самой инструкции.</ns0:t>
        </ns0:is>
      </ns0:c>
      <ns0:c r="L149" s="70" t="inlineStr">
        <ns0:is>
          <ns0:t>Только ROM</ns0:t>
        </ns0:is>
      </ns0:c>
      <ns0:c r="M149" s="74" t="inlineStr">
        <ns0:is>
          <ns0:t>31–25
0000001
imm[11:5]</ns0:t>
        </ns0:is>
      </ns0:c>
      <ns0:c r="N149" s="75" t="inlineStr">
        <ns0:is>
          <ns0:t>24–20
01001
rs2</ns0:t>
        </ns0:is>
      </ns0:c>
      <ns0:c r="O149" s="75" t="inlineStr">
        <ns0:is>
          <ns0:t>19–15
00101
rs1</ns0:t>
        </ns0:is>
      </ns0:c>
      <ns0:c r="P149" s="83" t="inlineStr">
        <ns0:is>
          <ns0:t>14–12
010
funct3</ns0:t>
        </ns0:is>
      </ns0:c>
      <ns0:c r="Q149" s="74" t="inlineStr">
        <ns0:is>
          <ns0:t>11–7
01000
imm[4:0]</ns0:t>
        </ns0:is>
      </ns0:c>
      <ns0:c r="R149" s="76" t="inlineStr">
        <ns0:is>
          <ns0:t>6–0
0100011
opcode</ns0:t>
        </ns0:is>
      </ns0:c>
    </ns0:row>
    <ns0:row r="150" ht="52" customHeight="1">
      <ns0:c r="A150" s="77" t="n">
        <ns0:v>142</ns0:v>
      </ns0:c>
      <ns0:c r="B150" s="78" t="inlineStr">
        <ns0:is>
          <ns0:t>0x00000234</ns0:t>
        </ns0:is>
      </ns0:c>
      <ns0:c r="C150" s="78" t="inlineStr">
        <ns0:is>
          <ns0:t>0x04500313</ns0:t>
        </ns0:is>
      </ns0:c>
      <ns0:c r="D150" s="79" t="inlineStr">
        <ns0:is>
          <ns0:t>addi t1, zero, 69</ns0:t>
        </ns0:is>
      </ns0:c>
      <ns0:c r="E150" s="80" t="inlineStr">
        <ns0:is>
          <ns0:t>addi</ns0:t>
        </ns0:is>
      </ns0:c>
      <ns0:c r="F150" s="80" t="inlineStr">
        <ns0:is>
          <ns0:t>I</ns0:t>
        </ns0:is>
      </ns0:c>
      <ns0:c r="G150" s="80" t="n">
        <ns0:v>0</ns0:v>
      </ns0:c>
      <ns0:c r="H150" s="80" t="n">
        <ns0:v>69</ns0:v>
      </ns0:c>
      <ns0:c r="I150" s="81" t="inlineStr">
        <ns0:is>
          <ns0:t>—</ns0:t>
        </ns0:is>
      </ns0:c>
      <ns0:c r="J150" s="81" t="inlineStr">
        <ns0:is>
          <ns0:t>00000100010100000000001100010011</ns0:t>
        </ns0:is>
      </ns0:c>
      <ns0:c r="K150" s="82" t="inlineStr">
        <ns0:is>
          <ns0:t>t1 ← zero + (+69); арифметика RV32I по модулю 2³².</ns0:t>
        </ns0:is>
      </ns0:c>
      <ns0:c r="L150" s="79" t="inlineStr">
        <ns0:is>
          <ns0:t>Только ROM</ns0:t>
        </ns0:is>
      </ns0:c>
      <ns0:c r="M150" s="74" t="inlineStr">
        <ns0:is>
          <ns0:t>31–20
000001000101
imm[11:0]</ns0:t>
        </ns0:is>
      </ns0:c>
      <ns0:c r="N150" s="75" t="inlineStr">
        <ns0:is>
          <ns0:t>19–15
00000
rs1</ns0:t>
        </ns0:is>
      </ns0:c>
      <ns0:c r="O150" s="83" t="inlineStr">
        <ns0:is>
          <ns0:t>14–12
000
funct3</ns0:t>
        </ns0:is>
      </ns0:c>
      <ns0:c r="P150" s="75" t="inlineStr">
        <ns0:is>
          <ns0:t>11–7
00110
rd</ns0:t>
        </ns0:is>
      </ns0:c>
      <ns0:c r="Q150" s="76" t="inlineStr">
        <ns0:is>
          <ns0:t>6–0
0010011
opcode</ns0:t>
        </ns0:is>
      </ns0:c>
    </ns0:row>
    <ns0:row r="151" ht="52" customHeight="1">
      <ns0:c r="A151" s="68" t="n">
        <ns0:v>143</ns0:v>
      </ns0:c>
      <ns0:c r="B151" s="69" t="inlineStr">
        <ns0:is>
          <ns0:t>0x00000238</ns0:t>
        </ns0:is>
      </ns0:c>
      <ns0:c r="C151" s="69" t="inlineStr">
        <ns0:is>
          <ns0:t>0x0DC000EF</ns0:t>
        </ns0:is>
      </ns0:c>
      <ns0:c r="D151" s="70" t="inlineStr">
        <ns0:is>
          <ns0:t>jal ra, 0x00000314</ns0:t>
        </ns0:is>
      </ns0:c>
      <ns0:c r="E151" s="71" t="inlineStr">
        <ns0:is>
          <ns0:t>jal</ns0:t>
        </ns0:is>
      </ns0:c>
      <ns0:c r="F151" s="71" t="inlineStr">
        <ns0:is>
          <ns0:t>J</ns0:t>
        </ns0:is>
      </ns0:c>
      <ns0:c r="G151" s="71" t="n">
        <ns0:v>0</ns0:v>
      </ns0:c>
      <ns0:c r="H151" s="71" t="n">
        <ns0:v>220</ns0:v>
      </ns0:c>
      <ns0:c r="I151" s="72" t="inlineStr">
        <ns0:is>
          <ns0:t>0x00000314</ns0:t>
        </ns0:is>
      </ns0:c>
      <ns0:c r="J151" s="72" t="inlineStr">
        <ns0:is>
          <ns0:t>00001101110000000000000011101111</ns0:t>
        </ns0:is>
      </ns0:c>
      <ns0:c r="K151" s="73" t="inlineStr">
        <ns0:is>
          <ns0:t>PC ← 0x00000314; rd (ra) ← PC+4. Смещение +220 байт относительно PC.</ns0:t>
        </ns0:is>
      </ns0:c>
      <ns0:c r="L151" s="70" t="inlineStr">
        <ns0:is>
          <ns0:t>Только ROM</ns0:t>
        </ns0:is>
      </ns0:c>
      <ns0:c r="M151" s="74" t="inlineStr">
        <ns0:is>
          <ns0:t>31
0
imm[20]</ns0:t>
        </ns0:is>
      </ns0:c>
      <ns0:c r="N151" s="74" t="inlineStr">
        <ns0:is>
          <ns0:t>30–21
0001101110
imm[10:1]</ns0:t>
        </ns0:is>
      </ns0:c>
      <ns0:c r="O151" s="74" t="inlineStr">
        <ns0:is>
          <ns0:t>20
0
imm[11]</ns0:t>
        </ns0:is>
      </ns0:c>
      <ns0:c r="P151" s="74" t="inlineStr">
        <ns0:is>
          <ns0:t>19–12
00000000
imm[19:12]</ns0:t>
        </ns0:is>
      </ns0:c>
      <ns0:c r="Q151" s="75" t="inlineStr">
        <ns0:is>
          <ns0:t>11–7
00001
rd</ns0:t>
        </ns0:is>
      </ns0:c>
      <ns0:c r="R151" s="76" t="inlineStr">
        <ns0:is>
          <ns0:t>6–0
1101111
opcode</ns0:t>
        </ns0:is>
      </ns0:c>
    </ns0:row>
    <ns0:row r="152" ht="52" customHeight="1">
      <ns0:c r="A152" s="77" t="n">
        <ns0:v>144</ns0:v>
      </ns0:c>
      <ns0:c r="B152" s="78" t="inlineStr">
        <ns0:is>
          <ns0:t>0x0000023C</ns0:t>
        </ns0:is>
      </ns0:c>
      <ns0:c r="C152" s="78" t="inlineStr">
        <ns0:is>
          <ns0:t>0x03A00313</ns0:t>
        </ns0:is>
      </ns0:c>
      <ns0:c r="D152" s="79" t="inlineStr">
        <ns0:is>
          <ns0:t>addi t1, zero, 58</ns0:t>
        </ns0:is>
      </ns0:c>
      <ns0:c r="E152" s="80" t="inlineStr">
        <ns0:is>
          <ns0:t>addi</ns0:t>
        </ns0:is>
      </ns0:c>
      <ns0:c r="F152" s="80" t="inlineStr">
        <ns0:is>
          <ns0:t>I</ns0:t>
        </ns0:is>
      </ns0:c>
      <ns0:c r="G152" s="80" t="n">
        <ns0:v>0</ns0:v>
      </ns0:c>
      <ns0:c r="H152" s="80" t="n">
        <ns0:v>58</ns0:v>
      </ns0:c>
      <ns0:c r="I152" s="81" t="inlineStr">
        <ns0:is>
          <ns0:t>—</ns0:t>
        </ns0:is>
      </ns0:c>
      <ns0:c r="J152" s="81" t="inlineStr">
        <ns0:is>
          <ns0:t>00000011101000000000001100010011</ns0:t>
        </ns0:is>
      </ns0:c>
      <ns0:c r="K152" s="82" t="inlineStr">
        <ns0:is>
          <ns0:t>t1 ← zero + (+58); арифметика RV32I по модулю 2³².</ns0:t>
        </ns0:is>
      </ns0:c>
      <ns0:c r="L152" s="79" t="inlineStr">
        <ns0:is>
          <ns0:t>Только ROM</ns0:t>
        </ns0:is>
      </ns0:c>
      <ns0:c r="M152" s="74" t="inlineStr">
        <ns0:is>
          <ns0:t>31–20
000000111010
imm[11:0]</ns0:t>
        </ns0:is>
      </ns0:c>
      <ns0:c r="N152" s="75" t="inlineStr">
        <ns0:is>
          <ns0:t>19–15
00000
rs1</ns0:t>
        </ns0:is>
      </ns0:c>
      <ns0:c r="O152" s="83" t="inlineStr">
        <ns0:is>
          <ns0:t>14–12
000
funct3</ns0:t>
        </ns0:is>
      </ns0:c>
      <ns0:c r="P152" s="75" t="inlineStr">
        <ns0:is>
          <ns0:t>11–7
00110
rd</ns0:t>
        </ns0:is>
      </ns0:c>
      <ns0:c r="Q152" s="76" t="inlineStr">
        <ns0:is>
          <ns0:t>6–0
0010011
opcode</ns0:t>
        </ns0:is>
      </ns0:c>
    </ns0:row>
    <ns0:row r="153" ht="52" customHeight="1">
      <ns0:c r="A153" s="68" t="n">
        <ns0:v>145</ns0:v>
      </ns0:c>
      <ns0:c r="B153" s="69" t="inlineStr">
        <ns0:is>
          <ns0:t>0x00000240</ns0:t>
        </ns0:is>
      </ns0:c>
      <ns0:c r="C153" s="69" t="inlineStr">
        <ns0:is>
          <ns0:t>0x0D4000EF</ns0:t>
        </ns0:is>
      </ns0:c>
      <ns0:c r="D153" s="70" t="inlineStr">
        <ns0:is>
          <ns0:t>jal ra, 0x00000314</ns0:t>
        </ns0:is>
      </ns0:c>
      <ns0:c r="E153" s="71" t="inlineStr">
        <ns0:is>
          <ns0:t>jal</ns0:t>
        </ns0:is>
      </ns0:c>
      <ns0:c r="F153" s="71" t="inlineStr">
        <ns0:is>
          <ns0:t>J</ns0:t>
        </ns0:is>
      </ns0:c>
      <ns0:c r="G153" s="71" t="n">
        <ns0:v>0</ns0:v>
      </ns0:c>
      <ns0:c r="H153" s="71" t="n">
        <ns0:v>212</ns0:v>
      </ns0:c>
      <ns0:c r="I153" s="72" t="inlineStr">
        <ns0:is>
          <ns0:t>0x00000314</ns0:t>
        </ns0:is>
      </ns0:c>
      <ns0:c r="J153" s="72" t="inlineStr">
        <ns0:is>
          <ns0:t>00001101010000000000000011101111</ns0:t>
        </ns0:is>
      </ns0:c>
      <ns0:c r="K153" s="73" t="inlineStr">
        <ns0:is>
          <ns0:t>PC ← 0x00000314; rd (ra) ← PC+4. Смещение +212 байт относительно PC.</ns0:t>
        </ns0:is>
      </ns0:c>
      <ns0:c r="L153" s="70" t="inlineStr">
        <ns0:is>
          <ns0:t>Только ROM</ns0:t>
        </ns0:is>
      </ns0:c>
      <ns0:c r="M153" s="74" t="inlineStr">
        <ns0:is>
          <ns0:t>31
0
imm[20]</ns0:t>
        </ns0:is>
      </ns0:c>
      <ns0:c r="N153" s="74" t="inlineStr">
        <ns0:is>
          <ns0:t>30–21
0001101010
imm[10:1]</ns0:t>
        </ns0:is>
      </ns0:c>
      <ns0:c r="O153" s="74" t="inlineStr">
        <ns0:is>
          <ns0:t>20
0
imm[11]</ns0:t>
        </ns0:is>
      </ns0:c>
      <ns0:c r="P153" s="74" t="inlineStr">
        <ns0:is>
          <ns0:t>19–12
00000000
imm[19:12]</ns0:t>
        </ns0:is>
      </ns0:c>
      <ns0:c r="Q153" s="75" t="inlineStr">
        <ns0:is>
          <ns0:t>11–7
00001
rd</ns0:t>
        </ns0:is>
      </ns0:c>
      <ns0:c r="R153" s="76" t="inlineStr">
        <ns0:is>
          <ns0:t>6–0
1101111
opcode</ns0:t>
        </ns0:is>
      </ns0:c>
    </ns0:row>
    <ns0:row r="154" ht="52" customHeight="1">
      <ns0:c r="A154" s="77" t="n">
        <ns0:v>146</ns0:v>
      </ns0:c>
      <ns0:c r="B154" s="78" t="inlineStr">
        <ns0:is>
          <ns0:t>0x00000244</ns0:t>
        </ns0:is>
      </ns0:c>
      <ns0:c r="C154" s="78" t="inlineStr">
        <ns0:is>
          <ns0:t>0x00048513</ns0:t>
        </ns0:is>
      </ns0:c>
      <ns0:c r="D154" s="79" t="inlineStr">
        <ns0:is>
          <ns0:t>addi a0, s1, 0</ns0:t>
        </ns0:is>
      </ns0:c>
      <ns0:c r="E154" s="80" t="inlineStr">
        <ns0:is>
          <ns0:t>addi</ns0:t>
        </ns0:is>
      </ns0:c>
      <ns0:c r="F154" s="80" t="inlineStr">
        <ns0:is>
          <ns0:t>I</ns0:t>
        </ns0:is>
      </ns0:c>
      <ns0:c r="G154" s="80" t="n">
        <ns0:v>0</ns0:v>
      </ns0:c>
      <ns0:c r="H154" s="80" t="n">
        <ns0:v>0</ns0:v>
      </ns0:c>
      <ns0:c r="I154" s="81" t="inlineStr">
        <ns0:is>
          <ns0:t>—</ns0:t>
        </ns0:is>
      </ns0:c>
      <ns0:c r="J154" s="81" t="inlineStr">
        <ns0:is>
          <ns0:t>00000000000001001000010100010011</ns0:t>
        </ns0:is>
      </ns0:c>
      <ns0:c r="K154" s="82" t="inlineStr">
        <ns0:is>
          <ns0:t>a0 ← s1 + (+0); арифметика RV32I по модулю 2³².</ns0:t>
        </ns0:is>
      </ns0:c>
      <ns0:c r="L154" s="79" t="inlineStr">
        <ns0:is>
          <ns0:t>Только ROM</ns0:t>
        </ns0:is>
      </ns0:c>
      <ns0:c r="M154" s="74" t="inlineStr">
        <ns0:is>
          <ns0:t>31–20
000000000000
imm[11:0]</ns0:t>
        </ns0:is>
      </ns0:c>
      <ns0:c r="N154" s="75" t="inlineStr">
        <ns0:is>
          <ns0:t>19–15
01001
rs1</ns0:t>
        </ns0:is>
      </ns0:c>
      <ns0:c r="O154" s="83" t="inlineStr">
        <ns0:is>
          <ns0:t>14–12
000
funct3</ns0:t>
        </ns0:is>
      </ns0:c>
      <ns0:c r="P154" s="75" t="inlineStr">
        <ns0:is>
          <ns0:t>11–7
01010
rd</ns0:t>
        </ns0:is>
      </ns0:c>
      <ns0:c r="Q154" s="76" t="inlineStr">
        <ns0:is>
          <ns0:t>6–0
0010011
opcode</ns0:t>
        </ns0:is>
      </ns0:c>
    </ns0:row>
    <ns0:row r="155" ht="52" customHeight="1">
      <ns0:c r="A155" s="68" t="n">
        <ns0:v>147</ns0:v>
      </ns0:c>
      <ns0:c r="B155" s="69" t="inlineStr">
        <ns0:is>
          <ns0:t>0x00000248</ns0:t>
        </ns0:is>
      </ns0:c>
      <ns0:c r="C155" s="69" t="inlineStr">
        <ns0:is>
          <ns0:t>0x058000EF</ns0:t>
        </ns0:is>
      </ns0:c>
      <ns0:c r="D155" s="70" t="inlineStr">
        <ns0:is>
          <ns0:t>jal ra, 0x000002a0</ns0:t>
        </ns0:is>
      </ns0:c>
      <ns0:c r="E155" s="71" t="inlineStr">
        <ns0:is>
          <ns0:t>jal</ns0:t>
        </ns0:is>
      </ns0:c>
      <ns0:c r="F155" s="71" t="inlineStr">
        <ns0:is>
          <ns0:t>J</ns0:t>
        </ns0:is>
      </ns0:c>
      <ns0:c r="G155" s="71" t="n">
        <ns0:v>0</ns0:v>
      </ns0:c>
      <ns0:c r="H155" s="71" t="n">
        <ns0:v>88</ns0:v>
      </ns0:c>
      <ns0:c r="I155" s="72" t="inlineStr">
        <ns0:is>
          <ns0:t>0x000002A0</ns0:t>
        </ns0:is>
      </ns0:c>
      <ns0:c r="J155" s="72" t="inlineStr">
        <ns0:is>
          <ns0:t>00000101100000000000000011101111</ns0:t>
        </ns0:is>
      </ns0:c>
      <ns0:c r="K155" s="73" t="inlineStr">
        <ns0:is>
          <ns0:t>PC ← 0x000002A0; rd (ra) ← PC+4. Смещение +88 байт относительно PC.</ns0:t>
        </ns0:is>
      </ns0:c>
      <ns0:c r="L155" s="70" t="inlineStr">
        <ns0:is>
          <ns0:t>Только ROM</ns0:t>
        </ns0:is>
      </ns0:c>
      <ns0:c r="M155" s="74" t="inlineStr">
        <ns0:is>
          <ns0:t>31
0
imm[20]</ns0:t>
        </ns0:is>
      </ns0:c>
      <ns0:c r="N155" s="74" t="inlineStr">
        <ns0:is>
          <ns0:t>30–21
0000101100
imm[10:1]</ns0:t>
        </ns0:is>
      </ns0:c>
      <ns0:c r="O155" s="74" t="inlineStr">
        <ns0:is>
          <ns0:t>20
0
imm[11]</ns0:t>
        </ns0:is>
      </ns0:c>
      <ns0:c r="P155" s="74" t="inlineStr">
        <ns0:is>
          <ns0:t>19–12
00000000
imm[19:12]</ns0:t>
        </ns0:is>
      </ns0:c>
      <ns0:c r="Q155" s="75" t="inlineStr">
        <ns0:is>
          <ns0:t>11–7
00001
rd</ns0:t>
        </ns0:is>
      </ns0:c>
      <ns0:c r="R155" s="76" t="inlineStr">
        <ns0:is>
          <ns0:t>6–0
1101111
opcode</ns0:t>
        </ns0:is>
      </ns0:c>
    </ns0:row>
    <ns0:row r="156" ht="52" customHeight="1">
      <ns0:c r="A156" s="77" t="n">
        <ns0:v>148</ns0:v>
      </ns0:c>
      <ns0:c r="B156" s="78" t="inlineStr">
        <ns0:is>
          <ns0:t>0x0000024C</ns0:t>
        </ns0:is>
      </ns0:c>
      <ns0:c r="C156" s="78" t="inlineStr">
        <ns0:is>
          <ns0:t>0x03A00313</ns0:t>
        </ns0:is>
      </ns0:c>
      <ns0:c r="D156" s="79" t="inlineStr">
        <ns0:is>
          <ns0:t>addi t1, zero, 58</ns0:t>
        </ns0:is>
      </ns0:c>
      <ns0:c r="E156" s="80" t="inlineStr">
        <ns0:is>
          <ns0:t>addi</ns0:t>
        </ns0:is>
      </ns0:c>
      <ns0:c r="F156" s="80" t="inlineStr">
        <ns0:is>
          <ns0:t>I</ns0:t>
        </ns0:is>
      </ns0:c>
      <ns0:c r="G156" s="80" t="n">
        <ns0:v>0</ns0:v>
      </ns0:c>
      <ns0:c r="H156" s="80" t="n">
        <ns0:v>58</ns0:v>
      </ns0:c>
      <ns0:c r="I156" s="81" t="inlineStr">
        <ns0:is>
          <ns0:t>—</ns0:t>
        </ns0:is>
      </ns0:c>
      <ns0:c r="J156" s="81" t="inlineStr">
        <ns0:is>
          <ns0:t>00000011101000000000001100010011</ns0:t>
        </ns0:is>
      </ns0:c>
      <ns0:c r="K156" s="82" t="inlineStr">
        <ns0:is>
          <ns0:t>t1 ← zero + (+58); арифметика RV32I по модулю 2³².</ns0:t>
        </ns0:is>
      </ns0:c>
      <ns0:c r="L156" s="79" t="inlineStr">
        <ns0:is>
          <ns0:t>Только ROM</ns0:t>
        </ns0:is>
      </ns0:c>
      <ns0:c r="M156" s="74" t="inlineStr">
        <ns0:is>
          <ns0:t>31–20
000000111010
imm[11:0]</ns0:t>
        </ns0:is>
      </ns0:c>
      <ns0:c r="N156" s="75" t="inlineStr">
        <ns0:is>
          <ns0:t>19–15
00000
rs1</ns0:t>
        </ns0:is>
      </ns0:c>
      <ns0:c r="O156" s="83" t="inlineStr">
        <ns0:is>
          <ns0:t>14–12
000
funct3</ns0:t>
        </ns0:is>
      </ns0:c>
      <ns0:c r="P156" s="75" t="inlineStr">
        <ns0:is>
          <ns0:t>11–7
00110
rd</ns0:t>
        </ns0:is>
      </ns0:c>
      <ns0:c r="Q156" s="76" t="inlineStr">
        <ns0:is>
          <ns0:t>6–0
0010011
opcode</ns0:t>
        </ns0:is>
      </ns0:c>
    </ns0:row>
    <ns0:row r="157" ht="52" customHeight="1">
      <ns0:c r="A157" s="68" t="n">
        <ns0:v>149</ns0:v>
      </ns0:c>
      <ns0:c r="B157" s="69" t="inlineStr">
        <ns0:is>
          <ns0:t>0x00000250</ns0:t>
        </ns0:is>
      </ns0:c>
      <ns0:c r="C157" s="69" t="inlineStr">
        <ns0:is>
          <ns0:t>0x0C4000EF</ns0:t>
        </ns0:is>
      </ns0:c>
      <ns0:c r="D157" s="70" t="inlineStr">
        <ns0:is>
          <ns0:t>jal ra, 0x00000314</ns0:t>
        </ns0:is>
      </ns0:c>
      <ns0:c r="E157" s="71" t="inlineStr">
        <ns0:is>
          <ns0:t>jal</ns0:t>
        </ns0:is>
      </ns0:c>
      <ns0:c r="F157" s="71" t="inlineStr">
        <ns0:is>
          <ns0:t>J</ns0:t>
        </ns0:is>
      </ns0:c>
      <ns0:c r="G157" s="71" t="n">
        <ns0:v>0</ns0:v>
      </ns0:c>
      <ns0:c r="H157" s="71" t="n">
        <ns0:v>196</ns0:v>
      </ns0:c>
      <ns0:c r="I157" s="72" t="inlineStr">
        <ns0:is>
          <ns0:t>0x00000314</ns0:t>
        </ns0:is>
      </ns0:c>
      <ns0:c r="J157" s="72" t="inlineStr">
        <ns0:is>
          <ns0:t>00001100010000000000000011101111</ns0:t>
        </ns0:is>
      </ns0:c>
      <ns0:c r="K157" s="73" t="inlineStr">
        <ns0:is>
          <ns0:t>PC ← 0x00000314; rd (ra) ← PC+4. Смещение +196 байт относительно PC.</ns0:t>
        </ns0:is>
      </ns0:c>
      <ns0:c r="L157" s="70" t="inlineStr">
        <ns0:is>
          <ns0:t>Только ROM</ns0:t>
        </ns0:is>
      </ns0:c>
      <ns0:c r="M157" s="74" t="inlineStr">
        <ns0:is>
          <ns0:t>31
0
imm[20]</ns0:t>
        </ns0:is>
      </ns0:c>
      <ns0:c r="N157" s="74" t="inlineStr">
        <ns0:is>
          <ns0:t>30–21
0001100010
imm[10:1]</ns0:t>
        </ns0:is>
      </ns0:c>
      <ns0:c r="O157" s="74" t="inlineStr">
        <ns0:is>
          <ns0:t>20
0
imm[11]</ns0:t>
        </ns0:is>
      </ns0:c>
      <ns0:c r="P157" s="74" t="inlineStr">
        <ns0:is>
          <ns0:t>19–12
00000000
imm[19:12]</ns0:t>
        </ns0:is>
      </ns0:c>
      <ns0:c r="Q157" s="75" t="inlineStr">
        <ns0:is>
          <ns0:t>11–7
00001
rd</ns0:t>
        </ns0:is>
      </ns0:c>
      <ns0:c r="R157" s="76" t="inlineStr">
        <ns0:is>
          <ns0:t>6–0
1101111
opcode</ns0:t>
        </ns0:is>
      </ns0:c>
    </ns0:row>
    <ns0:row r="158" ht="52" customHeight="1">
      <ns0:c r="A158" s="77" t="n">
        <ns0:v>150</ns0:v>
      </ns0:c>
      <ns0:c r="B158" s="78" t="inlineStr">
        <ns0:is>
          <ns0:t>0x00000254</ns0:t>
        </ns0:is>
      </ns0:c>
      <ns0:c r="C158" s="78" t="inlineStr">
        <ns0:is>
          <ns0:t>0x02C2A503</ns0:t>
        </ns0:is>
      </ns0:c>
      <ns0:c r="D158" s="79" t="inlineStr">
        <ns0:is>
          <ns0:t>lw a0, 44(t0)</ns0:t>
        </ns0:is>
      </ns0:c>
      <ns0:c r="E158" s="80" t="inlineStr">
        <ns0:is>
          <ns0:t>lw</ns0:t>
        </ns0:is>
      </ns0:c>
      <ns0:c r="F158" s="80" t="inlineStr">
        <ns0:is>
          <ns0:t>I</ns0:t>
        </ns0:is>
      </ns0:c>
      <ns0:c r="G158" s="80" t="n">
        <ns0:v>0</ns0:v>
      </ns0:c>
      <ns0:c r="H158" s="80" t="n">
        <ns0:v>44</ns0:v>
      </ns0:c>
      <ns0:c r="I158" s="81" t="inlineStr">
        <ns0:is>
          <ns0:t>—</ns0:t>
        </ns0:is>
      </ns0:c>
      <ns0:c r="J158" s="81" t="inlineStr">
        <ns0:is>
          <ns0:t>00000010110000101010010100000011</ns0:t>
        </ns0:is>
      </ns0:c>
      <ns0:c r="K158" s="82" t="inlineStr">
        <ns0:is>
          <ns0:t>a0 ← MEM32[t0 +44]. FETCH этой инструкции не удостоверяет регистрацию DATA_READ.</ns0:t>
        </ns0:is>
      </ns0:c>
      <ns0:c r="L158" s="79" t="inlineStr">
        <ns0:is>
          <ns0:t>Только ROM</ns0:t>
        </ns0:is>
      </ns0:c>
      <ns0:c r="M158" s="74" t="inlineStr">
        <ns0:is>
          <ns0:t>31–20
000000101100
imm[11:0]</ns0:t>
        </ns0:is>
      </ns0:c>
      <ns0:c r="N158" s="75" t="inlineStr">
        <ns0:is>
          <ns0:t>19–15
00101
rs1</ns0:t>
        </ns0:is>
      </ns0:c>
      <ns0:c r="O158" s="83" t="inlineStr">
        <ns0:is>
          <ns0:t>14–12
010
funct3</ns0:t>
        </ns0:is>
      </ns0:c>
      <ns0:c r="P158" s="75" t="inlineStr">
        <ns0:is>
          <ns0:t>11–7
01010
rd</ns0:t>
        </ns0:is>
      </ns0:c>
      <ns0:c r="Q158" s="76" t="inlineStr">
        <ns0:is>
          <ns0:t>6–0
0000011
opcode</ns0:t>
        </ns0:is>
      </ns0:c>
    </ns0:row>
    <ns0:row r="159" ht="52" customHeight="1">
      <ns0:c r="A159" s="68" t="n">
        <ns0:v>151</ns0:v>
      </ns0:c>
      <ns0:c r="B159" s="69" t="inlineStr">
        <ns0:is>
          <ns0:t>0x00000258</ns0:t>
        </ns0:is>
      </ns0:c>
      <ns0:c r="C159" s="69" t="inlineStr">
        <ns0:is>
          <ns0:t>0x048000EF</ns0:t>
        </ns0:is>
      </ns0:c>
      <ns0:c r="D159" s="70" t="inlineStr">
        <ns0:is>
          <ns0:t>jal ra, 0x000002a0</ns0:t>
        </ns0:is>
      </ns0:c>
      <ns0:c r="E159" s="71" t="inlineStr">
        <ns0:is>
          <ns0:t>jal</ns0:t>
        </ns0:is>
      </ns0:c>
      <ns0:c r="F159" s="71" t="inlineStr">
        <ns0:is>
          <ns0:t>J</ns0:t>
        </ns0:is>
      </ns0:c>
      <ns0:c r="G159" s="71" t="n">
        <ns0:v>0</ns0:v>
      </ns0:c>
      <ns0:c r="H159" s="71" t="n">
        <ns0:v>72</ns0:v>
      </ns0:c>
      <ns0:c r="I159" s="72" t="inlineStr">
        <ns0:is>
          <ns0:t>0x000002A0</ns0:t>
        </ns0:is>
      </ns0:c>
      <ns0:c r="J159" s="72" t="inlineStr">
        <ns0:is>
          <ns0:t>00000100100000000000000011101111</ns0:t>
        </ns0:is>
      </ns0:c>
      <ns0:c r="K159" s="73" t="inlineStr">
        <ns0:is>
          <ns0:t>PC ← 0x000002A0; rd (ra) ← PC+4. Смещение +72 байт относительно PC.</ns0:t>
        </ns0:is>
      </ns0:c>
      <ns0:c r="L159" s="70" t="inlineStr">
        <ns0:is>
          <ns0:t>Только ROM</ns0:t>
        </ns0:is>
      </ns0:c>
      <ns0:c r="M159" s="74" t="inlineStr">
        <ns0:is>
          <ns0:t>31
0
imm[20]</ns0:t>
        </ns0:is>
      </ns0:c>
      <ns0:c r="N159" s="74" t="inlineStr">
        <ns0:is>
          <ns0:t>30–21
0000100100
imm[10:1]</ns0:t>
        </ns0:is>
      </ns0:c>
      <ns0:c r="O159" s="74" t="inlineStr">
        <ns0:is>
          <ns0:t>20
0
imm[11]</ns0:t>
        </ns0:is>
      </ns0:c>
      <ns0:c r="P159" s="74" t="inlineStr">
        <ns0:is>
          <ns0:t>19–12
00000000
imm[19:12]</ns0:t>
        </ns0:is>
      </ns0:c>
      <ns0:c r="Q159" s="75" t="inlineStr">
        <ns0:is>
          <ns0:t>11–7
00001
rd</ns0:t>
        </ns0:is>
      </ns0:c>
      <ns0:c r="R159" s="76" t="inlineStr">
        <ns0:is>
          <ns0:t>6–0
1101111
opcode</ns0:t>
        </ns0:is>
      </ns0:c>
    </ns0:row>
    <ns0:row r="160" ht="52" customHeight="1">
      <ns0:c r="A160" s="77" t="n">
        <ns0:v>152</ns0:v>
      </ns0:c>
      <ns0:c r="B160" s="78" t="inlineStr">
        <ns0:is>
          <ns0:t>0x0000025C</ns0:t>
        </ns0:is>
      </ns0:c>
      <ns0:c r="C160" s="78" t="inlineStr">
        <ns0:is>
          <ns0:t>0x03A00313</ns0:t>
        </ns0:is>
      </ns0:c>
      <ns0:c r="D160" s="79" t="inlineStr">
        <ns0:is>
          <ns0:t>addi t1, zero, 58</ns0:t>
        </ns0:is>
      </ns0:c>
      <ns0:c r="E160" s="80" t="inlineStr">
        <ns0:is>
          <ns0:t>addi</ns0:t>
        </ns0:is>
      </ns0:c>
      <ns0:c r="F160" s="80" t="inlineStr">
        <ns0:is>
          <ns0:t>I</ns0:t>
        </ns0:is>
      </ns0:c>
      <ns0:c r="G160" s="80" t="n">
        <ns0:v>0</ns0:v>
      </ns0:c>
      <ns0:c r="H160" s="80" t="n">
        <ns0:v>58</ns0:v>
      </ns0:c>
      <ns0:c r="I160" s="81" t="inlineStr">
        <ns0:is>
          <ns0:t>—</ns0:t>
        </ns0:is>
      </ns0:c>
      <ns0:c r="J160" s="81" t="inlineStr">
        <ns0:is>
          <ns0:t>00000011101000000000001100010011</ns0:t>
        </ns0:is>
      </ns0:c>
      <ns0:c r="K160" s="82" t="inlineStr">
        <ns0:is>
          <ns0:t>t1 ← zero + (+58); арифметика RV32I по модулю 2³².</ns0:t>
        </ns0:is>
      </ns0:c>
      <ns0:c r="L160" s="79" t="inlineStr">
        <ns0:is>
          <ns0:t>Только ROM</ns0:t>
        </ns0:is>
      </ns0:c>
      <ns0:c r="M160" s="74" t="inlineStr">
        <ns0:is>
          <ns0:t>31–20
000000111010
imm[11:0]</ns0:t>
        </ns0:is>
      </ns0:c>
      <ns0:c r="N160" s="75" t="inlineStr">
        <ns0:is>
          <ns0:t>19–15
00000
rs1</ns0:t>
        </ns0:is>
      </ns0:c>
      <ns0:c r="O160" s="83" t="inlineStr">
        <ns0:is>
          <ns0:t>14–12
000
funct3</ns0:t>
        </ns0:is>
      </ns0:c>
      <ns0:c r="P160" s="75" t="inlineStr">
        <ns0:is>
          <ns0:t>11–7
00110
rd</ns0:t>
        </ns0:is>
      </ns0:c>
      <ns0:c r="Q160" s="76" t="inlineStr">
        <ns0:is>
          <ns0:t>6–0
0010011
opcode</ns0:t>
        </ns0:is>
      </ns0:c>
    </ns0:row>
    <ns0:row r="161" ht="52" customHeight="1">
      <ns0:c r="A161" s="68" t="n">
        <ns0:v>153</ns0:v>
      </ns0:c>
      <ns0:c r="B161" s="69" t="inlineStr">
        <ns0:is>
          <ns0:t>0x00000260</ns0:t>
        </ns0:is>
      </ns0:c>
      <ns0:c r="C161" s="69" t="inlineStr">
        <ns0:is>
          <ns0:t>0x0B4000EF</ns0:t>
        </ns0:is>
      </ns0:c>
      <ns0:c r="D161" s="70" t="inlineStr">
        <ns0:is>
          <ns0:t>jal ra, 0x00000314</ns0:t>
        </ns0:is>
      </ns0:c>
      <ns0:c r="E161" s="71" t="inlineStr">
        <ns0:is>
          <ns0:t>jal</ns0:t>
        </ns0:is>
      </ns0:c>
      <ns0:c r="F161" s="71" t="inlineStr">
        <ns0:is>
          <ns0:t>J</ns0:t>
        </ns0:is>
      </ns0:c>
      <ns0:c r="G161" s="71" t="n">
        <ns0:v>0</ns0:v>
      </ns0:c>
      <ns0:c r="H161" s="71" t="n">
        <ns0:v>180</ns0:v>
      </ns0:c>
      <ns0:c r="I161" s="72" t="inlineStr">
        <ns0:is>
          <ns0:t>0x00000314</ns0:t>
        </ns0:is>
      </ns0:c>
      <ns0:c r="J161" s="72" t="inlineStr">
        <ns0:is>
          <ns0:t>00001011010000000000000011101111</ns0:t>
        </ns0:is>
      </ns0:c>
      <ns0:c r="K161" s="73" t="inlineStr">
        <ns0:is>
          <ns0:t>PC ← 0x00000314; rd (ra) ← PC+4. Смещение +180 байт относительно PC.</ns0:t>
        </ns0:is>
      </ns0:c>
      <ns0:c r="L161" s="70" t="inlineStr">
        <ns0:is>
          <ns0:t>Только ROM</ns0:t>
        </ns0:is>
      </ns0:c>
      <ns0:c r="M161" s="74" t="inlineStr">
        <ns0:is>
          <ns0:t>31
0
imm[20]</ns0:t>
        </ns0:is>
      </ns0:c>
      <ns0:c r="N161" s="74" t="inlineStr">
        <ns0:is>
          <ns0:t>30–21
0001011010
imm[10:1]</ns0:t>
        </ns0:is>
      </ns0:c>
      <ns0:c r="O161" s="74" t="inlineStr">
        <ns0:is>
          <ns0:t>20
0
imm[11]</ns0:t>
        </ns0:is>
      </ns0:c>
      <ns0:c r="P161" s="74" t="inlineStr">
        <ns0:is>
          <ns0:t>19–12
00000000
imm[19:12]</ns0:t>
        </ns0:is>
      </ns0:c>
      <ns0:c r="Q161" s="75" t="inlineStr">
        <ns0:is>
          <ns0:t>11–7
00001
rd</ns0:t>
        </ns0:is>
      </ns0:c>
      <ns0:c r="R161" s="76" t="inlineStr">
        <ns0:is>
          <ns0:t>6–0
1101111
opcode</ns0:t>
        </ns0:is>
      </ns0:c>
    </ns0:row>
    <ns0:row r="162" ht="52" customHeight="1">
      <ns0:c r="A162" s="77" t="n">
        <ns0:v>154</ns0:v>
      </ns0:c>
      <ns0:c r="B162" s="78" t="inlineStr">
        <ns0:is>
          <ns0:t>0x00000264</ns0:t>
        </ns0:is>
      </ns0:c>
      <ns0:c r="C162" s="78" t="inlineStr">
        <ns0:is>
          <ns0:t>0x0302A503</ns0:t>
        </ns0:is>
      </ns0:c>
      <ns0:c r="D162" s="79" t="inlineStr">
        <ns0:is>
          <ns0:t>lw a0, 48(t0)</ns0:t>
        </ns0:is>
      </ns0:c>
      <ns0:c r="E162" s="80" t="inlineStr">
        <ns0:is>
          <ns0:t>lw</ns0:t>
        </ns0:is>
      </ns0:c>
      <ns0:c r="F162" s="80" t="inlineStr">
        <ns0:is>
          <ns0:t>I</ns0:t>
        </ns0:is>
      </ns0:c>
      <ns0:c r="G162" s="80" t="n">
        <ns0:v>0</ns0:v>
      </ns0:c>
      <ns0:c r="H162" s="80" t="n">
        <ns0:v>48</ns0:v>
      </ns0:c>
      <ns0:c r="I162" s="81" t="inlineStr">
        <ns0:is>
          <ns0:t>—</ns0:t>
        </ns0:is>
      </ns0:c>
      <ns0:c r="J162" s="81" t="inlineStr">
        <ns0:is>
          <ns0:t>00000011000000101010010100000011</ns0:t>
        </ns0:is>
      </ns0:c>
      <ns0:c r="K162" s="82" t="inlineStr">
        <ns0:is>
          <ns0:t>a0 ← MEM32[t0 +48]. FETCH этой инструкции не удостоверяет регистрацию DATA_READ.</ns0:t>
        </ns0:is>
      </ns0:c>
      <ns0:c r="L162" s="79" t="inlineStr">
        <ns0:is>
          <ns0:t>Только ROM</ns0:t>
        </ns0:is>
      </ns0:c>
      <ns0:c r="M162" s="74" t="inlineStr">
        <ns0:is>
          <ns0:t>31–20
000000110000
imm[11:0]</ns0:t>
        </ns0:is>
      </ns0:c>
      <ns0:c r="N162" s="75" t="inlineStr">
        <ns0:is>
          <ns0:t>19–15
00101
rs1</ns0:t>
        </ns0:is>
      </ns0:c>
      <ns0:c r="O162" s="83" t="inlineStr">
        <ns0:is>
          <ns0:t>14–12
010
funct3</ns0:t>
        </ns0:is>
      </ns0:c>
      <ns0:c r="P162" s="75" t="inlineStr">
        <ns0:is>
          <ns0:t>11–7
01010
rd</ns0:t>
        </ns0:is>
      </ns0:c>
      <ns0:c r="Q162" s="76" t="inlineStr">
        <ns0:is>
          <ns0:t>6–0
0000011
opcode</ns0:t>
        </ns0:is>
      </ns0:c>
    </ns0:row>
    <ns0:row r="163" ht="52" customHeight="1">
      <ns0:c r="A163" s="68" t="n">
        <ns0:v>155</ns0:v>
      </ns0:c>
      <ns0:c r="B163" s="69" t="inlineStr">
        <ns0:is>
          <ns0:t>0x00000268</ns0:t>
        </ns0:is>
      </ns0:c>
      <ns0:c r="C163" s="69" t="inlineStr">
        <ns0:is>
          <ns0:t>0x038000EF</ns0:t>
        </ns0:is>
      </ns0:c>
      <ns0:c r="D163" s="70" t="inlineStr">
        <ns0:is>
          <ns0:t>jal ra, 0x000002a0</ns0:t>
        </ns0:is>
      </ns0:c>
      <ns0:c r="E163" s="71" t="inlineStr">
        <ns0:is>
          <ns0:t>jal</ns0:t>
        </ns0:is>
      </ns0:c>
      <ns0:c r="F163" s="71" t="inlineStr">
        <ns0:is>
          <ns0:t>J</ns0:t>
        </ns0:is>
      </ns0:c>
      <ns0:c r="G163" s="71" t="n">
        <ns0:v>0</ns0:v>
      </ns0:c>
      <ns0:c r="H163" s="71" t="n">
        <ns0:v>56</ns0:v>
      </ns0:c>
      <ns0:c r="I163" s="72" t="inlineStr">
        <ns0:is>
          <ns0:t>0x000002A0</ns0:t>
        </ns0:is>
      </ns0:c>
      <ns0:c r="J163" s="72" t="inlineStr">
        <ns0:is>
          <ns0:t>00000011100000000000000011101111</ns0:t>
        </ns0:is>
      </ns0:c>
      <ns0:c r="K163" s="73" t="inlineStr">
        <ns0:is>
          <ns0:t>PC ← 0x000002A0; rd (ra) ← PC+4. Смещение +56 байт относительно PC.</ns0:t>
        </ns0:is>
      </ns0:c>
      <ns0:c r="L163" s="70" t="inlineStr">
        <ns0:is>
          <ns0:t>Только ROM</ns0:t>
        </ns0:is>
      </ns0:c>
      <ns0:c r="M163" s="74" t="inlineStr">
        <ns0:is>
          <ns0:t>31
0
imm[20]</ns0:t>
        </ns0:is>
      </ns0:c>
      <ns0:c r="N163" s="74" t="inlineStr">
        <ns0:is>
          <ns0:t>30–21
0000011100
imm[10:1]</ns0:t>
        </ns0:is>
      </ns0:c>
      <ns0:c r="O163" s="74" t="inlineStr">
        <ns0:is>
          <ns0:t>20
0
imm[11]</ns0:t>
        </ns0:is>
      </ns0:c>
      <ns0:c r="P163" s="74" t="inlineStr">
        <ns0:is>
          <ns0:t>19–12
00000000
imm[19:12]</ns0:t>
        </ns0:is>
      </ns0:c>
      <ns0:c r="Q163" s="75" t="inlineStr">
        <ns0:is>
          <ns0:t>11–7
00001
rd</ns0:t>
        </ns0:is>
      </ns0:c>
      <ns0:c r="R163" s="76" t="inlineStr">
        <ns0:is>
          <ns0:t>6–0
1101111
opcode</ns0:t>
        </ns0:is>
      </ns0:c>
    </ns0:row>
    <ns0:row r="164" ht="52" customHeight="1">
      <ns0:c r="A164" s="77" t="n">
        <ns0:v>156</ns0:v>
      </ns0:c>
      <ns0:c r="B164" s="78" t="inlineStr">
        <ns0:is>
          <ns0:t>0x0000026C</ns0:t>
        </ns0:is>
      </ns0:c>
      <ns0:c r="C164" s="78" t="inlineStr">
        <ns0:is>
          <ns0:t>0x03A00313</ns0:t>
        </ns0:is>
      </ns0:c>
      <ns0:c r="D164" s="79" t="inlineStr">
        <ns0:is>
          <ns0:t>addi t1, zero, 58</ns0:t>
        </ns0:is>
      </ns0:c>
      <ns0:c r="E164" s="80" t="inlineStr">
        <ns0:is>
          <ns0:t>addi</ns0:t>
        </ns0:is>
      </ns0:c>
      <ns0:c r="F164" s="80" t="inlineStr">
        <ns0:is>
          <ns0:t>I</ns0:t>
        </ns0:is>
      </ns0:c>
      <ns0:c r="G164" s="80" t="n">
        <ns0:v>0</ns0:v>
      </ns0:c>
      <ns0:c r="H164" s="80" t="n">
        <ns0:v>58</ns0:v>
      </ns0:c>
      <ns0:c r="I164" s="81" t="inlineStr">
        <ns0:is>
          <ns0:t>—</ns0:t>
        </ns0:is>
      </ns0:c>
      <ns0:c r="J164" s="81" t="inlineStr">
        <ns0:is>
          <ns0:t>00000011101000000000001100010011</ns0:t>
        </ns0:is>
      </ns0:c>
      <ns0:c r="K164" s="82" t="inlineStr">
        <ns0:is>
          <ns0:t>t1 ← zero + (+58); арифметика RV32I по модулю 2³².</ns0:t>
        </ns0:is>
      </ns0:c>
      <ns0:c r="L164" s="79" t="inlineStr">
        <ns0:is>
          <ns0:t>Только ROM</ns0:t>
        </ns0:is>
      </ns0:c>
      <ns0:c r="M164" s="74" t="inlineStr">
        <ns0:is>
          <ns0:t>31–20
000000111010
imm[11:0]</ns0:t>
        </ns0:is>
      </ns0:c>
      <ns0:c r="N164" s="75" t="inlineStr">
        <ns0:is>
          <ns0:t>19–15
00000
rs1</ns0:t>
        </ns0:is>
      </ns0:c>
      <ns0:c r="O164" s="83" t="inlineStr">
        <ns0:is>
          <ns0:t>14–12
000
funct3</ns0:t>
        </ns0:is>
      </ns0:c>
      <ns0:c r="P164" s="75" t="inlineStr">
        <ns0:is>
          <ns0:t>11–7
00110
rd</ns0:t>
        </ns0:is>
      </ns0:c>
      <ns0:c r="Q164" s="76" t="inlineStr">
        <ns0:is>
          <ns0:t>6–0
0010011
opcode</ns0:t>
        </ns0:is>
      </ns0:c>
    </ns0:row>
    <ns0:row r="165" ht="52" customHeight="1">
      <ns0:c r="A165" s="68" t="n">
        <ns0:v>157</ns0:v>
      </ns0:c>
      <ns0:c r="B165" s="69" t="inlineStr">
        <ns0:is>
          <ns0:t>0x00000270</ns0:t>
        </ns0:is>
      </ns0:c>
      <ns0:c r="C165" s="69" t="inlineStr">
        <ns0:is>
          <ns0:t>0x0A4000EF</ns0:t>
        </ns0:is>
      </ns0:c>
      <ns0:c r="D165" s="70" t="inlineStr">
        <ns0:is>
          <ns0:t>jal ra, 0x00000314</ns0:t>
        </ns0:is>
      </ns0:c>
      <ns0:c r="E165" s="71" t="inlineStr">
        <ns0:is>
          <ns0:t>jal</ns0:t>
        </ns0:is>
      </ns0:c>
      <ns0:c r="F165" s="71" t="inlineStr">
        <ns0:is>
          <ns0:t>J</ns0:t>
        </ns0:is>
      </ns0:c>
      <ns0:c r="G165" s="71" t="n">
        <ns0:v>0</ns0:v>
      </ns0:c>
      <ns0:c r="H165" s="71" t="n">
        <ns0:v>164</ns0:v>
      </ns0:c>
      <ns0:c r="I165" s="72" t="inlineStr">
        <ns0:is>
          <ns0:t>0x00000314</ns0:t>
        </ns0:is>
      </ns0:c>
      <ns0:c r="J165" s="72" t="inlineStr">
        <ns0:is>
          <ns0:t>00001010010000000000000011101111</ns0:t>
        </ns0:is>
      </ns0:c>
      <ns0:c r="K165" s="73" t="inlineStr">
        <ns0:is>
          <ns0:t>PC ← 0x00000314; rd (ra) ← PC+4. Смещение +164 байт относительно PC.</ns0:t>
        </ns0:is>
      </ns0:c>
      <ns0:c r="L165" s="70" t="inlineStr">
        <ns0:is>
          <ns0:t>Только ROM</ns0:t>
        </ns0:is>
      </ns0:c>
      <ns0:c r="M165" s="74" t="inlineStr">
        <ns0:is>
          <ns0:t>31
0
imm[20]</ns0:t>
        </ns0:is>
      </ns0:c>
      <ns0:c r="N165" s="74" t="inlineStr">
        <ns0:is>
          <ns0:t>30–21
0001010010
imm[10:1]</ns0:t>
        </ns0:is>
      </ns0:c>
      <ns0:c r="O165" s="74" t="inlineStr">
        <ns0:is>
          <ns0:t>20
0
imm[11]</ns0:t>
        </ns0:is>
      </ns0:c>
      <ns0:c r="P165" s="74" t="inlineStr">
        <ns0:is>
          <ns0:t>19–12
00000000
imm[19:12]</ns0:t>
        </ns0:is>
      </ns0:c>
      <ns0:c r="Q165" s="75" t="inlineStr">
        <ns0:is>
          <ns0:t>11–7
00001
rd</ns0:t>
        </ns0:is>
      </ns0:c>
      <ns0:c r="R165" s="76" t="inlineStr">
        <ns0:is>
          <ns0:t>6–0
1101111
opcode</ns0:t>
        </ns0:is>
      </ns0:c>
    </ns0:row>
    <ns0:row r="166" ht="52" customHeight="1">
      <ns0:c r="A166" s="77" t="n">
        <ns0:v>158</ns0:v>
      </ns0:c>
      <ns0:c r="B166" s="78" t="inlineStr">
        <ns0:is>
          <ns0:t>0x00000274</ns0:t>
        </ns0:is>
      </ns0:c>
      <ns0:c r="C166" s="78" t="inlineStr">
        <ns0:is>
          <ns0:t>0x0342A503</ns0:t>
        </ns0:is>
      </ns0:c>
      <ns0:c r="D166" s="79" t="inlineStr">
        <ns0:is>
          <ns0:t>lw a0, 52(t0)</ns0:t>
        </ns0:is>
      </ns0:c>
      <ns0:c r="E166" s="80" t="inlineStr">
        <ns0:is>
          <ns0:t>lw</ns0:t>
        </ns0:is>
      </ns0:c>
      <ns0:c r="F166" s="80" t="inlineStr">
        <ns0:is>
          <ns0:t>I</ns0:t>
        </ns0:is>
      </ns0:c>
      <ns0:c r="G166" s="80" t="n">
        <ns0:v>0</ns0:v>
      </ns0:c>
      <ns0:c r="H166" s="80" t="n">
        <ns0:v>52</ns0:v>
      </ns0:c>
      <ns0:c r="I166" s="81" t="inlineStr">
        <ns0:is>
          <ns0:t>—</ns0:t>
        </ns0:is>
      </ns0:c>
      <ns0:c r="J166" s="81" t="inlineStr">
        <ns0:is>
          <ns0:t>00000011010000101010010100000011</ns0:t>
        </ns0:is>
      </ns0:c>
      <ns0:c r="K166" s="82" t="inlineStr">
        <ns0:is>
          <ns0:t>a0 ← MEM32[t0 +52]. FETCH этой инструкции не удостоверяет регистрацию DATA_READ.</ns0:t>
        </ns0:is>
      </ns0:c>
      <ns0:c r="L166" s="79" t="inlineStr">
        <ns0:is>
          <ns0:t>Только ROM</ns0:t>
        </ns0:is>
      </ns0:c>
      <ns0:c r="M166" s="74" t="inlineStr">
        <ns0:is>
          <ns0:t>31–20
000000110100
imm[11:0]</ns0:t>
        </ns0:is>
      </ns0:c>
      <ns0:c r="N166" s="75" t="inlineStr">
        <ns0:is>
          <ns0:t>19–15
00101
rs1</ns0:t>
        </ns0:is>
      </ns0:c>
      <ns0:c r="O166" s="83" t="inlineStr">
        <ns0:is>
          <ns0:t>14–12
010
funct3</ns0:t>
        </ns0:is>
      </ns0:c>
      <ns0:c r="P166" s="75" t="inlineStr">
        <ns0:is>
          <ns0:t>11–7
01010
rd</ns0:t>
        </ns0:is>
      </ns0:c>
      <ns0:c r="Q166" s="76" t="inlineStr">
        <ns0:is>
          <ns0:t>6–0
0000011
opcode</ns0:t>
        </ns0:is>
      </ns0:c>
    </ns0:row>
    <ns0:row r="167" ht="52" customHeight="1">
      <ns0:c r="A167" s="68" t="n">
        <ns0:v>159</ns0:v>
      </ns0:c>
      <ns0:c r="B167" s="69" t="inlineStr">
        <ns0:is>
          <ns0:t>0x00000278</ns0:t>
        </ns0:is>
      </ns0:c>
      <ns0:c r="C167" s="69" t="inlineStr">
        <ns0:is>
          <ns0:t>0x028000EF</ns0:t>
        </ns0:is>
      </ns0:c>
      <ns0:c r="D167" s="70" t="inlineStr">
        <ns0:is>
          <ns0:t>jal ra, 0x000002a0</ns0:t>
        </ns0:is>
      </ns0:c>
      <ns0:c r="E167" s="71" t="inlineStr">
        <ns0:is>
          <ns0:t>jal</ns0:t>
        </ns0:is>
      </ns0:c>
      <ns0:c r="F167" s="71" t="inlineStr">
        <ns0:is>
          <ns0:t>J</ns0:t>
        </ns0:is>
      </ns0:c>
      <ns0:c r="G167" s="71" t="n">
        <ns0:v>0</ns0:v>
      </ns0:c>
      <ns0:c r="H167" s="71" t="n">
        <ns0:v>40</ns0:v>
      </ns0:c>
      <ns0:c r="I167" s="72" t="inlineStr">
        <ns0:is>
          <ns0:t>0x000002A0</ns0:t>
        </ns0:is>
      </ns0:c>
      <ns0:c r="J167" s="72" t="inlineStr">
        <ns0:is>
          <ns0:t>00000010100000000000000011101111</ns0:t>
        </ns0:is>
      </ns0:c>
      <ns0:c r="K167" s="73" t="inlineStr">
        <ns0:is>
          <ns0:t>PC ← 0x000002A0; rd (ra) ← PC+4. Смещение +40 байт относительно PC.</ns0:t>
        </ns0:is>
      </ns0:c>
      <ns0:c r="L167" s="70" t="inlineStr">
        <ns0:is>
          <ns0:t>Только ROM</ns0:t>
        </ns0:is>
      </ns0:c>
      <ns0:c r="M167" s="74" t="inlineStr">
        <ns0:is>
          <ns0:t>31
0
imm[20]</ns0:t>
        </ns0:is>
      </ns0:c>
      <ns0:c r="N167" s="74" t="inlineStr">
        <ns0:is>
          <ns0:t>30–21
0000010100
imm[10:1]</ns0:t>
        </ns0:is>
      </ns0:c>
      <ns0:c r="O167" s="74" t="inlineStr">
        <ns0:is>
          <ns0:t>20
0
imm[11]</ns0:t>
        </ns0:is>
      </ns0:c>
      <ns0:c r="P167" s="74" t="inlineStr">
        <ns0:is>
          <ns0:t>19–12
00000000
imm[19:12]</ns0:t>
        </ns0:is>
      </ns0:c>
      <ns0:c r="Q167" s="75" t="inlineStr">
        <ns0:is>
          <ns0:t>11–7
00001
rd</ns0:t>
        </ns0:is>
      </ns0:c>
      <ns0:c r="R167" s="76" t="inlineStr">
        <ns0:is>
          <ns0:t>6–0
1101111
opcode</ns0:t>
        </ns0:is>
      </ns0:c>
    </ns0:row>
    <ns0:row r="168" ht="52" customHeight="1">
      <ns0:c r="A168" s="77" t="n">
        <ns0:v>160</ns0:v>
      </ns0:c>
      <ns0:c r="B168" s="78" t="inlineStr">
        <ns0:is>
          <ns0:t>0x0000027C</ns0:t>
        </ns0:is>
      </ns0:c>
      <ns0:c r="C168" s="78" t="inlineStr">
        <ns0:is>
          <ns0:t>0x00A00313</ns0:t>
        </ns0:is>
      </ns0:c>
      <ns0:c r="D168" s="79" t="inlineStr">
        <ns0:is>
          <ns0:t>addi t1, zero, 10</ns0:t>
        </ns0:is>
      </ns0:c>
      <ns0:c r="E168" s="80" t="inlineStr">
        <ns0:is>
          <ns0:t>addi</ns0:t>
        </ns0:is>
      </ns0:c>
      <ns0:c r="F168" s="80" t="inlineStr">
        <ns0:is>
          <ns0:t>I</ns0:t>
        </ns0:is>
      </ns0:c>
      <ns0:c r="G168" s="80" t="n">
        <ns0:v>0</ns0:v>
      </ns0:c>
      <ns0:c r="H168" s="80" t="n">
        <ns0:v>10</ns0:v>
      </ns0:c>
      <ns0:c r="I168" s="81" t="inlineStr">
        <ns0:is>
          <ns0:t>—</ns0:t>
        </ns0:is>
      </ns0:c>
      <ns0:c r="J168" s="81" t="inlineStr">
        <ns0:is>
          <ns0:t>00000000101000000000001100010011</ns0:t>
        </ns0:is>
      </ns0:c>
      <ns0:c r="K168" s="82" t="inlineStr">
        <ns0:is>
          <ns0:t>t1 ← zero + (+10); арифметика RV32I по модулю 2³².</ns0:t>
        </ns0:is>
      </ns0:c>
      <ns0:c r="L168" s="79" t="inlineStr">
        <ns0:is>
          <ns0:t>Только ROM</ns0:t>
        </ns0:is>
      </ns0:c>
      <ns0:c r="M168" s="74" t="inlineStr">
        <ns0:is>
          <ns0:t>31–20
000000001010
imm[11:0]</ns0:t>
        </ns0:is>
      </ns0:c>
      <ns0:c r="N168" s="75" t="inlineStr">
        <ns0:is>
          <ns0:t>19–15
00000
rs1</ns0:t>
        </ns0:is>
      </ns0:c>
      <ns0:c r="O168" s="83" t="inlineStr">
        <ns0:is>
          <ns0:t>14–12
000
funct3</ns0:t>
        </ns0:is>
      </ns0:c>
      <ns0:c r="P168" s="75" t="inlineStr">
        <ns0:is>
          <ns0:t>11–7
00110
rd</ns0:t>
        </ns0:is>
      </ns0:c>
      <ns0:c r="Q168" s="76" t="inlineStr">
        <ns0:is>
          <ns0:t>6–0
0010011
opcode</ns0:t>
        </ns0:is>
      </ns0:c>
    </ns0:row>
    <ns0:row r="169" ht="52" customHeight="1">
      <ns0:c r="A169" s="68" t="n">
        <ns0:v>161</ns0:v>
      </ns0:c>
      <ns0:c r="B169" s="69" t="inlineStr">
        <ns0:is>
          <ns0:t>0x00000280</ns0:t>
        </ns0:is>
      </ns0:c>
      <ns0:c r="C169" s="69" t="inlineStr">
        <ns0:is>
          <ns0:t>0x094000EF</ns0:t>
        </ns0:is>
      </ns0:c>
      <ns0:c r="D169" s="70" t="inlineStr">
        <ns0:is>
          <ns0:t>jal ra, 0x00000314</ns0:t>
        </ns0:is>
      </ns0:c>
      <ns0:c r="E169" s="71" t="inlineStr">
        <ns0:is>
          <ns0:t>jal</ns0:t>
        </ns0:is>
      </ns0:c>
      <ns0:c r="F169" s="71" t="inlineStr">
        <ns0:is>
          <ns0:t>J</ns0:t>
        </ns0:is>
      </ns0:c>
      <ns0:c r="G169" s="71" t="n">
        <ns0:v>0</ns0:v>
      </ns0:c>
      <ns0:c r="H169" s="71" t="n">
        <ns0:v>148</ns0:v>
      </ns0:c>
      <ns0:c r="I169" s="72" t="inlineStr">
        <ns0:is>
          <ns0:t>0x00000314</ns0:t>
        </ns0:is>
      </ns0:c>
      <ns0:c r="J169" s="72" t="inlineStr">
        <ns0:is>
          <ns0:t>00001001010000000000000011101111</ns0:t>
        </ns0:is>
      </ns0:c>
      <ns0:c r="K169" s="73" t="inlineStr">
        <ns0:is>
          <ns0:t>PC ← 0x00000314; rd (ra) ← PC+4. Смещение +148 байт относительно PC.</ns0:t>
        </ns0:is>
      </ns0:c>
      <ns0:c r="L169" s="70" t="inlineStr">
        <ns0:is>
          <ns0:t>Только ROM</ns0:t>
        </ns0:is>
      </ns0:c>
      <ns0:c r="M169" s="74" t="inlineStr">
        <ns0:is>
          <ns0:t>31
0
imm[20]</ns0:t>
        </ns0:is>
      </ns0:c>
      <ns0:c r="N169" s="74" t="inlineStr">
        <ns0:is>
          <ns0:t>30–21
0001001010
imm[10:1]</ns0:t>
        </ns0:is>
      </ns0:c>
      <ns0:c r="O169" s="74" t="inlineStr">
        <ns0:is>
          <ns0:t>20
0
imm[11]</ns0:t>
        </ns0:is>
      </ns0:c>
      <ns0:c r="P169" s="74" t="inlineStr">
        <ns0:is>
          <ns0:t>19–12
00000000
imm[19:12]</ns0:t>
        </ns0:is>
      </ns0:c>
      <ns0:c r="Q169" s="75" t="inlineStr">
        <ns0:is>
          <ns0:t>11–7
00001
rd</ns0:t>
        </ns0:is>
      </ns0:c>
      <ns0:c r="R169" s="76" t="inlineStr">
        <ns0:is>
          <ns0:t>6–0
1101111
opcode</ns0:t>
        </ns0:is>
      </ns0:c>
    </ns0:row>
    <ns0:row r="170" ht="52" customHeight="1">
      <ns0:c r="A170" s="77" t="n">
        <ns0:v>162</ns0:v>
      </ns0:c>
      <ns0:c r="B170" s="78" t="inlineStr">
        <ns0:is>
          <ns0:t>0x00000284</ns0:t>
        </ns0:is>
      </ns0:c>
      <ns0:c r="C170" s="78" t="inlineStr">
        <ns0:is>
          <ns0:t>0x00148493</ns0:t>
        </ns0:is>
      </ns0:c>
      <ns0:c r="D170" s="79" t="inlineStr">
        <ns0:is>
          <ns0:t>addi s1, s1, 1</ns0:t>
        </ns0:is>
      </ns0:c>
      <ns0:c r="E170" s="80" t="inlineStr">
        <ns0:is>
          <ns0:t>addi</ns0:t>
        </ns0:is>
      </ns0:c>
      <ns0:c r="F170" s="80" t="inlineStr">
        <ns0:is>
          <ns0:t>I</ns0:t>
        </ns0:is>
      </ns0:c>
      <ns0:c r="G170" s="80" t="n">
        <ns0:v>0</ns0:v>
      </ns0:c>
      <ns0:c r="H170" s="80" t="n">
        <ns0:v>1</ns0:v>
      </ns0:c>
      <ns0:c r="I170" s="81" t="inlineStr">
        <ns0:is>
          <ns0:t>—</ns0:t>
        </ns0:is>
      </ns0:c>
      <ns0:c r="J170" s="81" t="inlineStr">
        <ns0:is>
          <ns0:t>00000000000101001000010010010011</ns0:t>
        </ns0:is>
      </ns0:c>
      <ns0:c r="K170" s="82" t="inlineStr">
        <ns0:is>
          <ns0:t>s1 ← s1 + (+1); арифметика RV32I по модулю 2³².</ns0:t>
        </ns0:is>
      </ns0:c>
      <ns0:c r="L170" s="79" t="inlineStr">
        <ns0:is>
          <ns0:t>Только ROM</ns0:t>
        </ns0:is>
      </ns0:c>
      <ns0:c r="M170" s="74" t="inlineStr">
        <ns0:is>
          <ns0:t>31–20
000000000001
imm[11:0]</ns0:t>
        </ns0:is>
      </ns0:c>
      <ns0:c r="N170" s="75" t="inlineStr">
        <ns0:is>
          <ns0:t>19–15
01001
rs1</ns0:t>
        </ns0:is>
      </ns0:c>
      <ns0:c r="O170" s="83" t="inlineStr">
        <ns0:is>
          <ns0:t>14–12
000
funct3</ns0:t>
        </ns0:is>
      </ns0:c>
      <ns0:c r="P170" s="75" t="inlineStr">
        <ns0:is>
          <ns0:t>11–7
01001
rd</ns0:t>
        </ns0:is>
      </ns0:c>
      <ns0:c r="Q170" s="76" t="inlineStr">
        <ns0:is>
          <ns0:t>6–0
0010011
opcode</ns0:t>
        </ns0:is>
      </ns0:c>
    </ns0:row>
    <ns0:row r="171" ht="52" customHeight="1">
      <ns0:c r="A171" s="68" t="n">
        <ns0:v>163</ns0:v>
      </ns0:c>
      <ns0:c r="B171" s="69" t="inlineStr">
        <ns0:is>
          <ns0:t>0x00000288</ns0:t>
        </ns0:is>
      </ns0:c>
      <ns0:c r="C171" s="69" t="inlineStr">
        <ns0:is>
          <ns0:t>0xFA5FF06F</ns0:t>
        </ns0:is>
      </ns0:c>
      <ns0:c r="D171" s="70" t="inlineStr">
        <ns0:is>
          <ns0:t>jal zero, 0x0000022c</ns0:t>
        </ns0:is>
      </ns0:c>
      <ns0:c r="E171" s="71" t="inlineStr">
        <ns0:is>
          <ns0:t>jal</ns0:t>
        </ns0:is>
      </ns0:c>
      <ns0:c r="F171" s="71" t="inlineStr">
        <ns0:is>
          <ns0:t>J</ns0:t>
        </ns0:is>
      </ns0:c>
      <ns0:c r="G171" s="71" t="n">
        <ns0:v>0</ns0:v>
      </ns0:c>
      <ns0:c r="H171" s="71" t="n">
        <ns0:v>-92</ns0:v>
      </ns0:c>
      <ns0:c r="I171" s="72" t="inlineStr">
        <ns0:is>
          <ns0:t>0x0000022C</ns0:t>
        </ns0:is>
      </ns0:c>
      <ns0:c r="J171" s="72" t="inlineStr">
        <ns0:is>
          <ns0:t>11111010010111111111000001101111</ns0:t>
        </ns0:is>
      </ns0:c>
      <ns0:c r="K171" s="73" t="inlineStr">
        <ns0:is>
          <ns0:t>PC ← 0x0000022C; rd (zero) ← PC+4. Смещение -92 байт относительно PC.</ns0:t>
        </ns0:is>
      </ns0:c>
      <ns0:c r="L171" s="70" t="inlineStr">
        <ns0:is>
          <ns0:t>Только ROM</ns0:t>
        </ns0:is>
      </ns0:c>
      <ns0:c r="M171" s="74" t="inlineStr">
        <ns0:is>
          <ns0:t>31
1
imm[20]</ns0:t>
        </ns0:is>
      </ns0:c>
      <ns0:c r="N171" s="74" t="inlineStr">
        <ns0:is>
          <ns0:t>30–21
1111010010
imm[10:1]</ns0:t>
        </ns0:is>
      </ns0:c>
      <ns0:c r="O171" s="74" t="inlineStr">
        <ns0:is>
          <ns0:t>20
1
imm[11]</ns0:t>
        </ns0:is>
      </ns0:c>
      <ns0:c r="P171" s="74" t="inlineStr">
        <ns0:is>
          <ns0:t>19–12
11111111
imm[19:12]</ns0:t>
        </ns0:is>
      </ns0:c>
      <ns0:c r="Q171" s="75" t="inlineStr">
        <ns0:is>
          <ns0:t>11–7
00000
rd</ns0:t>
        </ns0:is>
      </ns0:c>
      <ns0:c r="R171" s="76" t="inlineStr">
        <ns0:is>
          <ns0:t>6–0
1101111
opcode</ns0:t>
        </ns0:is>
      </ns0:c>
    </ns0:row>
    <ns0:row r="172" ht="52" customHeight="1">
      <ns0:c r="A172" s="77" t="n">
        <ns0:v>164</ns0:v>
      </ns0:c>
      <ns0:c r="B172" s="78" t="inlineStr">
        <ns0:is>
          <ns0:t>0x0000028C</ns0:t>
        </ns0:is>
      </ns0:c>
      <ns0:c r="C172" s="78" t="inlineStr">
        <ns0:is>
          <ns0:t>0x05A00313</ns0:t>
        </ns0:is>
      </ns0:c>
      <ns0:c r="D172" s="79" t="inlineStr">
        <ns0:is>
          <ns0:t>addi t1, zero, 90</ns0:t>
        </ns0:is>
      </ns0:c>
      <ns0:c r="E172" s="80" t="inlineStr">
        <ns0:is>
          <ns0:t>addi</ns0:t>
        </ns0:is>
      </ns0:c>
      <ns0:c r="F172" s="80" t="inlineStr">
        <ns0:is>
          <ns0:t>I</ns0:t>
        </ns0:is>
      </ns0:c>
      <ns0:c r="G172" s="80" t="n">
        <ns0:v>0</ns0:v>
      </ns0:c>
      <ns0:c r="H172" s="80" t="n">
        <ns0:v>90</ns0:v>
      </ns0:c>
      <ns0:c r="I172" s="81" t="inlineStr">
        <ns0:is>
          <ns0:t>—</ns0:t>
        </ns0:is>
      </ns0:c>
      <ns0:c r="J172" s="81" t="inlineStr">
        <ns0:is>
          <ns0:t>00000101101000000000001100010011</ns0:t>
        </ns0:is>
      </ns0:c>
      <ns0:c r="K172" s="82" t="inlineStr">
        <ns0:is>
          <ns0:t>t1 ← zero + (+90); арифметика RV32I по модулю 2³².</ns0:t>
        </ns0:is>
      </ns0:c>
      <ns0:c r="L172" s="79" t="inlineStr">
        <ns0:is>
          <ns0:t>Только ROM</ns0:t>
        </ns0:is>
      </ns0:c>
      <ns0:c r="M172" s="74" t="inlineStr">
        <ns0:is>
          <ns0:t>31–20
000001011010
imm[11:0]</ns0:t>
        </ns0:is>
      </ns0:c>
      <ns0:c r="N172" s="75" t="inlineStr">
        <ns0:is>
          <ns0:t>19–15
00000
rs1</ns0:t>
        </ns0:is>
      </ns0:c>
      <ns0:c r="O172" s="83" t="inlineStr">
        <ns0:is>
          <ns0:t>14–12
000
funct3</ns0:t>
        </ns0:is>
      </ns0:c>
      <ns0:c r="P172" s="75" t="inlineStr">
        <ns0:is>
          <ns0:t>11–7
00110
rd</ns0:t>
        </ns0:is>
      </ns0:c>
      <ns0:c r="Q172" s="76" t="inlineStr">
        <ns0:is>
          <ns0:t>6–0
0010011
opcode</ns0:t>
        </ns0:is>
      </ns0:c>
    </ns0:row>
    <ns0:row r="173" ht="52" customHeight="1">
      <ns0:c r="A173" s="68" t="n">
        <ns0:v>165</ns0:v>
      </ns0:c>
      <ns0:c r="B173" s="69" t="inlineStr">
        <ns0:is>
          <ns0:t>0x00000290</ns0:t>
        </ns0:is>
      </ns0:c>
      <ns0:c r="C173" s="69" t="inlineStr">
        <ns0:is>
          <ns0:t>0x084000EF</ns0:t>
        </ns0:is>
      </ns0:c>
      <ns0:c r="D173" s="70" t="inlineStr">
        <ns0:is>
          <ns0:t>jal ra, 0x00000314</ns0:t>
        </ns0:is>
      </ns0:c>
      <ns0:c r="E173" s="71" t="inlineStr">
        <ns0:is>
          <ns0:t>jal</ns0:t>
        </ns0:is>
      </ns0:c>
      <ns0:c r="F173" s="71" t="inlineStr">
        <ns0:is>
          <ns0:t>J</ns0:t>
        </ns0:is>
      </ns0:c>
      <ns0:c r="G173" s="71" t="n">
        <ns0:v>0</ns0:v>
      </ns0:c>
      <ns0:c r="H173" s="71" t="n">
        <ns0:v>132</ns0:v>
      </ns0:c>
      <ns0:c r="I173" s="72" t="inlineStr">
        <ns0:is>
          <ns0:t>0x00000314</ns0:t>
        </ns0:is>
      </ns0:c>
      <ns0:c r="J173" s="72" t="inlineStr">
        <ns0:is>
          <ns0:t>00001000010000000000000011101111</ns0:t>
        </ns0:is>
      </ns0:c>
      <ns0:c r="K173" s="73" t="inlineStr">
        <ns0:is>
          <ns0:t>PC ← 0x00000314; rd (ra) ← PC+4. Смещение +132 байт относительно PC.</ns0:t>
        </ns0:is>
      </ns0:c>
      <ns0:c r="L173" s="70" t="inlineStr">
        <ns0:is>
          <ns0:t>Только ROM</ns0:t>
        </ns0:is>
      </ns0:c>
      <ns0:c r="M173" s="74" t="inlineStr">
        <ns0:is>
          <ns0:t>31
0
imm[20]</ns0:t>
        </ns0:is>
      </ns0:c>
      <ns0:c r="N173" s="74" t="inlineStr">
        <ns0:is>
          <ns0:t>30–21
0001000010
imm[10:1]</ns0:t>
        </ns0:is>
      </ns0:c>
      <ns0:c r="O173" s="74" t="inlineStr">
        <ns0:is>
          <ns0:t>20
0
imm[11]</ns0:t>
        </ns0:is>
      </ns0:c>
      <ns0:c r="P173" s="74" t="inlineStr">
        <ns0:is>
          <ns0:t>19–12
00000000
imm[19:12]</ns0:t>
        </ns0:is>
      </ns0:c>
      <ns0:c r="Q173" s="75" t="inlineStr">
        <ns0:is>
          <ns0:t>11–7
00001
rd</ns0:t>
        </ns0:is>
      </ns0:c>
      <ns0:c r="R173" s="76" t="inlineStr">
        <ns0:is>
          <ns0:t>6–0
1101111
opcode</ns0:t>
        </ns0:is>
      </ns0:c>
    </ns0:row>
    <ns0:row r="174" ht="52" customHeight="1">
      <ns0:c r="A174" s="77" t="n">
        <ns0:v>166</ns0:v>
      </ns0:c>
      <ns0:c r="B174" s="78" t="inlineStr">
        <ns0:is>
          <ns0:t>0x00000294</ns0:t>
        </ns0:is>
      </ns0:c>
      <ns0:c r="C174" s="78" t="inlineStr">
        <ns0:is>
          <ns0:t>0x00A00313</ns0:t>
        </ns0:is>
      </ns0:c>
      <ns0:c r="D174" s="79" t="inlineStr">
        <ns0:is>
          <ns0:t>addi t1, zero, 10</ns0:t>
        </ns0:is>
      </ns0:c>
      <ns0:c r="E174" s="80" t="inlineStr">
        <ns0:is>
          <ns0:t>addi</ns0:t>
        </ns0:is>
      </ns0:c>
      <ns0:c r="F174" s="80" t="inlineStr">
        <ns0:is>
          <ns0:t>I</ns0:t>
        </ns0:is>
      </ns0:c>
      <ns0:c r="G174" s="80" t="n">
        <ns0:v>0</ns0:v>
      </ns0:c>
      <ns0:c r="H174" s="80" t="n">
        <ns0:v>10</ns0:v>
      </ns0:c>
      <ns0:c r="I174" s="81" t="inlineStr">
        <ns0:is>
          <ns0:t>—</ns0:t>
        </ns0:is>
      </ns0:c>
      <ns0:c r="J174" s="81" t="inlineStr">
        <ns0:is>
          <ns0:t>00000000101000000000001100010011</ns0:t>
        </ns0:is>
      </ns0:c>
      <ns0:c r="K174" s="82" t="inlineStr">
        <ns0:is>
          <ns0:t>t1 ← zero + (+10); арифметика RV32I по модулю 2³².</ns0:t>
        </ns0:is>
      </ns0:c>
      <ns0:c r="L174" s="79" t="inlineStr">
        <ns0:is>
          <ns0:t>Только ROM</ns0:t>
        </ns0:is>
      </ns0:c>
      <ns0:c r="M174" s="74" t="inlineStr">
        <ns0:is>
          <ns0:t>31–20
000000001010
imm[11:0]</ns0:t>
        </ns0:is>
      </ns0:c>
      <ns0:c r="N174" s="75" t="inlineStr">
        <ns0:is>
          <ns0:t>19–15
00000
rs1</ns0:t>
        </ns0:is>
      </ns0:c>
      <ns0:c r="O174" s="83" t="inlineStr">
        <ns0:is>
          <ns0:t>14–12
000
funct3</ns0:t>
        </ns0:is>
      </ns0:c>
      <ns0:c r="P174" s="75" t="inlineStr">
        <ns0:is>
          <ns0:t>11–7
00110
rd</ns0:t>
        </ns0:is>
      </ns0:c>
      <ns0:c r="Q174" s="76" t="inlineStr">
        <ns0:is>
          <ns0:t>6–0
0010011
opcode</ns0:t>
        </ns0:is>
      </ns0:c>
    </ns0:row>
    <ns0:row r="175" ht="52" customHeight="1">
      <ns0:c r="A175" s="68" t="n">
        <ns0:v>167</ns0:v>
      </ns0:c>
      <ns0:c r="B175" s="69" t="inlineStr">
        <ns0:is>
          <ns0:t>0x00000298</ns0:t>
        </ns0:is>
      </ns0:c>
      <ns0:c r="C175" s="69" t="inlineStr">
        <ns0:is>
          <ns0:t>0x07C000EF</ns0:t>
        </ns0:is>
      </ns0:c>
      <ns0:c r="D175" s="70" t="inlineStr">
        <ns0:is>
          <ns0:t>jal ra, 0x00000314</ns0:t>
        </ns0:is>
      </ns0:c>
      <ns0:c r="E175" s="71" t="inlineStr">
        <ns0:is>
          <ns0:t>jal</ns0:t>
        </ns0:is>
      </ns0:c>
      <ns0:c r="F175" s="71" t="inlineStr">
        <ns0:is>
          <ns0:t>J</ns0:t>
        </ns0:is>
      </ns0:c>
      <ns0:c r="G175" s="71" t="n">
        <ns0:v>0</ns0:v>
      </ns0:c>
      <ns0:c r="H175" s="71" t="n">
        <ns0:v>124</ns0:v>
      </ns0:c>
      <ns0:c r="I175" s="72" t="inlineStr">
        <ns0:is>
          <ns0:t>0x00000314</ns0:t>
        </ns0:is>
      </ns0:c>
      <ns0:c r="J175" s="72" t="inlineStr">
        <ns0:is>
          <ns0:t>00000111110000000000000011101111</ns0:t>
        </ns0:is>
      </ns0:c>
      <ns0:c r="K175" s="73" t="inlineStr">
        <ns0:is>
          <ns0:t>PC ← 0x00000314; rd (ra) ← PC+4. Смещение +124 байт относительно PC.</ns0:t>
        </ns0:is>
      </ns0:c>
      <ns0:c r="L175" s="70" t="inlineStr">
        <ns0:is>
          <ns0:t>Только ROM</ns0:t>
        </ns0:is>
      </ns0:c>
      <ns0:c r="M175" s="74" t="inlineStr">
        <ns0:is>
          <ns0:t>31
0
imm[20]</ns0:t>
        </ns0:is>
      </ns0:c>
      <ns0:c r="N175" s="74" t="inlineStr">
        <ns0:is>
          <ns0:t>30–21
0000111110
imm[10:1]</ns0:t>
        </ns0:is>
      </ns0:c>
      <ns0:c r="O175" s="74" t="inlineStr">
        <ns0:is>
          <ns0:t>20
0
imm[11]</ns0:t>
        </ns0:is>
      </ns0:c>
      <ns0:c r="P175" s="74" t="inlineStr">
        <ns0:is>
          <ns0:t>19–12
00000000
imm[19:12]</ns0:t>
        </ns0:is>
      </ns0:c>
      <ns0:c r="Q175" s="75" t="inlineStr">
        <ns0:is>
          <ns0:t>11–7
00001
rd</ns0:t>
        </ns0:is>
      </ns0:c>
      <ns0:c r="R175" s="76" t="inlineStr">
        <ns0:is>
          <ns0:t>6–0
1101111
opcode</ns0:t>
        </ns0:is>
      </ns0:c>
    </ns0:row>
    <ns0:row r="176" ht="52" customHeight="1">
      <ns0:c r="A176" s="77" t="n">
        <ns0:v>168</ns0:v>
      </ns0:c>
      <ns0:c r="B176" s="78" t="inlineStr">
        <ns0:is>
          <ns0:t>0x0000029C</ns0:t>
        </ns0:is>
      </ns0:c>
      <ns0:c r="C176" s="78" t="inlineStr">
        <ns0:is>
          <ns0:t>0xD9DFF06F</ns0:t>
        </ns0:is>
      </ns0:c>
      <ns0:c r="D176" s="79" t="inlineStr">
        <ns0:is>
          <ns0:t>jal zero, 0x00000038</ns0:t>
        </ns0:is>
      </ns0:c>
      <ns0:c r="E176" s="80" t="inlineStr">
        <ns0:is>
          <ns0:t>jal</ns0:t>
        </ns0:is>
      </ns0:c>
      <ns0:c r="F176" s="80" t="inlineStr">
        <ns0:is>
          <ns0:t>J</ns0:t>
        </ns0:is>
      </ns0:c>
      <ns0:c r="G176" s="80" t="n">
        <ns0:v>0</ns0:v>
      </ns0:c>
      <ns0:c r="H176" s="80" t="n">
        <ns0:v>-612</ns0:v>
      </ns0:c>
      <ns0:c r="I176" s="81" t="inlineStr">
        <ns0:is>
          <ns0:t>0x00000038</ns0:t>
        </ns0:is>
      </ns0:c>
      <ns0:c r="J176" s="81" t="inlineStr">
        <ns0:is>
          <ns0:t>11011001110111111111000001101111</ns0:t>
        </ns0:is>
      </ns0:c>
      <ns0:c r="K176" s="82" t="inlineStr">
        <ns0:is>
          <ns0:t>PC ← 0x00000038; rd (zero) ← PC+4. Смещение -612 байт относительно PC.</ns0:t>
        </ns0:is>
      </ns0:c>
      <ns0:c r="L176" s="79" t="inlineStr">
        <ns0:is>
          <ns0:t>Только ROM</ns0:t>
        </ns0:is>
      </ns0:c>
      <ns0:c r="M176" s="74" t="inlineStr">
        <ns0:is>
          <ns0:t>31
1
imm[20]</ns0:t>
        </ns0:is>
      </ns0:c>
      <ns0:c r="N176" s="74" t="inlineStr">
        <ns0:is>
          <ns0:t>30–21
1011001110
imm[10:1]</ns0:t>
        </ns0:is>
      </ns0:c>
      <ns0:c r="O176" s="74" t="inlineStr">
        <ns0:is>
          <ns0:t>20
1
imm[11]</ns0:t>
        </ns0:is>
      </ns0:c>
      <ns0:c r="P176" s="74" t="inlineStr">
        <ns0:is>
          <ns0:t>19–12
11111111
imm[19:12]</ns0:t>
        </ns0:is>
      </ns0:c>
      <ns0:c r="Q176" s="75" t="inlineStr">
        <ns0:is>
          <ns0:t>11–7
00000
rd</ns0:t>
        </ns0:is>
      </ns0:c>
      <ns0:c r="R176" s="76" t="inlineStr">
        <ns0:is>
          <ns0:t>6–0
1101111
opcode</ns0:t>
        </ns0:is>
      </ns0:c>
    </ns0:row>
    <ns0:row r="177" ht="52" customHeight="1">
      <ns0:c r="A177" s="68" t="n">
        <ns0:v>169</ns0:v>
      </ns0:c>
      <ns0:c r="B177" s="69" t="inlineStr">
        <ns0:is>
          <ns0:t>0x000002A0</ns0:t>
        </ns0:is>
      </ns0:c>
      <ns0:c r="C177" s="69" t="inlineStr">
        <ns0:is>
          <ns0:t>0x00008B93</ns0:t>
        </ns0:is>
      </ns0:c>
      <ns0:c r="D177" s="70" t="inlineStr">
        <ns0:is>
          <ns0:t>addi s7, ra, 0</ns0:t>
        </ns0:is>
      </ns0:c>
      <ns0:c r="E177" s="71" t="inlineStr">
        <ns0:is>
          <ns0:t>addi</ns0:t>
        </ns0:is>
      </ns0:c>
      <ns0:c r="F177" s="71" t="inlineStr">
        <ns0:is>
          <ns0:t>I</ns0:t>
        </ns0:is>
      </ns0:c>
      <ns0:c r="G177" s="71" t="n">
        <ns0:v>0</ns0:v>
      </ns0:c>
      <ns0:c r="H177" s="71" t="n">
        <ns0:v>0</ns0:v>
      </ns0:c>
      <ns0:c r="I177" s="72" t="inlineStr">
        <ns0:is>
          <ns0:t>—</ns0:t>
        </ns0:is>
      </ns0:c>
      <ns0:c r="J177" s="72" t="inlineStr">
        <ns0:is>
          <ns0:t>00000000000000001000101110010011</ns0:t>
        </ns0:is>
      </ns0:c>
      <ns0:c r="K177" s="73" t="inlineStr">
        <ns0:is>
          <ns0:t>s7 ← ra + (+0); арифметика RV32I по модулю 2³².</ns0:t>
        </ns0:is>
      </ns0:c>
      <ns0:c r="L177" s="70" t="inlineStr">
        <ns0:is>
          <ns0:t>Только ROM</ns0:t>
        </ns0:is>
      </ns0:c>
      <ns0:c r="M177" s="74" t="inlineStr">
        <ns0:is>
          <ns0:t>31–20
000000000000
imm[11:0]</ns0:t>
        </ns0:is>
      </ns0:c>
      <ns0:c r="N177" s="75" t="inlineStr">
        <ns0:is>
          <ns0:t>19–15
00001
rs1</ns0:t>
        </ns0:is>
      </ns0:c>
      <ns0:c r="O177" s="83" t="inlineStr">
        <ns0:is>
          <ns0:t>14–12
000
funct3</ns0:t>
        </ns0:is>
      </ns0:c>
      <ns0:c r="P177" s="75" t="inlineStr">
        <ns0:is>
          <ns0:t>11–7
10111
rd</ns0:t>
        </ns0:is>
      </ns0:c>
      <ns0:c r="Q177" s="76" t="inlineStr">
        <ns0:is>
          <ns0:t>6–0
0010011
opcode</ns0:t>
        </ns0:is>
      </ns0:c>
    </ns0:row>
    <ns0:row r="178" ht="52" customHeight="1">
      <ns0:c r="A178" s="77" t="n">
        <ns0:v>170</ns0:v>
      </ns0:c>
      <ns0:c r="B178" s="78" t="inlineStr">
        <ns0:is>
          <ns0:t>0x000002A4</ns0:t>
        </ns0:is>
      </ns0:c>
      <ns0:c r="C178" s="78" t="inlineStr">
        <ns0:is>
          <ns0:t>0x01C55313</ns0:t>
        </ns0:is>
      </ns0:c>
      <ns0:c r="D178" s="79" t="inlineStr">
        <ns0:is>
          <ns0:t>srli t1, a0, 28</ns0:t>
        </ns0:is>
      </ns0:c>
      <ns0:c r="E178" s="80" t="inlineStr">
        <ns0:is>
          <ns0:t>srli</ns0:t>
        </ns0:is>
      </ns0:c>
      <ns0:c r="F178" s="80" t="inlineStr">
        <ns0:is>
          <ns0:t>I-shift</ns0:t>
        </ns0:is>
      </ns0:c>
      <ns0:c r="G178" s="80" t="n">
        <ns0:v>0</ns0:v>
      </ns0:c>
      <ns0:c r="H178" s="80" t="n">
        <ns0:v>28</ns0:v>
      </ns0:c>
      <ns0:c r="I178" s="81" t="inlineStr">
        <ns0:is>
          <ns0:t>—</ns0:t>
        </ns0:is>
      </ns0:c>
      <ns0:c r="J178" s="81" t="inlineStr">
        <ns0:is>
          <ns0:t>00000001110001010101001100010011</ns0:t>
        </ns0:is>
      </ns0:c>
      <ns0:c r="K178" s="82" t="inlineStr">
        <ns0:is>
          <ns0:t>t1 ← unsigned(a0) &gt;&gt; 28 (заполнение старших разрядов нулями).</ns0:t>
        </ns0:is>
      </ns0:c>
      <ns0:c r="L178" s="79" t="inlineStr">
        <ns0:is>
          <ns0:t>Только ROM</ns0:t>
        </ns0:is>
      </ns0:c>
      <ns0:c r="M178" s="83" t="inlineStr">
        <ns0:is>
          <ns0:t>31–25
0000000
funct7</ns0:t>
        </ns0:is>
      </ns0:c>
      <ns0:c r="N178" s="87" t="inlineStr">
        <ns0:is>
          <ns0:t>24–20
11100
shamt[4:0]</ns0:t>
        </ns0:is>
      </ns0:c>
      <ns0:c r="O178" s="75" t="inlineStr">
        <ns0:is>
          <ns0:t>19–15
01010
rs1</ns0:t>
        </ns0:is>
      </ns0:c>
      <ns0:c r="P178" s="83" t="inlineStr">
        <ns0:is>
          <ns0:t>14–12
101
funct3</ns0:t>
        </ns0:is>
      </ns0:c>
      <ns0:c r="Q178" s="75" t="inlineStr">
        <ns0:is>
          <ns0:t>11–7
00110
rd</ns0:t>
        </ns0:is>
      </ns0:c>
      <ns0:c r="R178" s="76" t="inlineStr">
        <ns0:is>
          <ns0:t>6–0
0010011
opcode</ns0:t>
        </ns0:is>
      </ns0:c>
    </ns0:row>
    <ns0:row r="179" ht="52" customHeight="1">
      <ns0:c r="A179" s="68" t="n">
        <ns0:v>171</ns0:v>
      </ns0:c>
      <ns0:c r="B179" s="69" t="inlineStr">
        <ns0:is>
          <ns0:t>0x000002A8</ns0:t>
        </ns0:is>
      </ns0:c>
      <ns0:c r="C179" s="69" t="inlineStr">
        <ns0:is>
          <ns0:t>0x040000EF</ns0:t>
        </ns0:is>
      </ns0:c>
      <ns0:c r="D179" s="70" t="inlineStr">
        <ns0:is>
          <ns0:t>jal ra, 0x000002e8</ns0:t>
        </ns0:is>
      </ns0:c>
      <ns0:c r="E179" s="71" t="inlineStr">
        <ns0:is>
          <ns0:t>jal</ns0:t>
        </ns0:is>
      </ns0:c>
      <ns0:c r="F179" s="71" t="inlineStr">
        <ns0:is>
          <ns0:t>J</ns0:t>
        </ns0:is>
      </ns0:c>
      <ns0:c r="G179" s="71" t="n">
        <ns0:v>0</ns0:v>
      </ns0:c>
      <ns0:c r="H179" s="71" t="n">
        <ns0:v>64</ns0:v>
      </ns0:c>
      <ns0:c r="I179" s="72" t="inlineStr">
        <ns0:is>
          <ns0:t>0x000002E8</ns0:t>
        </ns0:is>
      </ns0:c>
      <ns0:c r="J179" s="72" t="inlineStr">
        <ns0:is>
          <ns0:t>00000100000000000000000011101111</ns0:t>
        </ns0:is>
      </ns0:c>
      <ns0:c r="K179" s="73" t="inlineStr">
        <ns0:is>
          <ns0:t>PC ← 0x000002E8; rd (ra) ← PC+4. Смещение +64 байт относительно PC.</ns0:t>
        </ns0:is>
      </ns0:c>
      <ns0:c r="L179" s="70" t="inlineStr">
        <ns0:is>
          <ns0:t>Только ROM</ns0:t>
        </ns0:is>
      </ns0:c>
      <ns0:c r="M179" s="74" t="inlineStr">
        <ns0:is>
          <ns0:t>31
0
imm[20]</ns0:t>
        </ns0:is>
      </ns0:c>
      <ns0:c r="N179" s="74" t="inlineStr">
        <ns0:is>
          <ns0:t>30–21
0000100000
imm[10:1]</ns0:t>
        </ns0:is>
      </ns0:c>
      <ns0:c r="O179" s="74" t="inlineStr">
        <ns0:is>
          <ns0:t>20
0
imm[11]</ns0:t>
        </ns0:is>
      </ns0:c>
      <ns0:c r="P179" s="74" t="inlineStr">
        <ns0:is>
          <ns0:t>19–12
00000000
imm[19:12]</ns0:t>
        </ns0:is>
      </ns0:c>
      <ns0:c r="Q179" s="75" t="inlineStr">
        <ns0:is>
          <ns0:t>11–7
00001
rd</ns0:t>
        </ns0:is>
      </ns0:c>
      <ns0:c r="R179" s="76" t="inlineStr">
        <ns0:is>
          <ns0:t>6–0
1101111
opcode</ns0:t>
        </ns0:is>
      </ns0:c>
    </ns0:row>
    <ns0:row r="180" ht="52" customHeight="1">
      <ns0:c r="A180" s="77" t="n">
        <ns0:v>172</ns0:v>
      </ns0:c>
      <ns0:c r="B180" s="78" t="inlineStr">
        <ns0:is>
          <ns0:t>0x000002AC</ns0:t>
        </ns0:is>
      </ns0:c>
      <ns0:c r="C180" s="78" t="inlineStr">
        <ns0:is>
          <ns0:t>0x01855313</ns0:t>
        </ns0:is>
      </ns0:c>
      <ns0:c r="D180" s="79" t="inlineStr">
        <ns0:is>
          <ns0:t>srli t1, a0, 24</ns0:t>
        </ns0:is>
      </ns0:c>
      <ns0:c r="E180" s="80" t="inlineStr">
        <ns0:is>
          <ns0:t>srli</ns0:t>
        </ns0:is>
      </ns0:c>
      <ns0:c r="F180" s="80" t="inlineStr">
        <ns0:is>
          <ns0:t>I-shift</ns0:t>
        </ns0:is>
      </ns0:c>
      <ns0:c r="G180" s="80" t="n">
        <ns0:v>0</ns0:v>
      </ns0:c>
      <ns0:c r="H180" s="80" t="n">
        <ns0:v>24</ns0:v>
      </ns0:c>
      <ns0:c r="I180" s="81" t="inlineStr">
        <ns0:is>
          <ns0:t>—</ns0:t>
        </ns0:is>
      </ns0:c>
      <ns0:c r="J180" s="81" t="inlineStr">
        <ns0:is>
          <ns0:t>00000001100001010101001100010011</ns0:t>
        </ns0:is>
      </ns0:c>
      <ns0:c r="K180" s="82" t="inlineStr">
        <ns0:is>
          <ns0:t>t1 ← unsigned(a0) &gt;&gt; 24 (заполнение старших разрядов нулями).</ns0:t>
        </ns0:is>
      </ns0:c>
      <ns0:c r="L180" s="79" t="inlineStr">
        <ns0:is>
          <ns0:t>Только ROM</ns0:t>
        </ns0:is>
      </ns0:c>
      <ns0:c r="M180" s="83" t="inlineStr">
        <ns0:is>
          <ns0:t>31–25
0000000
funct7</ns0:t>
        </ns0:is>
      </ns0:c>
      <ns0:c r="N180" s="87" t="inlineStr">
        <ns0:is>
          <ns0:t>24–20
11000
shamt[4:0]</ns0:t>
        </ns0:is>
      </ns0:c>
      <ns0:c r="O180" s="75" t="inlineStr">
        <ns0:is>
          <ns0:t>19–15
01010
rs1</ns0:t>
        </ns0:is>
      </ns0:c>
      <ns0:c r="P180" s="83" t="inlineStr">
        <ns0:is>
          <ns0:t>14–12
101
funct3</ns0:t>
        </ns0:is>
      </ns0:c>
      <ns0:c r="Q180" s="75" t="inlineStr">
        <ns0:is>
          <ns0:t>11–7
00110
rd</ns0:t>
        </ns0:is>
      </ns0:c>
      <ns0:c r="R180" s="76" t="inlineStr">
        <ns0:is>
          <ns0:t>6–0
0010011
opcode</ns0:t>
        </ns0:is>
      </ns0:c>
    </ns0:row>
    <ns0:row r="181" ht="52" customHeight="1">
      <ns0:c r="A181" s="68" t="n">
        <ns0:v>173</ns0:v>
      </ns0:c>
      <ns0:c r="B181" s="69" t="inlineStr">
        <ns0:is>
          <ns0:t>0x000002B0</ns0:t>
        </ns0:is>
      </ns0:c>
      <ns0:c r="C181" s="69" t="inlineStr">
        <ns0:is>
          <ns0:t>0x038000EF</ns0:t>
        </ns0:is>
      </ns0:c>
      <ns0:c r="D181" s="70" t="inlineStr">
        <ns0:is>
          <ns0:t>jal ra, 0x000002e8</ns0:t>
        </ns0:is>
      </ns0:c>
      <ns0:c r="E181" s="71" t="inlineStr">
        <ns0:is>
          <ns0:t>jal</ns0:t>
        </ns0:is>
      </ns0:c>
      <ns0:c r="F181" s="71" t="inlineStr">
        <ns0:is>
          <ns0:t>J</ns0:t>
        </ns0:is>
      </ns0:c>
      <ns0:c r="G181" s="71" t="n">
        <ns0:v>0</ns0:v>
      </ns0:c>
      <ns0:c r="H181" s="71" t="n">
        <ns0:v>56</ns0:v>
      </ns0:c>
      <ns0:c r="I181" s="72" t="inlineStr">
        <ns0:is>
          <ns0:t>0x000002E8</ns0:t>
        </ns0:is>
      </ns0:c>
      <ns0:c r="J181" s="72" t="inlineStr">
        <ns0:is>
          <ns0:t>00000011100000000000000011101111</ns0:t>
        </ns0:is>
      </ns0:c>
      <ns0:c r="K181" s="73" t="inlineStr">
        <ns0:is>
          <ns0:t>PC ← 0x000002E8; rd (ra) ← PC+4. Смещение +56 байт относительно PC.</ns0:t>
        </ns0:is>
      </ns0:c>
      <ns0:c r="L181" s="70" t="inlineStr">
        <ns0:is>
          <ns0:t>Только ROM</ns0:t>
        </ns0:is>
      </ns0:c>
      <ns0:c r="M181" s="74" t="inlineStr">
        <ns0:is>
          <ns0:t>31
0
imm[20]</ns0:t>
        </ns0:is>
      </ns0:c>
      <ns0:c r="N181" s="74" t="inlineStr">
        <ns0:is>
          <ns0:t>30–21
0000011100
imm[10:1]</ns0:t>
        </ns0:is>
      </ns0:c>
      <ns0:c r="O181" s="74" t="inlineStr">
        <ns0:is>
          <ns0:t>20
0
imm[11]</ns0:t>
        </ns0:is>
      </ns0:c>
      <ns0:c r="P181" s="74" t="inlineStr">
        <ns0:is>
          <ns0:t>19–12
00000000
imm[19:12]</ns0:t>
        </ns0:is>
      </ns0:c>
      <ns0:c r="Q181" s="75" t="inlineStr">
        <ns0:is>
          <ns0:t>11–7
00001
rd</ns0:t>
        </ns0:is>
      </ns0:c>
      <ns0:c r="R181" s="76" t="inlineStr">
        <ns0:is>
          <ns0:t>6–0
1101111
opcode</ns0:t>
        </ns0:is>
      </ns0:c>
    </ns0:row>
    <ns0:row r="182" ht="52" customHeight="1">
      <ns0:c r="A182" s="77" t="n">
        <ns0:v>174</ns0:v>
      </ns0:c>
      <ns0:c r="B182" s="78" t="inlineStr">
        <ns0:is>
          <ns0:t>0x000002B4</ns0:t>
        </ns0:is>
      </ns0:c>
      <ns0:c r="C182" s="78" t="inlineStr">
        <ns0:is>
          <ns0:t>0x01455313</ns0:t>
        </ns0:is>
      </ns0:c>
      <ns0:c r="D182" s="79" t="inlineStr">
        <ns0:is>
          <ns0:t>srli t1, a0, 20</ns0:t>
        </ns0:is>
      </ns0:c>
      <ns0:c r="E182" s="80" t="inlineStr">
        <ns0:is>
          <ns0:t>srli</ns0:t>
        </ns0:is>
      </ns0:c>
      <ns0:c r="F182" s="80" t="inlineStr">
        <ns0:is>
          <ns0:t>I-shift</ns0:t>
        </ns0:is>
      </ns0:c>
      <ns0:c r="G182" s="80" t="n">
        <ns0:v>0</ns0:v>
      </ns0:c>
      <ns0:c r="H182" s="80" t="n">
        <ns0:v>20</ns0:v>
      </ns0:c>
      <ns0:c r="I182" s="81" t="inlineStr">
        <ns0:is>
          <ns0:t>—</ns0:t>
        </ns0:is>
      </ns0:c>
      <ns0:c r="J182" s="81" t="inlineStr">
        <ns0:is>
          <ns0:t>00000001010001010101001100010011</ns0:t>
        </ns0:is>
      </ns0:c>
      <ns0:c r="K182" s="82" t="inlineStr">
        <ns0:is>
          <ns0:t>t1 ← unsigned(a0) &gt;&gt; 20 (заполнение старших разрядов нулями).</ns0:t>
        </ns0:is>
      </ns0:c>
      <ns0:c r="L182" s="79" t="inlineStr">
        <ns0:is>
          <ns0:t>Только ROM</ns0:t>
        </ns0:is>
      </ns0:c>
      <ns0:c r="M182" s="83" t="inlineStr">
        <ns0:is>
          <ns0:t>31–25
0000000
funct7</ns0:t>
        </ns0:is>
      </ns0:c>
      <ns0:c r="N182" s="87" t="inlineStr">
        <ns0:is>
          <ns0:t>24–20
10100
shamt[4:0]</ns0:t>
        </ns0:is>
      </ns0:c>
      <ns0:c r="O182" s="75" t="inlineStr">
        <ns0:is>
          <ns0:t>19–15
01010
rs1</ns0:t>
        </ns0:is>
      </ns0:c>
      <ns0:c r="P182" s="83" t="inlineStr">
        <ns0:is>
          <ns0:t>14–12
101
funct3</ns0:t>
        </ns0:is>
      </ns0:c>
      <ns0:c r="Q182" s="75" t="inlineStr">
        <ns0:is>
          <ns0:t>11–7
00110
rd</ns0:t>
        </ns0:is>
      </ns0:c>
      <ns0:c r="R182" s="76" t="inlineStr">
        <ns0:is>
          <ns0:t>6–0
0010011
opcode</ns0:t>
        </ns0:is>
      </ns0:c>
    </ns0:row>
    <ns0:row r="183" ht="52" customHeight="1">
      <ns0:c r="A183" s="68" t="n">
        <ns0:v>175</ns0:v>
      </ns0:c>
      <ns0:c r="B183" s="69" t="inlineStr">
        <ns0:is>
          <ns0:t>0x000002B8</ns0:t>
        </ns0:is>
      </ns0:c>
      <ns0:c r="C183" s="69" t="inlineStr">
        <ns0:is>
          <ns0:t>0x030000EF</ns0:t>
        </ns0:is>
      </ns0:c>
      <ns0:c r="D183" s="70" t="inlineStr">
        <ns0:is>
          <ns0:t>jal ra, 0x000002e8</ns0:t>
        </ns0:is>
      </ns0:c>
      <ns0:c r="E183" s="71" t="inlineStr">
        <ns0:is>
          <ns0:t>jal</ns0:t>
        </ns0:is>
      </ns0:c>
      <ns0:c r="F183" s="71" t="inlineStr">
        <ns0:is>
          <ns0:t>J</ns0:t>
        </ns0:is>
      </ns0:c>
      <ns0:c r="G183" s="71" t="n">
        <ns0:v>0</ns0:v>
      </ns0:c>
      <ns0:c r="H183" s="71" t="n">
        <ns0:v>48</ns0:v>
      </ns0:c>
      <ns0:c r="I183" s="72" t="inlineStr">
        <ns0:is>
          <ns0:t>0x000002E8</ns0:t>
        </ns0:is>
      </ns0:c>
      <ns0:c r="J183" s="72" t="inlineStr">
        <ns0:is>
          <ns0:t>00000011000000000000000011101111</ns0:t>
        </ns0:is>
      </ns0:c>
      <ns0:c r="K183" s="73" t="inlineStr">
        <ns0:is>
          <ns0:t>PC ← 0x000002E8; rd (ra) ← PC+4. Смещение +48 байт относительно PC.</ns0:t>
        </ns0:is>
      </ns0:c>
      <ns0:c r="L183" s="70" t="inlineStr">
        <ns0:is>
          <ns0:t>Только ROM</ns0:t>
        </ns0:is>
      </ns0:c>
      <ns0:c r="M183" s="74" t="inlineStr">
        <ns0:is>
          <ns0:t>31
0
imm[20]</ns0:t>
        </ns0:is>
      </ns0:c>
      <ns0:c r="N183" s="74" t="inlineStr">
        <ns0:is>
          <ns0:t>30–21
0000011000
imm[10:1]</ns0:t>
        </ns0:is>
      </ns0:c>
      <ns0:c r="O183" s="74" t="inlineStr">
        <ns0:is>
          <ns0:t>20
0
imm[11]</ns0:t>
        </ns0:is>
      </ns0:c>
      <ns0:c r="P183" s="74" t="inlineStr">
        <ns0:is>
          <ns0:t>19–12
00000000
imm[19:12]</ns0:t>
        </ns0:is>
      </ns0:c>
      <ns0:c r="Q183" s="75" t="inlineStr">
        <ns0:is>
          <ns0:t>11–7
00001
rd</ns0:t>
        </ns0:is>
      </ns0:c>
      <ns0:c r="R183" s="76" t="inlineStr">
        <ns0:is>
          <ns0:t>6–0
1101111
opcode</ns0:t>
        </ns0:is>
      </ns0:c>
    </ns0:row>
    <ns0:row r="184" ht="52" customHeight="1">
      <ns0:c r="A184" s="77" t="n">
        <ns0:v>176</ns0:v>
      </ns0:c>
      <ns0:c r="B184" s="78" t="inlineStr">
        <ns0:is>
          <ns0:t>0x000002BC</ns0:t>
        </ns0:is>
      </ns0:c>
      <ns0:c r="C184" s="78" t="inlineStr">
        <ns0:is>
          <ns0:t>0x01055313</ns0:t>
        </ns0:is>
      </ns0:c>
      <ns0:c r="D184" s="79" t="inlineStr">
        <ns0:is>
          <ns0:t>srli t1, a0, 16</ns0:t>
        </ns0:is>
      </ns0:c>
      <ns0:c r="E184" s="80" t="inlineStr">
        <ns0:is>
          <ns0:t>srli</ns0:t>
        </ns0:is>
      </ns0:c>
      <ns0:c r="F184" s="80" t="inlineStr">
        <ns0:is>
          <ns0:t>I-shift</ns0:t>
        </ns0:is>
      </ns0:c>
      <ns0:c r="G184" s="80" t="n">
        <ns0:v>0</ns0:v>
      </ns0:c>
      <ns0:c r="H184" s="80" t="n">
        <ns0:v>16</ns0:v>
      </ns0:c>
      <ns0:c r="I184" s="81" t="inlineStr">
        <ns0:is>
          <ns0:t>—</ns0:t>
        </ns0:is>
      </ns0:c>
      <ns0:c r="J184" s="81" t="inlineStr">
        <ns0:is>
          <ns0:t>00000001000001010101001100010011</ns0:t>
        </ns0:is>
      </ns0:c>
      <ns0:c r="K184" s="82" t="inlineStr">
        <ns0:is>
          <ns0:t>t1 ← unsigned(a0) &gt;&gt; 16 (заполнение старших разрядов нулями).</ns0:t>
        </ns0:is>
      </ns0:c>
      <ns0:c r="L184" s="79" t="inlineStr">
        <ns0:is>
          <ns0:t>Только ROM</ns0:t>
        </ns0:is>
      </ns0:c>
      <ns0:c r="M184" s="83" t="inlineStr">
        <ns0:is>
          <ns0:t>31–25
0000000
funct7</ns0:t>
        </ns0:is>
      </ns0:c>
      <ns0:c r="N184" s="87" t="inlineStr">
        <ns0:is>
          <ns0:t>24–20
10000
shamt[4:0]</ns0:t>
        </ns0:is>
      </ns0:c>
      <ns0:c r="O184" s="75" t="inlineStr">
        <ns0:is>
          <ns0:t>19–15
01010
rs1</ns0:t>
        </ns0:is>
      </ns0:c>
      <ns0:c r="P184" s="83" t="inlineStr">
        <ns0:is>
          <ns0:t>14–12
101
funct3</ns0:t>
        </ns0:is>
      </ns0:c>
      <ns0:c r="Q184" s="75" t="inlineStr">
        <ns0:is>
          <ns0:t>11–7
00110
rd</ns0:t>
        </ns0:is>
      </ns0:c>
      <ns0:c r="R184" s="76" t="inlineStr">
        <ns0:is>
          <ns0:t>6–0
0010011
opcode</ns0:t>
        </ns0:is>
      </ns0:c>
    </ns0:row>
    <ns0:row r="185" ht="52" customHeight="1">
      <ns0:c r="A185" s="68" t="n">
        <ns0:v>177</ns0:v>
      </ns0:c>
      <ns0:c r="B185" s="69" t="inlineStr">
        <ns0:is>
          <ns0:t>0x000002C0</ns0:t>
        </ns0:is>
      </ns0:c>
      <ns0:c r="C185" s="69" t="inlineStr">
        <ns0:is>
          <ns0:t>0x028000EF</ns0:t>
        </ns0:is>
      </ns0:c>
      <ns0:c r="D185" s="70" t="inlineStr">
        <ns0:is>
          <ns0:t>jal ra, 0x000002e8</ns0:t>
        </ns0:is>
      </ns0:c>
      <ns0:c r="E185" s="71" t="inlineStr">
        <ns0:is>
          <ns0:t>jal</ns0:t>
        </ns0:is>
      </ns0:c>
      <ns0:c r="F185" s="71" t="inlineStr">
        <ns0:is>
          <ns0:t>J</ns0:t>
        </ns0:is>
      </ns0:c>
      <ns0:c r="G185" s="71" t="n">
        <ns0:v>0</ns0:v>
      </ns0:c>
      <ns0:c r="H185" s="71" t="n">
        <ns0:v>40</ns0:v>
      </ns0:c>
      <ns0:c r="I185" s="72" t="inlineStr">
        <ns0:is>
          <ns0:t>0x000002E8</ns0:t>
        </ns0:is>
      </ns0:c>
      <ns0:c r="J185" s="72" t="inlineStr">
        <ns0:is>
          <ns0:t>00000010100000000000000011101111</ns0:t>
        </ns0:is>
      </ns0:c>
      <ns0:c r="K185" s="73" t="inlineStr">
        <ns0:is>
          <ns0:t>PC ← 0x000002E8; rd (ra) ← PC+4. Смещение +40 байт относительно PC.</ns0:t>
        </ns0:is>
      </ns0:c>
      <ns0:c r="L185" s="70" t="inlineStr">
        <ns0:is>
          <ns0:t>Только ROM</ns0:t>
        </ns0:is>
      </ns0:c>
      <ns0:c r="M185" s="74" t="inlineStr">
        <ns0:is>
          <ns0:t>31
0
imm[20]</ns0:t>
        </ns0:is>
      </ns0:c>
      <ns0:c r="N185" s="74" t="inlineStr">
        <ns0:is>
          <ns0:t>30–21
0000010100
imm[10:1]</ns0:t>
        </ns0:is>
      </ns0:c>
      <ns0:c r="O185" s="74" t="inlineStr">
        <ns0:is>
          <ns0:t>20
0
imm[11]</ns0:t>
        </ns0:is>
      </ns0:c>
      <ns0:c r="P185" s="74" t="inlineStr">
        <ns0:is>
          <ns0:t>19–12
00000000
imm[19:12]</ns0:t>
        </ns0:is>
      </ns0:c>
      <ns0:c r="Q185" s="75" t="inlineStr">
        <ns0:is>
          <ns0:t>11–7
00001
rd</ns0:t>
        </ns0:is>
      </ns0:c>
      <ns0:c r="R185" s="76" t="inlineStr">
        <ns0:is>
          <ns0:t>6–0
1101111
opcode</ns0:t>
        </ns0:is>
      </ns0:c>
    </ns0:row>
    <ns0:row r="186" ht="52" customHeight="1">
      <ns0:c r="A186" s="77" t="n">
        <ns0:v>178</ns0:v>
      </ns0:c>
      <ns0:c r="B186" s="78" t="inlineStr">
        <ns0:is>
          <ns0:t>0x000002C4</ns0:t>
        </ns0:is>
      </ns0:c>
      <ns0:c r="C186" s="78" t="inlineStr">
        <ns0:is>
          <ns0:t>0x00C55313</ns0:t>
        </ns0:is>
      </ns0:c>
      <ns0:c r="D186" s="79" t="inlineStr">
        <ns0:is>
          <ns0:t>srli t1, a0, 12</ns0:t>
        </ns0:is>
      </ns0:c>
      <ns0:c r="E186" s="80" t="inlineStr">
        <ns0:is>
          <ns0:t>srli</ns0:t>
        </ns0:is>
      </ns0:c>
      <ns0:c r="F186" s="80" t="inlineStr">
        <ns0:is>
          <ns0:t>I-shift</ns0:t>
        </ns0:is>
      </ns0:c>
      <ns0:c r="G186" s="80" t="n">
        <ns0:v>0</ns0:v>
      </ns0:c>
      <ns0:c r="H186" s="80" t="n">
        <ns0:v>12</ns0:v>
      </ns0:c>
      <ns0:c r="I186" s="81" t="inlineStr">
        <ns0:is>
          <ns0:t>—</ns0:t>
        </ns0:is>
      </ns0:c>
      <ns0:c r="J186" s="81" t="inlineStr">
        <ns0:is>
          <ns0:t>00000000110001010101001100010011</ns0:t>
        </ns0:is>
      </ns0:c>
      <ns0:c r="K186" s="82" t="inlineStr">
        <ns0:is>
          <ns0:t>t1 ← unsigned(a0) &gt;&gt; 12 (заполнение старших разрядов нулями).</ns0:t>
        </ns0:is>
      </ns0:c>
      <ns0:c r="L186" s="79" t="inlineStr">
        <ns0:is>
          <ns0:t>Только ROM</ns0:t>
        </ns0:is>
      </ns0:c>
      <ns0:c r="M186" s="83" t="inlineStr">
        <ns0:is>
          <ns0:t>31–25
0000000
funct7</ns0:t>
        </ns0:is>
      </ns0:c>
      <ns0:c r="N186" s="87" t="inlineStr">
        <ns0:is>
          <ns0:t>24–20
01100
shamt[4:0]</ns0:t>
        </ns0:is>
      </ns0:c>
      <ns0:c r="O186" s="75" t="inlineStr">
        <ns0:is>
          <ns0:t>19–15
01010
rs1</ns0:t>
        </ns0:is>
      </ns0:c>
      <ns0:c r="P186" s="83" t="inlineStr">
        <ns0:is>
          <ns0:t>14–12
101
funct3</ns0:t>
        </ns0:is>
      </ns0:c>
      <ns0:c r="Q186" s="75" t="inlineStr">
        <ns0:is>
          <ns0:t>11–7
00110
rd</ns0:t>
        </ns0:is>
      </ns0:c>
      <ns0:c r="R186" s="76" t="inlineStr">
        <ns0:is>
          <ns0:t>6–0
0010011
opcode</ns0:t>
        </ns0:is>
      </ns0:c>
    </ns0:row>
    <ns0:row r="187" ht="52" customHeight="1">
      <ns0:c r="A187" s="68" t="n">
        <ns0:v>179</ns0:v>
      </ns0:c>
      <ns0:c r="B187" s="69" t="inlineStr">
        <ns0:is>
          <ns0:t>0x000002C8</ns0:t>
        </ns0:is>
      </ns0:c>
      <ns0:c r="C187" s="69" t="inlineStr">
        <ns0:is>
          <ns0:t>0x020000EF</ns0:t>
        </ns0:is>
      </ns0:c>
      <ns0:c r="D187" s="70" t="inlineStr">
        <ns0:is>
          <ns0:t>jal ra, 0x000002e8</ns0:t>
        </ns0:is>
      </ns0:c>
      <ns0:c r="E187" s="71" t="inlineStr">
        <ns0:is>
          <ns0:t>jal</ns0:t>
        </ns0:is>
      </ns0:c>
      <ns0:c r="F187" s="71" t="inlineStr">
        <ns0:is>
          <ns0:t>J</ns0:t>
        </ns0:is>
      </ns0:c>
      <ns0:c r="G187" s="71" t="n">
        <ns0:v>0</ns0:v>
      </ns0:c>
      <ns0:c r="H187" s="71" t="n">
        <ns0:v>32</ns0:v>
      </ns0:c>
      <ns0:c r="I187" s="72" t="inlineStr">
        <ns0:is>
          <ns0:t>0x000002E8</ns0:t>
        </ns0:is>
      </ns0:c>
      <ns0:c r="J187" s="72" t="inlineStr">
        <ns0:is>
          <ns0:t>00000010000000000000000011101111</ns0:t>
        </ns0:is>
      </ns0:c>
      <ns0:c r="K187" s="73" t="inlineStr">
        <ns0:is>
          <ns0:t>PC ← 0x000002E8; rd (ra) ← PC+4. Смещение +32 байт относительно PC.</ns0:t>
        </ns0:is>
      </ns0:c>
      <ns0:c r="L187" s="70" t="inlineStr">
        <ns0:is>
          <ns0:t>Только ROM</ns0:t>
        </ns0:is>
      </ns0:c>
      <ns0:c r="M187" s="74" t="inlineStr">
        <ns0:is>
          <ns0:t>31
0
imm[20]</ns0:t>
        </ns0:is>
      </ns0:c>
      <ns0:c r="N187" s="74" t="inlineStr">
        <ns0:is>
          <ns0:t>30–21
0000010000
imm[10:1]</ns0:t>
        </ns0:is>
      </ns0:c>
      <ns0:c r="O187" s="74" t="inlineStr">
        <ns0:is>
          <ns0:t>20
0
imm[11]</ns0:t>
        </ns0:is>
      </ns0:c>
      <ns0:c r="P187" s="74" t="inlineStr">
        <ns0:is>
          <ns0:t>19–12
00000000
imm[19:12]</ns0:t>
        </ns0:is>
      </ns0:c>
      <ns0:c r="Q187" s="75" t="inlineStr">
        <ns0:is>
          <ns0:t>11–7
00001
rd</ns0:t>
        </ns0:is>
      </ns0:c>
      <ns0:c r="R187" s="76" t="inlineStr">
        <ns0:is>
          <ns0:t>6–0
1101111
opcode</ns0:t>
        </ns0:is>
      </ns0:c>
    </ns0:row>
    <ns0:row r="188" ht="52" customHeight="1">
      <ns0:c r="A188" s="77" t="n">
        <ns0:v>180</ns0:v>
      </ns0:c>
      <ns0:c r="B188" s="78" t="inlineStr">
        <ns0:is>
          <ns0:t>0x000002CC</ns0:t>
        </ns0:is>
      </ns0:c>
      <ns0:c r="C188" s="78" t="inlineStr">
        <ns0:is>
          <ns0:t>0x00855313</ns0:t>
        </ns0:is>
      </ns0:c>
      <ns0:c r="D188" s="79" t="inlineStr">
        <ns0:is>
          <ns0:t>srli t1, a0, 8</ns0:t>
        </ns0:is>
      </ns0:c>
      <ns0:c r="E188" s="80" t="inlineStr">
        <ns0:is>
          <ns0:t>srli</ns0:t>
        </ns0:is>
      </ns0:c>
      <ns0:c r="F188" s="80" t="inlineStr">
        <ns0:is>
          <ns0:t>I-shift</ns0:t>
        </ns0:is>
      </ns0:c>
      <ns0:c r="G188" s="80" t="n">
        <ns0:v>0</ns0:v>
      </ns0:c>
      <ns0:c r="H188" s="80" t="n">
        <ns0:v>8</ns0:v>
      </ns0:c>
      <ns0:c r="I188" s="81" t="inlineStr">
        <ns0:is>
          <ns0:t>—</ns0:t>
        </ns0:is>
      </ns0:c>
      <ns0:c r="J188" s="81" t="inlineStr">
        <ns0:is>
          <ns0:t>00000000100001010101001100010011</ns0:t>
        </ns0:is>
      </ns0:c>
      <ns0:c r="K188" s="82" t="inlineStr">
        <ns0:is>
          <ns0:t>t1 ← unsigned(a0) &gt;&gt; 8 (заполнение старших разрядов нулями).</ns0:t>
        </ns0:is>
      </ns0:c>
      <ns0:c r="L188" s="79" t="inlineStr">
        <ns0:is>
          <ns0:t>Только ROM</ns0:t>
        </ns0:is>
      </ns0:c>
      <ns0:c r="M188" s="83" t="inlineStr">
        <ns0:is>
          <ns0:t>31–25
0000000
funct7</ns0:t>
        </ns0:is>
      </ns0:c>
      <ns0:c r="N188" s="87" t="inlineStr">
        <ns0:is>
          <ns0:t>24–20
01000
shamt[4:0]</ns0:t>
        </ns0:is>
      </ns0:c>
      <ns0:c r="O188" s="75" t="inlineStr">
        <ns0:is>
          <ns0:t>19–15
01010
rs1</ns0:t>
        </ns0:is>
      </ns0:c>
      <ns0:c r="P188" s="83" t="inlineStr">
        <ns0:is>
          <ns0:t>14–12
101
funct3</ns0:t>
        </ns0:is>
      </ns0:c>
      <ns0:c r="Q188" s="75" t="inlineStr">
        <ns0:is>
          <ns0:t>11–7
00110
rd</ns0:t>
        </ns0:is>
      </ns0:c>
      <ns0:c r="R188" s="76" t="inlineStr">
        <ns0:is>
          <ns0:t>6–0
0010011
opcode</ns0:t>
        </ns0:is>
      </ns0:c>
    </ns0:row>
    <ns0:row r="189" ht="52" customHeight="1">
      <ns0:c r="A189" s="68" t="n">
        <ns0:v>181</ns0:v>
      </ns0:c>
      <ns0:c r="B189" s="69" t="inlineStr">
        <ns0:is>
          <ns0:t>0x000002D0</ns0:t>
        </ns0:is>
      </ns0:c>
      <ns0:c r="C189" s="69" t="inlineStr">
        <ns0:is>
          <ns0:t>0x018000EF</ns0:t>
        </ns0:is>
      </ns0:c>
      <ns0:c r="D189" s="70" t="inlineStr">
        <ns0:is>
          <ns0:t>jal ra, 0x000002e8</ns0:t>
        </ns0:is>
      </ns0:c>
      <ns0:c r="E189" s="71" t="inlineStr">
        <ns0:is>
          <ns0:t>jal</ns0:t>
        </ns0:is>
      </ns0:c>
      <ns0:c r="F189" s="71" t="inlineStr">
        <ns0:is>
          <ns0:t>J</ns0:t>
        </ns0:is>
      </ns0:c>
      <ns0:c r="G189" s="71" t="n">
        <ns0:v>0</ns0:v>
      </ns0:c>
      <ns0:c r="H189" s="71" t="n">
        <ns0:v>24</ns0:v>
      </ns0:c>
      <ns0:c r="I189" s="72" t="inlineStr">
        <ns0:is>
          <ns0:t>0x000002E8</ns0:t>
        </ns0:is>
      </ns0:c>
      <ns0:c r="J189" s="72" t="inlineStr">
        <ns0:is>
          <ns0:t>00000001100000000000000011101111</ns0:t>
        </ns0:is>
      </ns0:c>
      <ns0:c r="K189" s="73" t="inlineStr">
        <ns0:is>
          <ns0:t>PC ← 0x000002E8; rd (ra) ← PC+4. Смещение +24 байт относительно PC.</ns0:t>
        </ns0:is>
      </ns0:c>
      <ns0:c r="L189" s="70" t="inlineStr">
        <ns0:is>
          <ns0:t>Только ROM</ns0:t>
        </ns0:is>
      </ns0:c>
      <ns0:c r="M189" s="74" t="inlineStr">
        <ns0:is>
          <ns0:t>31
0
imm[20]</ns0:t>
        </ns0:is>
      </ns0:c>
      <ns0:c r="N189" s="74" t="inlineStr">
        <ns0:is>
          <ns0:t>30–21
0000001100
imm[10:1]</ns0:t>
        </ns0:is>
      </ns0:c>
      <ns0:c r="O189" s="74" t="inlineStr">
        <ns0:is>
          <ns0:t>20
0
imm[11]</ns0:t>
        </ns0:is>
      </ns0:c>
      <ns0:c r="P189" s="74" t="inlineStr">
        <ns0:is>
          <ns0:t>19–12
00000000
imm[19:12]</ns0:t>
        </ns0:is>
      </ns0:c>
      <ns0:c r="Q189" s="75" t="inlineStr">
        <ns0:is>
          <ns0:t>11–7
00001
rd</ns0:t>
        </ns0:is>
      </ns0:c>
      <ns0:c r="R189" s="76" t="inlineStr">
        <ns0:is>
          <ns0:t>6–0
1101111
opcode</ns0:t>
        </ns0:is>
      </ns0:c>
    </ns0:row>
    <ns0:row r="190" ht="52" customHeight="1">
      <ns0:c r="A190" s="77" t="n">
        <ns0:v>182</ns0:v>
      </ns0:c>
      <ns0:c r="B190" s="78" t="inlineStr">
        <ns0:is>
          <ns0:t>0x000002D4</ns0:t>
        </ns0:is>
      </ns0:c>
      <ns0:c r="C190" s="78" t="inlineStr">
        <ns0:is>
          <ns0:t>0x00455313</ns0:t>
        </ns0:is>
      </ns0:c>
      <ns0:c r="D190" s="79" t="inlineStr">
        <ns0:is>
          <ns0:t>srli t1, a0, 4</ns0:t>
        </ns0:is>
      </ns0:c>
      <ns0:c r="E190" s="80" t="inlineStr">
        <ns0:is>
          <ns0:t>srli</ns0:t>
        </ns0:is>
      </ns0:c>
      <ns0:c r="F190" s="80" t="inlineStr">
        <ns0:is>
          <ns0:t>I-shift</ns0:t>
        </ns0:is>
      </ns0:c>
      <ns0:c r="G190" s="80" t="n">
        <ns0:v>0</ns0:v>
      </ns0:c>
      <ns0:c r="H190" s="80" t="n">
        <ns0:v>4</ns0:v>
      </ns0:c>
      <ns0:c r="I190" s="81" t="inlineStr">
        <ns0:is>
          <ns0:t>—</ns0:t>
        </ns0:is>
      </ns0:c>
      <ns0:c r="J190" s="81" t="inlineStr">
        <ns0:is>
          <ns0:t>00000000010001010101001100010011</ns0:t>
        </ns0:is>
      </ns0:c>
      <ns0:c r="K190" s="82" t="inlineStr">
        <ns0:is>
          <ns0:t>t1 ← unsigned(a0) &gt;&gt; 4 (заполнение старших разрядов нулями).</ns0:t>
        </ns0:is>
      </ns0:c>
      <ns0:c r="L190" s="79" t="inlineStr">
        <ns0:is>
          <ns0:t>Только ROM</ns0:t>
        </ns0:is>
      </ns0:c>
      <ns0:c r="M190" s="83" t="inlineStr">
        <ns0:is>
          <ns0:t>31–25
0000000
funct7</ns0:t>
        </ns0:is>
      </ns0:c>
      <ns0:c r="N190" s="87" t="inlineStr">
        <ns0:is>
          <ns0:t>24–20
00100
shamt[4:0]</ns0:t>
        </ns0:is>
      </ns0:c>
      <ns0:c r="O190" s="75" t="inlineStr">
        <ns0:is>
          <ns0:t>19–15
01010
rs1</ns0:t>
        </ns0:is>
      </ns0:c>
      <ns0:c r="P190" s="83" t="inlineStr">
        <ns0:is>
          <ns0:t>14–12
101
funct3</ns0:t>
        </ns0:is>
      </ns0:c>
      <ns0:c r="Q190" s="75" t="inlineStr">
        <ns0:is>
          <ns0:t>11–7
00110
rd</ns0:t>
        </ns0:is>
      </ns0:c>
      <ns0:c r="R190" s="76" t="inlineStr">
        <ns0:is>
          <ns0:t>6–0
0010011
opcode</ns0:t>
        </ns0:is>
      </ns0:c>
    </ns0:row>
    <ns0:row r="191" ht="52" customHeight="1">
      <ns0:c r="A191" s="68" t="n">
        <ns0:v>183</ns0:v>
      </ns0:c>
      <ns0:c r="B191" s="69" t="inlineStr">
        <ns0:is>
          <ns0:t>0x000002D8</ns0:t>
        </ns0:is>
      </ns0:c>
      <ns0:c r="C191" s="69" t="inlineStr">
        <ns0:is>
          <ns0:t>0x010000EF</ns0:t>
        </ns0:is>
      </ns0:c>
      <ns0:c r="D191" s="70" t="inlineStr">
        <ns0:is>
          <ns0:t>jal ra, 0x000002e8</ns0:t>
        </ns0:is>
      </ns0:c>
      <ns0:c r="E191" s="71" t="inlineStr">
        <ns0:is>
          <ns0:t>jal</ns0:t>
        </ns0:is>
      </ns0:c>
      <ns0:c r="F191" s="71" t="inlineStr">
        <ns0:is>
          <ns0:t>J</ns0:t>
        </ns0:is>
      </ns0:c>
      <ns0:c r="G191" s="71" t="n">
        <ns0:v>0</ns0:v>
      </ns0:c>
      <ns0:c r="H191" s="71" t="n">
        <ns0:v>16</ns0:v>
      </ns0:c>
      <ns0:c r="I191" s="72" t="inlineStr">
        <ns0:is>
          <ns0:t>0x000002E8</ns0:t>
        </ns0:is>
      </ns0:c>
      <ns0:c r="J191" s="72" t="inlineStr">
        <ns0:is>
          <ns0:t>00000001000000000000000011101111</ns0:t>
        </ns0:is>
      </ns0:c>
      <ns0:c r="K191" s="73" t="inlineStr">
        <ns0:is>
          <ns0:t>PC ← 0x000002E8; rd (ra) ← PC+4. Смещение +16 байт относительно PC.</ns0:t>
        </ns0:is>
      </ns0:c>
      <ns0:c r="L191" s="70" t="inlineStr">
        <ns0:is>
          <ns0:t>Только ROM</ns0:t>
        </ns0:is>
      </ns0:c>
      <ns0:c r="M191" s="74" t="inlineStr">
        <ns0:is>
          <ns0:t>31
0
imm[20]</ns0:t>
        </ns0:is>
      </ns0:c>
      <ns0:c r="N191" s="74" t="inlineStr">
        <ns0:is>
          <ns0:t>30–21
0000001000
imm[10:1]</ns0:t>
        </ns0:is>
      </ns0:c>
      <ns0:c r="O191" s="74" t="inlineStr">
        <ns0:is>
          <ns0:t>20
0
imm[11]</ns0:t>
        </ns0:is>
      </ns0:c>
      <ns0:c r="P191" s="74" t="inlineStr">
        <ns0:is>
          <ns0:t>19–12
00000000
imm[19:12]</ns0:t>
        </ns0:is>
      </ns0:c>
      <ns0:c r="Q191" s="75" t="inlineStr">
        <ns0:is>
          <ns0:t>11–7
00001
rd</ns0:t>
        </ns0:is>
      </ns0:c>
      <ns0:c r="R191" s="76" t="inlineStr">
        <ns0:is>
          <ns0:t>6–0
1101111
opcode</ns0:t>
        </ns0:is>
      </ns0:c>
    </ns0:row>
    <ns0:row r="192" ht="52" customHeight="1">
      <ns0:c r="A192" s="77" t="n">
        <ns0:v>184</ns0:v>
      </ns0:c>
      <ns0:c r="B192" s="78" t="inlineStr">
        <ns0:is>
          <ns0:t>0x000002DC</ns0:t>
        </ns0:is>
      </ns0:c>
      <ns0:c r="C192" s="78" t="inlineStr">
        <ns0:is>
          <ns0:t>0x00050313</ns0:t>
        </ns0:is>
      </ns0:c>
      <ns0:c r="D192" s="79" t="inlineStr">
        <ns0:is>
          <ns0:t>addi t1, a0, 0</ns0:t>
        </ns0:is>
      </ns0:c>
      <ns0:c r="E192" s="80" t="inlineStr">
        <ns0:is>
          <ns0:t>addi</ns0:t>
        </ns0:is>
      </ns0:c>
      <ns0:c r="F192" s="80" t="inlineStr">
        <ns0:is>
          <ns0:t>I</ns0:t>
        </ns0:is>
      </ns0:c>
      <ns0:c r="G192" s="80" t="n">
        <ns0:v>0</ns0:v>
      </ns0:c>
      <ns0:c r="H192" s="80" t="n">
        <ns0:v>0</ns0:v>
      </ns0:c>
      <ns0:c r="I192" s="81" t="inlineStr">
        <ns0:is>
          <ns0:t>—</ns0:t>
        </ns0:is>
      </ns0:c>
      <ns0:c r="J192" s="81" t="inlineStr">
        <ns0:is>
          <ns0:t>00000000000001010000001100010011</ns0:t>
        </ns0:is>
      </ns0:c>
      <ns0:c r="K192" s="82" t="inlineStr">
        <ns0:is>
          <ns0:t>t1 ← a0 + (+0); арифметика RV32I по модулю 2³².</ns0:t>
        </ns0:is>
      </ns0:c>
      <ns0:c r="L192" s="79" t="inlineStr">
        <ns0:is>
          <ns0:t>Только ROM</ns0:t>
        </ns0:is>
      </ns0:c>
      <ns0:c r="M192" s="74" t="inlineStr">
        <ns0:is>
          <ns0:t>31–20
000000000000
imm[11:0]</ns0:t>
        </ns0:is>
      </ns0:c>
      <ns0:c r="N192" s="75" t="inlineStr">
        <ns0:is>
          <ns0:t>19–15
01010
rs1</ns0:t>
        </ns0:is>
      </ns0:c>
      <ns0:c r="O192" s="83" t="inlineStr">
        <ns0:is>
          <ns0:t>14–12
000
funct3</ns0:t>
        </ns0:is>
      </ns0:c>
      <ns0:c r="P192" s="75" t="inlineStr">
        <ns0:is>
          <ns0:t>11–7
00110
rd</ns0:t>
        </ns0:is>
      </ns0:c>
      <ns0:c r="Q192" s="76" t="inlineStr">
        <ns0:is>
          <ns0:t>6–0
0010011
opcode</ns0:t>
        </ns0:is>
      </ns0:c>
    </ns0:row>
    <ns0:row r="193" ht="52" customHeight="1">
      <ns0:c r="A193" s="68" t="n">
        <ns0:v>185</ns0:v>
      </ns0:c>
      <ns0:c r="B193" s="69" t="inlineStr">
        <ns0:is>
          <ns0:t>0x000002E0</ns0:t>
        </ns0:is>
      </ns0:c>
      <ns0:c r="C193" s="69" t="inlineStr">
        <ns0:is>
          <ns0:t>0x008000EF</ns0:t>
        </ns0:is>
      </ns0:c>
      <ns0:c r="D193" s="70" t="inlineStr">
        <ns0:is>
          <ns0:t>jal ra, 0x000002e8</ns0:t>
        </ns0:is>
      </ns0:c>
      <ns0:c r="E193" s="71" t="inlineStr">
        <ns0:is>
          <ns0:t>jal</ns0:t>
        </ns0:is>
      </ns0:c>
      <ns0:c r="F193" s="71" t="inlineStr">
        <ns0:is>
          <ns0:t>J</ns0:t>
        </ns0:is>
      </ns0:c>
      <ns0:c r="G193" s="71" t="n">
        <ns0:v>0</ns0:v>
      </ns0:c>
      <ns0:c r="H193" s="71" t="n">
        <ns0:v>8</ns0:v>
      </ns0:c>
      <ns0:c r="I193" s="72" t="inlineStr">
        <ns0:is>
          <ns0:t>0x000002E8</ns0:t>
        </ns0:is>
      </ns0:c>
      <ns0:c r="J193" s="72" t="inlineStr">
        <ns0:is>
          <ns0:t>00000000100000000000000011101111</ns0:t>
        </ns0:is>
      </ns0:c>
      <ns0:c r="K193" s="73" t="inlineStr">
        <ns0:is>
          <ns0:t>PC ← 0x000002E8; rd (ra) ← PC+4. Смещение +8 байт относительно PC.</ns0:t>
        </ns0:is>
      </ns0:c>
      <ns0:c r="L193" s="70" t="inlineStr">
        <ns0:is>
          <ns0:t>Только ROM</ns0:t>
        </ns0:is>
      </ns0:c>
      <ns0:c r="M193" s="74" t="inlineStr">
        <ns0:is>
          <ns0:t>31
0
imm[20]</ns0:t>
        </ns0:is>
      </ns0:c>
      <ns0:c r="N193" s="74" t="inlineStr">
        <ns0:is>
          <ns0:t>30–21
0000000100
imm[10:1]</ns0:t>
        </ns0:is>
      </ns0:c>
      <ns0:c r="O193" s="74" t="inlineStr">
        <ns0:is>
          <ns0:t>20
0
imm[11]</ns0:t>
        </ns0:is>
      </ns0:c>
      <ns0:c r="P193" s="74" t="inlineStr">
        <ns0:is>
          <ns0:t>19–12
00000000
imm[19:12]</ns0:t>
        </ns0:is>
      </ns0:c>
      <ns0:c r="Q193" s="75" t="inlineStr">
        <ns0:is>
          <ns0:t>11–7
00001
rd</ns0:t>
        </ns0:is>
      </ns0:c>
      <ns0:c r="R193" s="76" t="inlineStr">
        <ns0:is>
          <ns0:t>6–0
1101111
opcode</ns0:t>
        </ns0:is>
      </ns0:c>
    </ns0:row>
    <ns0:row r="194" ht="52" customHeight="1">
      <ns0:c r="A194" s="77" t="n">
        <ns0:v>186</ns0:v>
      </ns0:c>
      <ns0:c r="B194" s="78" t="inlineStr">
        <ns0:is>
          <ns0:t>0x000002E4</ns0:t>
        </ns0:is>
      </ns0:c>
      <ns0:c r="C194" s="78" t="inlineStr">
        <ns0:is>
          <ns0:t>0x000B8067</ns0:t>
        </ns0:is>
      </ns0:c>
      <ns0:c r="D194" s="79" t="inlineStr">
        <ns0:is>
          <ns0:t>jalr zero, 0(s7)</ns0:t>
        </ns0:is>
      </ns0:c>
      <ns0:c r="E194" s="80" t="inlineStr">
        <ns0:is>
          <ns0:t>jalr</ns0:t>
        </ns0:is>
      </ns0:c>
      <ns0:c r="F194" s="80" t="inlineStr">
        <ns0:is>
          <ns0:t>I</ns0:t>
        </ns0:is>
      </ns0:c>
      <ns0:c r="G194" s="80" t="n">
        <ns0:v>0</ns0:v>
      </ns0:c>
      <ns0:c r="H194" s="80" t="n">
        <ns0:v>0</ns0:v>
      </ns0:c>
      <ns0:c r="I194" s="81" t="inlineStr">
        <ns0:is>
          <ns0:t>—</ns0:t>
        </ns0:is>
      </ns0:c>
      <ns0:c r="J194" s="81" t="inlineStr">
        <ns0:is>
          <ns0:t>00000000000010111000000001100111</ns0:t>
        </ns0:is>
      </ns0:c>
      <ns0:c r="K194" s="82" t="inlineStr">
        <ns0:is>
          <ns0:t>PC ← (s7 +0) &amp; ~1; zero ← PC+4. При rd=zero значение возврата отбрасывается.</ns0:t>
        </ns0:is>
      </ns0:c>
      <ns0:c r="L194" s="79" t="inlineStr">
        <ns0:is>
          <ns0:t>Только ROM</ns0:t>
        </ns0:is>
      </ns0:c>
      <ns0:c r="M194" s="74" t="inlineStr">
        <ns0:is>
          <ns0:t>31–20
000000000000
imm[11:0]</ns0:t>
        </ns0:is>
      </ns0:c>
      <ns0:c r="N194" s="75" t="inlineStr">
        <ns0:is>
          <ns0:t>19–15
10111
rs1</ns0:t>
        </ns0:is>
      </ns0:c>
      <ns0:c r="O194" s="83" t="inlineStr">
        <ns0:is>
          <ns0:t>14–12
000
funct3</ns0:t>
        </ns0:is>
      </ns0:c>
      <ns0:c r="P194" s="75" t="inlineStr">
        <ns0:is>
          <ns0:t>11–7
00000
rd</ns0:t>
        </ns0:is>
      </ns0:c>
      <ns0:c r="Q194" s="76" t="inlineStr">
        <ns0:is>
          <ns0:t>6–0
1100111
opcode</ns0:t>
        </ns0:is>
      </ns0:c>
    </ns0:row>
    <ns0:row r="195" ht="52" customHeight="1">
      <ns0:c r="A195" s="68" t="n">
        <ns0:v>187</ns0:v>
      </ns0:c>
      <ns0:c r="B195" s="69" t="inlineStr">
        <ns0:is>
          <ns0:t>0x000002E8</ns0:t>
        </ns0:is>
      </ns0:c>
      <ns0:c r="C195" s="69" t="inlineStr">
        <ns0:is>
          <ns0:t>0x00008B13</ns0:t>
        </ns0:is>
      </ns0:c>
      <ns0:c r="D195" s="70" t="inlineStr">
        <ns0:is>
          <ns0:t>addi s6, ra, 0</ns0:t>
        </ns0:is>
      </ns0:c>
      <ns0:c r="E195" s="71" t="inlineStr">
        <ns0:is>
          <ns0:t>addi</ns0:t>
        </ns0:is>
      </ns0:c>
      <ns0:c r="F195" s="71" t="inlineStr">
        <ns0:is>
          <ns0:t>I</ns0:t>
        </ns0:is>
      </ns0:c>
      <ns0:c r="G195" s="71" t="n">
        <ns0:v>0</ns0:v>
      </ns0:c>
      <ns0:c r="H195" s="71" t="n">
        <ns0:v>0</ns0:v>
      </ns0:c>
      <ns0:c r="I195" s="72" t="inlineStr">
        <ns0:is>
          <ns0:t>—</ns0:t>
        </ns0:is>
      </ns0:c>
      <ns0:c r="J195" s="72" t="inlineStr">
        <ns0:is>
          <ns0:t>00000000000000001000101100010011</ns0:t>
        </ns0:is>
      </ns0:c>
      <ns0:c r="K195" s="73" t="inlineStr">
        <ns0:is>
          <ns0:t>s6 ← ra + (+0); арифметика RV32I по модулю 2³².</ns0:t>
        </ns0:is>
      </ns0:c>
      <ns0:c r="L195" s="70" t="inlineStr">
        <ns0:is>
          <ns0:t>Только ROM</ns0:t>
        </ns0:is>
      </ns0:c>
      <ns0:c r="M195" s="74" t="inlineStr">
        <ns0:is>
          <ns0:t>31–20
000000000000
imm[11:0]</ns0:t>
        </ns0:is>
      </ns0:c>
      <ns0:c r="N195" s="75" t="inlineStr">
        <ns0:is>
          <ns0:t>19–15
00001
rs1</ns0:t>
        </ns0:is>
      </ns0:c>
      <ns0:c r="O195" s="83" t="inlineStr">
        <ns0:is>
          <ns0:t>14–12
000
funct3</ns0:t>
        </ns0:is>
      </ns0:c>
      <ns0:c r="P195" s="75" t="inlineStr">
        <ns0:is>
          <ns0:t>11–7
10110
rd</ns0:t>
        </ns0:is>
      </ns0:c>
      <ns0:c r="Q195" s="76" t="inlineStr">
        <ns0:is>
          <ns0:t>6–0
0010011
opcode</ns0:t>
        </ns0:is>
      </ns0:c>
    </ns0:row>
    <ns0:row r="196" ht="52" customHeight="1">
      <ns0:c r="A196" s="77" t="n">
        <ns0:v>188</ns0:v>
      </ns0:c>
      <ns0:c r="B196" s="78" t="inlineStr">
        <ns0:is>
          <ns0:t>0x000002EC</ns0:t>
        </ns0:is>
      </ns0:c>
      <ns0:c r="C196" s="78" t="inlineStr">
        <ns0:is>
          <ns0:t>0x00F37313</ns0:t>
        </ns0:is>
      </ns0:c>
      <ns0:c r="D196" s="79" t="inlineStr">
        <ns0:is>
          <ns0:t>andi t1, t1, 15</ns0:t>
        </ns0:is>
      </ns0:c>
      <ns0:c r="E196" s="80" t="inlineStr">
        <ns0:is>
          <ns0:t>andi</ns0:t>
        </ns0:is>
      </ns0:c>
      <ns0:c r="F196" s="80" t="inlineStr">
        <ns0:is>
          <ns0:t>I</ns0:t>
        </ns0:is>
      </ns0:c>
      <ns0:c r="G196" s="80" t="n">
        <ns0:v>0</ns0:v>
      </ns0:c>
      <ns0:c r="H196" s="80" t="n">
        <ns0:v>15</ns0:v>
      </ns0:c>
      <ns0:c r="I196" s="81" t="inlineStr">
        <ns0:is>
          <ns0:t>—</ns0:t>
        </ns0:is>
      </ns0:c>
      <ns0:c r="J196" s="81" t="inlineStr">
        <ns0:is>
          <ns0:t>00000000111100110111001100010011</ns0:t>
        </ns0:is>
      </ns0:c>
      <ns0:c r="K196" s="82" t="inlineStr">
        <ns0:is>
          <ns0:t>t1 ← t1 AND (+15); побитовое И с sign_extend(imm).</ns0:t>
        </ns0:is>
      </ns0:c>
      <ns0:c r="L196" s="79" t="inlineStr">
        <ns0:is>
          <ns0:t>Только ROM</ns0:t>
        </ns0:is>
      </ns0:c>
      <ns0:c r="M196" s="74" t="inlineStr">
        <ns0:is>
          <ns0:t>31–20
000000001111
imm[11:0]</ns0:t>
        </ns0:is>
      </ns0:c>
      <ns0:c r="N196" s="75" t="inlineStr">
        <ns0:is>
          <ns0:t>19–15
00110
rs1</ns0:t>
        </ns0:is>
      </ns0:c>
      <ns0:c r="O196" s="83" t="inlineStr">
        <ns0:is>
          <ns0:t>14–12
111
funct3</ns0:t>
        </ns0:is>
      </ns0:c>
      <ns0:c r="P196" s="75" t="inlineStr">
        <ns0:is>
          <ns0:t>11–7
00110
rd</ns0:t>
        </ns0:is>
      </ns0:c>
      <ns0:c r="Q196" s="76" t="inlineStr">
        <ns0:is>
          <ns0:t>6–0
0010011
opcode</ns0:t>
        </ns0:is>
      </ns0:c>
    </ns0:row>
    <ns0:row r="197" ht="52" customHeight="1">
      <ns0:c r="A197" s="68" t="n">
        <ns0:v>189</ns0:v>
      </ns0:c>
      <ns0:c r="B197" s="69" t="inlineStr">
        <ns0:is>
          <ns0:t>0x000002F0</ns0:t>
        </ns0:is>
      </ns0:c>
      <ns0:c r="C197" s="69" t="inlineStr">
        <ns0:is>
          <ns0:t>0xFF630393</ns0:t>
        </ns0:is>
      </ns0:c>
      <ns0:c r="D197" s="70" t="inlineStr">
        <ns0:is>
          <ns0:t>addi t2, t1, -10</ns0:t>
        </ns0:is>
      </ns0:c>
      <ns0:c r="E197" s="71" t="inlineStr">
        <ns0:is>
          <ns0:t>addi</ns0:t>
        </ns0:is>
      </ns0:c>
      <ns0:c r="F197" s="71" t="inlineStr">
        <ns0:is>
          <ns0:t>I</ns0:t>
        </ns0:is>
      </ns0:c>
      <ns0:c r="G197" s="71" t="n">
        <ns0:v>0</ns0:v>
      </ns0:c>
      <ns0:c r="H197" s="71" t="n">
        <ns0:v>-10</ns0:v>
      </ns0:c>
      <ns0:c r="I197" s="72" t="inlineStr">
        <ns0:is>
          <ns0:t>—</ns0:t>
        </ns0:is>
      </ns0:c>
      <ns0:c r="J197" s="72" t="inlineStr">
        <ns0:is>
          <ns0:t>11111111011000110000001110010011</ns0:t>
        </ns0:is>
      </ns0:c>
      <ns0:c r="K197" s="73" t="inlineStr">
        <ns0:is>
          <ns0:t>t2 ← t1 + (-10); арифметика RV32I по модулю 2³².</ns0:t>
        </ns0:is>
      </ns0:c>
      <ns0:c r="L197" s="70" t="inlineStr">
        <ns0:is>
          <ns0:t>Только ROM</ns0:t>
        </ns0:is>
      </ns0:c>
      <ns0:c r="M197" s="74" t="inlineStr">
        <ns0:is>
          <ns0:t>31–20
111111110110
imm[11:0]</ns0:t>
        </ns0:is>
      </ns0:c>
      <ns0:c r="N197" s="75" t="inlineStr">
        <ns0:is>
          <ns0:t>19–15
00110
rs1</ns0:t>
        </ns0:is>
      </ns0:c>
      <ns0:c r="O197" s="83" t="inlineStr">
        <ns0:is>
          <ns0:t>14–12
000
funct3</ns0:t>
        </ns0:is>
      </ns0:c>
      <ns0:c r="P197" s="75" t="inlineStr">
        <ns0:is>
          <ns0:t>11–7
00111
rd</ns0:t>
        </ns0:is>
      </ns0:c>
      <ns0:c r="Q197" s="76" t="inlineStr">
        <ns0:is>
          <ns0:t>6–0
0010011
opcode</ns0:t>
        </ns0:is>
      </ns0:c>
    </ns0:row>
    <ns0:row r="198" ht="52" customHeight="1">
      <ns0:c r="A198" s="77" t="n">
        <ns0:v>190</ns0:v>
      </ns0:c>
      <ns0:c r="B198" s="78" t="inlineStr">
        <ns0:is>
          <ns0:t>0x000002F4</ns0:t>
        </ns0:is>
      </ns0:c>
      <ns0:c r="C198" s="78" t="inlineStr">
        <ns0:is>
          <ns0:t>0x01F3D393</ns0:t>
        </ns0:is>
      </ns0:c>
      <ns0:c r="D198" s="79" t="inlineStr">
        <ns0:is>
          <ns0:t>srli t2, t2, 31</ns0:t>
        </ns0:is>
      </ns0:c>
      <ns0:c r="E198" s="80" t="inlineStr">
        <ns0:is>
          <ns0:t>srli</ns0:t>
        </ns0:is>
      </ns0:c>
      <ns0:c r="F198" s="80" t="inlineStr">
        <ns0:is>
          <ns0:t>I-shift</ns0:t>
        </ns0:is>
      </ns0:c>
      <ns0:c r="G198" s="80" t="n">
        <ns0:v>0</ns0:v>
      </ns0:c>
      <ns0:c r="H198" s="80" t="n">
        <ns0:v>31</ns0:v>
      </ns0:c>
      <ns0:c r="I198" s="81" t="inlineStr">
        <ns0:is>
          <ns0:t>—</ns0:t>
        </ns0:is>
      </ns0:c>
      <ns0:c r="J198" s="81" t="inlineStr">
        <ns0:is>
          <ns0:t>00000001111100111101001110010011</ns0:t>
        </ns0:is>
      </ns0:c>
      <ns0:c r="K198" s="82" t="inlineStr">
        <ns0:is>
          <ns0:t>t2 ← unsigned(t2) &gt;&gt; 31 (заполнение старших разрядов нулями).</ns0:t>
        </ns0:is>
      </ns0:c>
      <ns0:c r="L198" s="79" t="inlineStr">
        <ns0:is>
          <ns0:t>Только ROM</ns0:t>
        </ns0:is>
      </ns0:c>
      <ns0:c r="M198" s="83" t="inlineStr">
        <ns0:is>
          <ns0:t>31–25
0000000
funct7</ns0:t>
        </ns0:is>
      </ns0:c>
      <ns0:c r="N198" s="87" t="inlineStr">
        <ns0:is>
          <ns0:t>24–20
11111
shamt[4:0]</ns0:t>
        </ns0:is>
      </ns0:c>
      <ns0:c r="O198" s="75" t="inlineStr">
        <ns0:is>
          <ns0:t>19–15
00111
rs1</ns0:t>
        </ns0:is>
      </ns0:c>
      <ns0:c r="P198" s="83" t="inlineStr">
        <ns0:is>
          <ns0:t>14–12
101
funct3</ns0:t>
        </ns0:is>
      </ns0:c>
      <ns0:c r="Q198" s="75" t="inlineStr">
        <ns0:is>
          <ns0:t>11–7
00111
rd</ns0:t>
        </ns0:is>
      </ns0:c>
      <ns0:c r="R198" s="76" t="inlineStr">
        <ns0:is>
          <ns0:t>6–0
0010011
opcode</ns0:t>
        </ns0:is>
      </ns0:c>
    </ns0:row>
    <ns0:row r="199" ht="52" customHeight="1">
      <ns0:c r="A199" s="68" t="n">
        <ns0:v>191</ns0:v>
      </ns0:c>
      <ns0:c r="B199" s="69" t="inlineStr">
        <ns0:is>
          <ns0:t>0x000002F8</ns0:t>
        </ns0:is>
      </ns0:c>
      <ns0:c r="C199" s="69" t="inlineStr">
        <ns0:is>
          <ns0:t>0x00038863</ns0:t>
        </ns0:is>
      </ns0:c>
      <ns0:c r="D199" s="70" t="inlineStr">
        <ns0:is>
          <ns0:t>beq t2, zero, 0x00000308</ns0:t>
        </ns0:is>
      </ns0:c>
      <ns0:c r="E199" s="71" t="inlineStr">
        <ns0:is>
          <ns0:t>beq</ns0:t>
        </ns0:is>
      </ns0:c>
      <ns0:c r="F199" s="71" t="inlineStr">
        <ns0:is>
          <ns0:t>B</ns0:t>
        </ns0:is>
      </ns0:c>
      <ns0:c r="G199" s="71" t="n">
        <ns0:v>0</ns0:v>
      </ns0:c>
      <ns0:c r="H199" s="71" t="n">
        <ns0:v>16</ns0:v>
      </ns0:c>
      <ns0:c r="I199" s="72" t="inlineStr">
        <ns0:is>
          <ns0:t>0x00000308</ns0:t>
        </ns0:is>
      </ns0:c>
      <ns0:c r="J199" s="72" t="inlineStr">
        <ns0:is>
          <ns0:t>00000000000000111000100001100011</ns0:t>
        </ns0:is>
      </ns0:c>
      <ns0:c r="K199" s="73" t="inlineStr">
        <ns0:is>
          <ns0:t>Если t2 = zero, PC ← 0x00000308; иначе PC ← PC+4. Смещение +16 байт.</ns0:t>
        </ns0:is>
      </ns0:c>
      <ns0:c r="L199" s="70" t="inlineStr">
        <ns0:is>
          <ns0:t>Только ROM</ns0:t>
        </ns0:is>
      </ns0:c>
      <ns0:c r="M199" s="74" t="inlineStr">
        <ns0:is>
          <ns0:t>31
0
imm[12]</ns0:t>
        </ns0:is>
      </ns0:c>
      <ns0:c r="N199" s="74" t="inlineStr">
        <ns0:is>
          <ns0:t>30–25
000000
imm[10:5]</ns0:t>
        </ns0:is>
      </ns0:c>
      <ns0:c r="O199" s="75" t="inlineStr">
        <ns0:is>
          <ns0:t>24–20
00000
rs2</ns0:t>
        </ns0:is>
      </ns0:c>
      <ns0:c r="P199" s="75" t="inlineStr">
        <ns0:is>
          <ns0:t>19–15
00111
rs1</ns0:t>
        </ns0:is>
      </ns0:c>
      <ns0:c r="Q199" s="83" t="inlineStr">
        <ns0:is>
          <ns0:t>14–12
000
funct3</ns0:t>
        </ns0:is>
      </ns0:c>
      <ns0:c r="R199" s="74" t="inlineStr">
        <ns0:is>
          <ns0:t>11–8
1000
imm[4:1]</ns0:t>
        </ns0:is>
      </ns0:c>
      <ns0:c r="S199" s="74" t="inlineStr">
        <ns0:is>
          <ns0:t>7
0
imm[11]</ns0:t>
        </ns0:is>
      </ns0:c>
      <ns0:c r="T199" s="76" t="inlineStr">
        <ns0:is>
          <ns0:t>6–0
1100011
opcode</ns0:t>
        </ns0:is>
      </ns0:c>
    </ns0:row>
    <ns0:row r="200" ht="52" customHeight="1">
      <ns0:c r="A200" s="77" t="n">
        <ns0:v>192</ns0:v>
      </ns0:c>
      <ns0:c r="B200" s="78" t="inlineStr">
        <ns0:is>
          <ns0:t>0x000002FC</ns0:t>
        </ns0:is>
      </ns0:c>
      <ns0:c r="C200" s="78" t="inlineStr">
        <ns0:is>
          <ns0:t>0x03030313</ns0:t>
        </ns0:is>
      </ns0:c>
      <ns0:c r="D200" s="79" t="inlineStr">
        <ns0:is>
          <ns0:t>addi t1, t1, 48</ns0:t>
        </ns0:is>
      </ns0:c>
      <ns0:c r="E200" s="80" t="inlineStr">
        <ns0:is>
          <ns0:t>addi</ns0:t>
        </ns0:is>
      </ns0:c>
      <ns0:c r="F200" s="80" t="inlineStr">
        <ns0:is>
          <ns0:t>I</ns0:t>
        </ns0:is>
      </ns0:c>
      <ns0:c r="G200" s="80" t="n">
        <ns0:v>0</ns0:v>
      </ns0:c>
      <ns0:c r="H200" s="80" t="n">
        <ns0:v>48</ns0:v>
      </ns0:c>
      <ns0:c r="I200" s="81" t="inlineStr">
        <ns0:is>
          <ns0:t>—</ns0:t>
        </ns0:is>
      </ns0:c>
      <ns0:c r="J200" s="81" t="inlineStr">
        <ns0:is>
          <ns0:t>00000011000000110000001100010011</ns0:t>
        </ns0:is>
      </ns0:c>
      <ns0:c r="K200" s="82" t="inlineStr">
        <ns0:is>
          <ns0:t>t1 ← t1 + (+48); арифметика RV32I по модулю 2³².</ns0:t>
        </ns0:is>
      </ns0:c>
      <ns0:c r="L200" s="79" t="inlineStr">
        <ns0:is>
          <ns0:t>Только ROM</ns0:t>
        </ns0:is>
      </ns0:c>
      <ns0:c r="M200" s="74" t="inlineStr">
        <ns0:is>
          <ns0:t>31–20
000000110000
imm[11:0]</ns0:t>
        </ns0:is>
      </ns0:c>
      <ns0:c r="N200" s="75" t="inlineStr">
        <ns0:is>
          <ns0:t>19–15
00110
rs1</ns0:t>
        </ns0:is>
      </ns0:c>
      <ns0:c r="O200" s="83" t="inlineStr">
        <ns0:is>
          <ns0:t>14–12
000
funct3</ns0:t>
        </ns0:is>
      </ns0:c>
      <ns0:c r="P200" s="75" t="inlineStr">
        <ns0:is>
          <ns0:t>11–7
00110
rd</ns0:t>
        </ns0:is>
      </ns0:c>
      <ns0:c r="Q200" s="76" t="inlineStr">
        <ns0:is>
          <ns0:t>6–0
0010011
opcode</ns0:t>
        </ns0:is>
      </ns0:c>
    </ns0:row>
    <ns0:row r="201" ht="52" customHeight="1">
      <ns0:c r="A201" s="68" t="n">
        <ns0:v>193</ns0:v>
      </ns0:c>
      <ns0:c r="B201" s="69" t="inlineStr">
        <ns0:is>
          <ns0:t>0x00000300</ns0:t>
        </ns0:is>
      </ns0:c>
      <ns0:c r="C201" s="69" t="inlineStr">
        <ns0:is>
          <ns0:t>0x014000EF</ns0:t>
        </ns0:is>
      </ns0:c>
      <ns0:c r="D201" s="70" t="inlineStr">
        <ns0:is>
          <ns0:t>jal ra, 0x00000314</ns0:t>
        </ns0:is>
      </ns0:c>
      <ns0:c r="E201" s="71" t="inlineStr">
        <ns0:is>
          <ns0:t>jal</ns0:t>
        </ns0:is>
      </ns0:c>
      <ns0:c r="F201" s="71" t="inlineStr">
        <ns0:is>
          <ns0:t>J</ns0:t>
        </ns0:is>
      </ns0:c>
      <ns0:c r="G201" s="71" t="n">
        <ns0:v>0</ns0:v>
      </ns0:c>
      <ns0:c r="H201" s="71" t="n">
        <ns0:v>20</ns0:v>
      </ns0:c>
      <ns0:c r="I201" s="72" t="inlineStr">
        <ns0:is>
          <ns0:t>0x00000314</ns0:t>
        </ns0:is>
      </ns0:c>
      <ns0:c r="J201" s="72" t="inlineStr">
        <ns0:is>
          <ns0:t>00000001010000000000000011101111</ns0:t>
        </ns0:is>
      </ns0:c>
      <ns0:c r="K201" s="73" t="inlineStr">
        <ns0:is>
          <ns0:t>PC ← 0x00000314; rd (ra) ← PC+4. Смещение +20 байт относительно PC.</ns0:t>
        </ns0:is>
      </ns0:c>
      <ns0:c r="L201" s="70" t="inlineStr">
        <ns0:is>
          <ns0:t>Только ROM</ns0:t>
        </ns0:is>
      </ns0:c>
      <ns0:c r="M201" s="74" t="inlineStr">
        <ns0:is>
          <ns0:t>31
0
imm[20]</ns0:t>
        </ns0:is>
      </ns0:c>
      <ns0:c r="N201" s="74" t="inlineStr">
        <ns0:is>
          <ns0:t>30–21
0000001010
imm[10:1]</ns0:t>
        </ns0:is>
      </ns0:c>
      <ns0:c r="O201" s="74" t="inlineStr">
        <ns0:is>
          <ns0:t>20
0
imm[11]</ns0:t>
        </ns0:is>
      </ns0:c>
      <ns0:c r="P201" s="74" t="inlineStr">
        <ns0:is>
          <ns0:t>19–12
00000000
imm[19:12]</ns0:t>
        </ns0:is>
      </ns0:c>
      <ns0:c r="Q201" s="75" t="inlineStr">
        <ns0:is>
          <ns0:t>11–7
00001
rd</ns0:t>
        </ns0:is>
      </ns0:c>
      <ns0:c r="R201" s="76" t="inlineStr">
        <ns0:is>
          <ns0:t>6–0
1101111
opcode</ns0:t>
        </ns0:is>
      </ns0:c>
    </ns0:row>
    <ns0:row r="202" ht="52" customHeight="1">
      <ns0:c r="A202" s="77" t="n">
        <ns0:v>194</ns0:v>
      </ns0:c>
      <ns0:c r="B202" s="78" t="inlineStr">
        <ns0:is>
          <ns0:t>0x00000304</ns0:t>
        </ns0:is>
      </ns0:c>
      <ns0:c r="C202" s="78" t="inlineStr">
        <ns0:is>
          <ns0:t>0x000B0067</ns0:t>
        </ns0:is>
      </ns0:c>
      <ns0:c r="D202" s="79" t="inlineStr">
        <ns0:is>
          <ns0:t>jalr zero, 0(s6)</ns0:t>
        </ns0:is>
      </ns0:c>
      <ns0:c r="E202" s="80" t="inlineStr">
        <ns0:is>
          <ns0:t>jalr</ns0:t>
        </ns0:is>
      </ns0:c>
      <ns0:c r="F202" s="80" t="inlineStr">
        <ns0:is>
          <ns0:t>I</ns0:t>
        </ns0:is>
      </ns0:c>
      <ns0:c r="G202" s="80" t="n">
        <ns0:v>0</ns0:v>
      </ns0:c>
      <ns0:c r="H202" s="80" t="n">
        <ns0:v>0</ns0:v>
      </ns0:c>
      <ns0:c r="I202" s="81" t="inlineStr">
        <ns0:is>
          <ns0:t>—</ns0:t>
        </ns0:is>
      </ns0:c>
      <ns0:c r="J202" s="81" t="inlineStr">
        <ns0:is>
          <ns0:t>00000000000010110000000001100111</ns0:t>
        </ns0:is>
      </ns0:c>
      <ns0:c r="K202" s="82" t="inlineStr">
        <ns0:is>
          <ns0:t>PC ← (s6 +0) &amp; ~1; zero ← PC+4. При rd=zero значение возврата отбрасывается.</ns0:t>
        </ns0:is>
      </ns0:c>
      <ns0:c r="L202" s="79" t="inlineStr">
        <ns0:is>
          <ns0:t>Только ROM</ns0:t>
        </ns0:is>
      </ns0:c>
      <ns0:c r="M202" s="74" t="inlineStr">
        <ns0:is>
          <ns0:t>31–20
000000000000
imm[11:0]</ns0:t>
        </ns0:is>
      </ns0:c>
      <ns0:c r="N202" s="75" t="inlineStr">
        <ns0:is>
          <ns0:t>19–15
10110
rs1</ns0:t>
        </ns0:is>
      </ns0:c>
      <ns0:c r="O202" s="83" t="inlineStr">
        <ns0:is>
          <ns0:t>14–12
000
funct3</ns0:t>
        </ns0:is>
      </ns0:c>
      <ns0:c r="P202" s="75" t="inlineStr">
        <ns0:is>
          <ns0:t>11–7
00000
rd</ns0:t>
        </ns0:is>
      </ns0:c>
      <ns0:c r="Q202" s="76" t="inlineStr">
        <ns0:is>
          <ns0:t>6–0
1100111
opcode</ns0:t>
        </ns0:is>
      </ns0:c>
    </ns0:row>
    <ns0:row r="203" ht="52" customHeight="1">
      <ns0:c r="A203" s="68" t="n">
        <ns0:v>195</ns0:v>
      </ns0:c>
      <ns0:c r="B203" s="69" t="inlineStr">
        <ns0:is>
          <ns0:t>0x00000308</ns0:t>
        </ns0:is>
      </ns0:c>
      <ns0:c r="C203" s="69" t="inlineStr">
        <ns0:is>
          <ns0:t>0x05730313</ns0:t>
        </ns0:is>
      </ns0:c>
      <ns0:c r="D203" s="70" t="inlineStr">
        <ns0:is>
          <ns0:t>addi t1, t1, 87</ns0:t>
        </ns0:is>
      </ns0:c>
      <ns0:c r="E203" s="71" t="inlineStr">
        <ns0:is>
          <ns0:t>addi</ns0:t>
        </ns0:is>
      </ns0:c>
      <ns0:c r="F203" s="71" t="inlineStr">
        <ns0:is>
          <ns0:t>I</ns0:t>
        </ns0:is>
      </ns0:c>
      <ns0:c r="G203" s="71" t="n">
        <ns0:v>0</ns0:v>
      </ns0:c>
      <ns0:c r="H203" s="71" t="n">
        <ns0:v>87</ns0:v>
      </ns0:c>
      <ns0:c r="I203" s="72" t="inlineStr">
        <ns0:is>
          <ns0:t>—</ns0:t>
        </ns0:is>
      </ns0:c>
      <ns0:c r="J203" s="72" t="inlineStr">
        <ns0:is>
          <ns0:t>00000101011100110000001100010011</ns0:t>
        </ns0:is>
      </ns0:c>
      <ns0:c r="K203" s="73" t="inlineStr">
        <ns0:is>
          <ns0:t>t1 ← t1 + (+87); арифметика RV32I по модулю 2³².</ns0:t>
        </ns0:is>
      </ns0:c>
      <ns0:c r="L203" s="70" t="inlineStr">
        <ns0:is>
          <ns0:t>Только ROM</ns0:t>
        </ns0:is>
      </ns0:c>
      <ns0:c r="M203" s="74" t="inlineStr">
        <ns0:is>
          <ns0:t>31–20
000001010111
imm[11:0]</ns0:t>
        </ns0:is>
      </ns0:c>
      <ns0:c r="N203" s="75" t="inlineStr">
        <ns0:is>
          <ns0:t>19–15
00110
rs1</ns0:t>
        </ns0:is>
      </ns0:c>
      <ns0:c r="O203" s="83" t="inlineStr">
        <ns0:is>
          <ns0:t>14–12
000
funct3</ns0:t>
        </ns0:is>
      </ns0:c>
      <ns0:c r="P203" s="75" t="inlineStr">
        <ns0:is>
          <ns0:t>11–7
00110
rd</ns0:t>
        </ns0:is>
      </ns0:c>
      <ns0:c r="Q203" s="76" t="inlineStr">
        <ns0:is>
          <ns0:t>6–0
0010011
opcode</ns0:t>
        </ns0:is>
      </ns0:c>
    </ns0:row>
    <ns0:row r="204" ht="52" customHeight="1">
      <ns0:c r="A204" s="77" t="n">
        <ns0:v>196</ns0:v>
      </ns0:c>
      <ns0:c r="B204" s="78" t="inlineStr">
        <ns0:is>
          <ns0:t>0x0000030C</ns0:t>
        </ns0:is>
      </ns0:c>
      <ns0:c r="C204" s="78" t="inlineStr">
        <ns0:is>
          <ns0:t>0x008000EF</ns0:t>
        </ns0:is>
      </ns0:c>
      <ns0:c r="D204" s="79" t="inlineStr">
        <ns0:is>
          <ns0:t>jal ra, 0x00000314</ns0:t>
        </ns0:is>
      </ns0:c>
      <ns0:c r="E204" s="80" t="inlineStr">
        <ns0:is>
          <ns0:t>jal</ns0:t>
        </ns0:is>
      </ns0:c>
      <ns0:c r="F204" s="80" t="inlineStr">
        <ns0:is>
          <ns0:t>J</ns0:t>
        </ns0:is>
      </ns0:c>
      <ns0:c r="G204" s="80" t="n">
        <ns0:v>0</ns0:v>
      </ns0:c>
      <ns0:c r="H204" s="80" t="n">
        <ns0:v>8</ns0:v>
      </ns0:c>
      <ns0:c r="I204" s="81" t="inlineStr">
        <ns0:is>
          <ns0:t>0x00000314</ns0:t>
        </ns0:is>
      </ns0:c>
      <ns0:c r="J204" s="81" t="inlineStr">
        <ns0:is>
          <ns0:t>00000000100000000000000011101111</ns0:t>
        </ns0:is>
      </ns0:c>
      <ns0:c r="K204" s="82" t="inlineStr">
        <ns0:is>
          <ns0:t>PC ← 0x00000314; rd (ra) ← PC+4. Смещение +8 байт относительно PC.</ns0:t>
        </ns0:is>
      </ns0:c>
      <ns0:c r="L204" s="79" t="inlineStr">
        <ns0:is>
          <ns0:t>Только ROM</ns0:t>
        </ns0:is>
      </ns0:c>
      <ns0:c r="M204" s="74" t="inlineStr">
        <ns0:is>
          <ns0:t>31
0
imm[20]</ns0:t>
        </ns0:is>
      </ns0:c>
      <ns0:c r="N204" s="74" t="inlineStr">
        <ns0:is>
          <ns0:t>30–21
0000000100
imm[10:1]</ns0:t>
        </ns0:is>
      </ns0:c>
      <ns0:c r="O204" s="74" t="inlineStr">
        <ns0:is>
          <ns0:t>20
0
imm[11]</ns0:t>
        </ns0:is>
      </ns0:c>
      <ns0:c r="P204" s="74" t="inlineStr">
        <ns0:is>
          <ns0:t>19–12
00000000
imm[19:12]</ns0:t>
        </ns0:is>
      </ns0:c>
      <ns0:c r="Q204" s="75" t="inlineStr">
        <ns0:is>
          <ns0:t>11–7
00001
rd</ns0:t>
        </ns0:is>
      </ns0:c>
      <ns0:c r="R204" s="76" t="inlineStr">
        <ns0:is>
          <ns0:t>6–0
1101111
opcode</ns0:t>
        </ns0:is>
      </ns0:c>
    </ns0:row>
    <ns0:row r="205" ht="52" customHeight="1">
      <ns0:c r="A205" s="68" t="n">
        <ns0:v>197</ns0:v>
      </ns0:c>
      <ns0:c r="B205" s="69" t="inlineStr">
        <ns0:is>
          <ns0:t>0x00000310</ns0:t>
        </ns0:is>
      </ns0:c>
      <ns0:c r="C205" s="69" t="inlineStr">
        <ns0:is>
          <ns0:t>0x000B0067</ns0:t>
        </ns0:is>
      </ns0:c>
      <ns0:c r="D205" s="70" t="inlineStr">
        <ns0:is>
          <ns0:t>jalr zero, 0(s6)</ns0:t>
        </ns0:is>
      </ns0:c>
      <ns0:c r="E205" s="71" t="inlineStr">
        <ns0:is>
          <ns0:t>jalr</ns0:t>
        </ns0:is>
      </ns0:c>
      <ns0:c r="F205" s="71" t="inlineStr">
        <ns0:is>
          <ns0:t>I</ns0:t>
        </ns0:is>
      </ns0:c>
      <ns0:c r="G205" s="71" t="n">
        <ns0:v>0</ns0:v>
      </ns0:c>
      <ns0:c r="H205" s="71" t="n">
        <ns0:v>0</ns0:v>
      </ns0:c>
      <ns0:c r="I205" s="72" t="inlineStr">
        <ns0:is>
          <ns0:t>—</ns0:t>
        </ns0:is>
      </ns0:c>
      <ns0:c r="J205" s="72" t="inlineStr">
        <ns0:is>
          <ns0:t>00000000000010110000000001100111</ns0:t>
        </ns0:is>
      </ns0:c>
      <ns0:c r="K205" s="73" t="inlineStr">
        <ns0:is>
          <ns0:t>PC ← (s6 +0) &amp; ~1; zero ← PC+4. При rd=zero значение возврата отбрасывается.</ns0:t>
        </ns0:is>
      </ns0:c>
      <ns0:c r="L205" s="70" t="inlineStr">
        <ns0:is>
          <ns0:t>Только ROM</ns0:t>
        </ns0:is>
      </ns0:c>
      <ns0:c r="M205" s="74" t="inlineStr">
        <ns0:is>
          <ns0:t>31–20
000000000000
imm[11:0]</ns0:t>
        </ns0:is>
      </ns0:c>
      <ns0:c r="N205" s="75" t="inlineStr">
        <ns0:is>
          <ns0:t>19–15
10110
rs1</ns0:t>
        </ns0:is>
      </ns0:c>
      <ns0:c r="O205" s="83" t="inlineStr">
        <ns0:is>
          <ns0:t>14–12
000
funct3</ns0:t>
        </ns0:is>
      </ns0:c>
      <ns0:c r="P205" s="75" t="inlineStr">
        <ns0:is>
          <ns0:t>11–7
00000
rd</ns0:t>
        </ns0:is>
      </ns0:c>
      <ns0:c r="Q205" s="76" t="inlineStr">
        <ns0:is>
          <ns0:t>6–0
1100111
opcode</ns0:t>
        </ns0:is>
      </ns0:c>
    </ns0:row>
    <ns0:row r="206" ht="52" customHeight="1">
      <ns0:c r="A206" s="77" t="n">
        <ns0:v>198</ns0:v>
      </ns0:c>
      <ns0:c r="B206" s="78" t="inlineStr">
        <ns0:is>
          <ns0:t>0x00000314</ns0:t>
        </ns0:is>
      </ns0:c>
      <ns0:c r="C206" s="78" t="inlineStr">
        <ns0:is>
          <ns0:t>0x0142A383</ns0:t>
        </ns0:is>
      </ns0:c>
      <ns0:c r="D206" s="79" t="inlineStr">
        <ns0:is>
          <ns0:t>lw t2, 20(t0)</ns0:t>
        </ns0:is>
      </ns0:c>
      <ns0:c r="E206" s="80" t="inlineStr">
        <ns0:is>
          <ns0:t>lw</ns0:t>
        </ns0:is>
      </ns0:c>
      <ns0:c r="F206" s="80" t="inlineStr">
        <ns0:is>
          <ns0:t>I</ns0:t>
        </ns0:is>
      </ns0:c>
      <ns0:c r="G206" s="80" t="n">
        <ns0:v>0</ns0:v>
      </ns0:c>
      <ns0:c r="H206" s="80" t="n">
        <ns0:v>20</ns0:v>
      </ns0:c>
      <ns0:c r="I206" s="81" t="inlineStr">
        <ns0:is>
          <ns0:t>—</ns0:t>
        </ns0:is>
      </ns0:c>
      <ns0:c r="J206" s="81" t="inlineStr">
        <ns0:is>
          <ns0:t>00000001010000101010001110000011</ns0:t>
        </ns0:is>
      </ns0:c>
      <ns0:c r="K206" s="82" t="inlineStr">
        <ns0:is>
          <ns0:t>t2 ← MEM32[t0 +20]. FETCH этой инструкции не удостоверяет регистрацию DATA_READ.</ns0:t>
        </ns0:is>
      </ns0:c>
      <ns0:c r="L206" s="79" t="inlineStr">
        <ns0:is>
          <ns0:t>Только ROM</ns0:t>
        </ns0:is>
      </ns0:c>
      <ns0:c r="M206" s="74" t="inlineStr">
        <ns0:is>
          <ns0:t>31–20
000000010100
imm[11:0]</ns0:t>
        </ns0:is>
      </ns0:c>
      <ns0:c r="N206" s="75" t="inlineStr">
        <ns0:is>
          <ns0:t>19–15
00101
rs1</ns0:t>
        </ns0:is>
      </ns0:c>
      <ns0:c r="O206" s="83" t="inlineStr">
        <ns0:is>
          <ns0:t>14–12
010
funct3</ns0:t>
        </ns0:is>
      </ns0:c>
      <ns0:c r="P206" s="75" t="inlineStr">
        <ns0:is>
          <ns0:t>11–7
00111
rd</ns0:t>
        </ns0:is>
      </ns0:c>
      <ns0:c r="Q206" s="76" t="inlineStr">
        <ns0:is>
          <ns0:t>6–0
0000011
opcode</ns0:t>
        </ns0:is>
      </ns0:c>
    </ns0:row>
    <ns0:row r="207" ht="52" customHeight="1">
      <ns0:c r="A207" s="68" t="n">
        <ns0:v>199</ns0:v>
      </ns0:c>
      <ns0:c r="B207" s="69" t="inlineStr">
        <ns0:is>
          <ns0:t>0x00000318</ns0:t>
        </ns0:is>
      </ns0:c>
      <ns0:c r="C207" s="69" t="inlineStr">
        <ns0:is>
          <ns0:t>0x0013F393</ns0:t>
        </ns0:is>
      </ns0:c>
      <ns0:c r="D207" s="70" t="inlineStr">
        <ns0:is>
          <ns0:t>andi t2, t2, 1</ns0:t>
        </ns0:is>
      </ns0:c>
      <ns0:c r="E207" s="71" t="inlineStr">
        <ns0:is>
          <ns0:t>andi</ns0:t>
        </ns0:is>
      </ns0:c>
      <ns0:c r="F207" s="71" t="inlineStr">
        <ns0:is>
          <ns0:t>I</ns0:t>
        </ns0:is>
      </ns0:c>
      <ns0:c r="G207" s="71" t="n">
        <ns0:v>0</ns0:v>
      </ns0:c>
      <ns0:c r="H207" s="71" t="n">
        <ns0:v>1</ns0:v>
      </ns0:c>
      <ns0:c r="I207" s="72" t="inlineStr">
        <ns0:is>
          <ns0:t>—</ns0:t>
        </ns0:is>
      </ns0:c>
      <ns0:c r="J207" s="72" t="inlineStr">
        <ns0:is>
          <ns0:t>00000000000100111111001110010011</ns0:t>
        </ns0:is>
      </ns0:c>
      <ns0:c r="K207" s="73" t="inlineStr">
        <ns0:is>
          <ns0:t>t2 ← t2 AND (+1); побитовое И с sign_extend(imm).</ns0:t>
        </ns0:is>
      </ns0:c>
      <ns0:c r="L207" s="70" t="inlineStr">
        <ns0:is>
          <ns0:t>Только ROM</ns0:t>
        </ns0:is>
      </ns0:c>
      <ns0:c r="M207" s="74" t="inlineStr">
        <ns0:is>
          <ns0:t>31–20
000000000001
imm[11:0]</ns0:t>
        </ns0:is>
      </ns0:c>
      <ns0:c r="N207" s="75" t="inlineStr">
        <ns0:is>
          <ns0:t>19–15
00111
rs1</ns0:t>
        </ns0:is>
      </ns0:c>
      <ns0:c r="O207" s="83" t="inlineStr">
        <ns0:is>
          <ns0:t>14–12
111
funct3</ns0:t>
        </ns0:is>
      </ns0:c>
      <ns0:c r="P207" s="75" t="inlineStr">
        <ns0:is>
          <ns0:t>11–7
00111
rd</ns0:t>
        </ns0:is>
      </ns0:c>
      <ns0:c r="Q207" s="76" t="inlineStr">
        <ns0:is>
          <ns0:t>6–0
0010011
opcode</ns0:t>
        </ns0:is>
      </ns0:c>
    </ns0:row>
    <ns0:row r="208" ht="52" customHeight="1">
      <ns0:c r="A208" s="77" t="n">
        <ns0:v>200</ns0:v>
      </ns0:c>
      <ns0:c r="B208" s="78" t="inlineStr">
        <ns0:is>
          <ns0:t>0x0000031C</ns0:t>
        </ns0:is>
      </ns0:c>
      <ns0:c r="C208" s="78" t="inlineStr">
        <ns0:is>
          <ns0:t>0xFE038CE3</ns0:t>
        </ns0:is>
      </ns0:c>
      <ns0:c r="D208" s="79" t="inlineStr">
        <ns0:is>
          <ns0:t>beq t2, zero, 0x00000314</ns0:t>
        </ns0:is>
      </ns0:c>
      <ns0:c r="E208" s="80" t="inlineStr">
        <ns0:is>
          <ns0:t>beq</ns0:t>
        </ns0:is>
      </ns0:c>
      <ns0:c r="F208" s="80" t="inlineStr">
        <ns0:is>
          <ns0:t>B</ns0:t>
        </ns0:is>
      </ns0:c>
      <ns0:c r="G208" s="80" t="n">
        <ns0:v>0</ns0:v>
      </ns0:c>
      <ns0:c r="H208" s="80" t="n">
        <ns0:v>-8</ns0:v>
      </ns0:c>
      <ns0:c r="I208" s="81" t="inlineStr">
        <ns0:is>
          <ns0:t>0x00000314</ns0:t>
        </ns0:is>
      </ns0:c>
      <ns0:c r="J208" s="81" t="inlineStr">
        <ns0:is>
          <ns0:t>11111110000000111000110011100011</ns0:t>
        </ns0:is>
      </ns0:c>
      <ns0:c r="K208" s="82" t="inlineStr">
        <ns0:is>
          <ns0:t>Если t2 = zero, PC ← 0x00000314; иначе PC ← PC+4. Смещение -8 байт.</ns0:t>
        </ns0:is>
      </ns0:c>
      <ns0:c r="L208" s="79" t="inlineStr">
        <ns0:is>
          <ns0:t>Только ROM</ns0:t>
        </ns0:is>
      </ns0:c>
      <ns0:c r="M208" s="74" t="inlineStr">
        <ns0:is>
          <ns0:t>31
1
imm[12]</ns0:t>
        </ns0:is>
      </ns0:c>
      <ns0:c r="N208" s="74" t="inlineStr">
        <ns0:is>
          <ns0:t>30–25
111111
imm[10:5]</ns0:t>
        </ns0:is>
      </ns0:c>
      <ns0:c r="O208" s="75" t="inlineStr">
        <ns0:is>
          <ns0:t>24–20
00000
rs2</ns0:t>
        </ns0:is>
      </ns0:c>
      <ns0:c r="P208" s="75" t="inlineStr">
        <ns0:is>
          <ns0:t>19–15
00111
rs1</ns0:t>
        </ns0:is>
      </ns0:c>
      <ns0:c r="Q208" s="83" t="inlineStr">
        <ns0:is>
          <ns0:t>14–12
000
funct3</ns0:t>
        </ns0:is>
      </ns0:c>
      <ns0:c r="R208" s="74" t="inlineStr">
        <ns0:is>
          <ns0:t>11–8
1100
imm[4:1]</ns0:t>
        </ns0:is>
      </ns0:c>
      <ns0:c r="S208" s="74" t="inlineStr">
        <ns0:is>
          <ns0:t>7
1
imm[11]</ns0:t>
        </ns0:is>
      </ns0:c>
      <ns0:c r="T208" s="76" t="inlineStr">
        <ns0:is>
          <ns0:t>6–0
1100011
opcode</ns0:t>
        </ns0:is>
      </ns0:c>
    </ns0:row>
    <ns0:row r="209" ht="52" customHeight="1">
      <ns0:c r="A209" s="68" t="n">
        <ns0:v>201</ns0:v>
      </ns0:c>
      <ns0:c r="B209" s="69" t="inlineStr">
        <ns0:is>
          <ns0:t>0x00000320</ns0:t>
        </ns0:is>
      </ns0:c>
      <ns0:c r="C209" s="69" t="inlineStr">
        <ns0:is>
          <ns0:t>0x0062A823</ns0:t>
        </ns0:is>
      </ns0:c>
      <ns0:c r="D209" s="70" t="inlineStr">
        <ns0:is>
          <ns0:t>sw t1, 16(t0)</ns0:t>
        </ns0:is>
      </ns0:c>
      <ns0:c r="E209" s="71" t="inlineStr">
        <ns0:is>
          <ns0:t>sw</ns0:t>
        </ns0:is>
      </ns0:c>
      <ns0:c r="F209" s="71" t="inlineStr">
        <ns0:is>
          <ns0:t>S</ns0:t>
        </ns0:is>
      </ns0:c>
      <ns0:c r="G209" s="71" t="n">
        <ns0:v>0</ns0:v>
      </ns0:c>
      <ns0:c r="H209" s="71" t="n">
        <ns0:v>16</ns0:v>
      </ns0:c>
      <ns0:c r="I209" s="72" t="inlineStr">
        <ns0:is>
          <ns0:t>—</ns0:t>
        </ns0:is>
      </ns0:c>
      <ns0:c r="J209" s="72" t="inlineStr">
        <ns0:is>
          <ns0:t>00000000011000101010100000100011</ns0:t>
        </ns0:is>
      </ns0:c>
      <ns0:c r="K209" s="73" t="inlineStr">
        <ns0:is>
          <ns0:t>MEM32[t0 +16] ← t1. Число, находящееся в rs2, не кодируется в самой инструкции.</ns0:t>
        </ns0:is>
      </ns0:c>
      <ns0:c r="L209" s="70" t="inlineStr">
        <ns0:is>
          <ns0:t>Только ROM</ns0:t>
        </ns0:is>
      </ns0:c>
      <ns0:c r="M209" s="74" t="inlineStr">
        <ns0:is>
          <ns0:t>31–25
0000000
imm[11:5]</ns0:t>
        </ns0:is>
      </ns0:c>
      <ns0:c r="N209" s="75" t="inlineStr">
        <ns0:is>
          <ns0:t>24–20
00110
rs2</ns0:t>
        </ns0:is>
      </ns0:c>
      <ns0:c r="O209" s="75" t="inlineStr">
        <ns0:is>
          <ns0:t>19–15
00101
rs1</ns0:t>
        </ns0:is>
      </ns0:c>
      <ns0:c r="P209" s="83" t="inlineStr">
        <ns0:is>
          <ns0:t>14–12
010
funct3</ns0:t>
        </ns0:is>
      </ns0:c>
      <ns0:c r="Q209" s="74" t="inlineStr">
        <ns0:is>
          <ns0:t>11–7
10000
imm[4:0]</ns0:t>
        </ns0:is>
      </ns0:c>
      <ns0:c r="R209" s="76" t="inlineStr">
        <ns0:is>
          <ns0:t>6–0
0100011
opcode</ns0:t>
        </ns0:is>
      </ns0:c>
    </ns0:row>
    <ns0:row r="210" ht="52" customHeight="1">
      <ns0:c r="A210" s="77" t="n">
        <ns0:v>202</ns0:v>
      </ns0:c>
      <ns0:c r="B210" s="78" t="inlineStr">
        <ns0:is>
          <ns0:t>0x00000324</ns0:t>
        </ns0:is>
      </ns0:c>
      <ns0:c r="C210" s="78" t="inlineStr">
        <ns0:is>
          <ns0:t>0x00008067</ns0:t>
        </ns0:is>
      </ns0:c>
      <ns0:c r="D210" s="79" t="inlineStr">
        <ns0:is>
          <ns0:t>jalr zero, 0(ra)</ns0:t>
        </ns0:is>
      </ns0:c>
      <ns0:c r="E210" s="80" t="inlineStr">
        <ns0:is>
          <ns0:t>jalr</ns0:t>
        </ns0:is>
      </ns0:c>
      <ns0:c r="F210" s="80" t="inlineStr">
        <ns0:is>
          <ns0:t>I</ns0:t>
        </ns0:is>
      </ns0:c>
      <ns0:c r="G210" s="80" t="n">
        <ns0:v>0</ns0:v>
      </ns0:c>
      <ns0:c r="H210" s="80" t="n">
        <ns0:v>0</ns0:v>
      </ns0:c>
      <ns0:c r="I210" s="81" t="inlineStr">
        <ns0:is>
          <ns0:t>—</ns0:t>
        </ns0:is>
      </ns0:c>
      <ns0:c r="J210" s="81" t="inlineStr">
        <ns0:is>
          <ns0:t>00000000000000001000000001100111</ns0:t>
        </ns0:is>
      </ns0:c>
      <ns0:c r="K210" s="82" t="inlineStr">
        <ns0:is>
          <ns0:t>PC ← (ra +0) &amp; ~1; zero ← PC+4. При rd=zero значение возврата отбрасывается.</ns0:t>
        </ns0:is>
      </ns0:c>
      <ns0:c r="L210" s="79" t="inlineStr">
        <ns0:is>
          <ns0:t>Только ROM</ns0:t>
        </ns0:is>
      </ns0:c>
      <ns0:c r="M210" s="74" t="inlineStr">
        <ns0:is>
          <ns0:t>31–20
000000000000
imm[11:0]</ns0:t>
        </ns0:is>
      </ns0:c>
      <ns0:c r="N210" s="75" t="inlineStr">
        <ns0:is>
          <ns0:t>19–15
00001
rs1</ns0:t>
        </ns0:is>
      </ns0:c>
      <ns0:c r="O210" s="83" t="inlineStr">
        <ns0:is>
          <ns0:t>14–12
000
funct3</ns0:t>
        </ns0:is>
      </ns0:c>
      <ns0:c r="P210" s="75" t="inlineStr">
        <ns0:is>
          <ns0:t>11–7
00000
rd</ns0:t>
        </ns0:is>
      </ns0:c>
      <ns0:c r="Q210" s="76" t="inlineStr">
        <ns0:is>
          <ns0:t>6–0
1100111
opcode</ns0:t>
        </ns0:is>
      </ns0:c>
    </ns0:row>
  </ns0:sheetData>
  <ns0:autoFilter ref="A8:L210"/>
  <ns0:mergeCells count="3">
    <ns0:mergeCell ref="A1:N2"/>
    <ns0:mergeCell ref="B6:N6"/>
    <ns0:mergeCell ref="A3:N3"/>
  </ns0:mergeCells>
  <ns0:hyperlinks>
    <ns0:hyperlink ref="A4" ns1:id="rId1"/>
    <ns0:hyperlink ref="B4" ns1:id="rId2"/>
    <ns0:hyperlink ref="C4" ns1:id="rId3"/>
    <ns0:hyperlink ref="D4" ns1:id="rId4"/>
    <ns0:hyperlink ref="E4" ns1:id="rId5"/>
    <ns0:hyperlink ref="F4" ns1:id="rId6"/>
    <ns0:hyperlink ref="G4" ns1:id="rId7"/>
    <ns0:hyperlink ref="H4" ns1:id="rId8"/>
    <ns0:hyperlink ref="I4" ns1:id="rId9"/>
    <ns0:hyperlink ref="J4" ns1:id="rId10"/>
    <ns0:hyperlink ref="K4" ns1:id="rId11"/>
    <ns0:hyperlink ref="L4" ns1:id="rId12"/>
  </ns0:hyperlinks>
  <ns0:pageMargins left="0.75" right="0.75" top="1" bottom="1" header="0.5" footer="0.5"/>
  <ns0:pageSetup fitToHeight="0" fitToWidth="1"/>
  <ns0:legacyDrawing ns1:id="anysvml"/>
</ns0:worksheet>
</file>

<file path=xl/worksheets/sheet7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N34"/>
  <ns0:sheetViews>
    <ns0:sheetView showGridLines="0" tabSelected="0" zoomScale="85" workbookViewId="0">
      <ns0:pane xSplit="1" ySplit="4" topLeftCell="B5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4" customWidth="1" min="1" max="1"/>
    <ns0:col width="23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  <ns0:col width="23" customWidth="1" min="9" max="9"/>
    <ns0:col width="12" customWidth="1" min="10" max="10"/>
    <ns0:col width="12" customWidth="1" min="11" max="11"/>
    <ns0:col width="12" customWidth="1" min="12" max="12"/>
    <ns0:col width="12" customWidth="1" min="13" max="13"/>
    <ns0:col width="12" customWidth="1" min="14" max="14"/>
  </ns0:cols>
  <ns0:sheetData>
    <ns0:row r="1" ht="29" customHeight="1">
      <ns0:c r="A1" s="61" t="inlineStr">
        <ns0:is>
          <ns0:t>LAB-03 / ДЕКОДЕР RISC-V · 32 БИТА</ns0:t>
        </ns0:is>
      </ns0:c>
      <ns0:c r="B1" s="2" t="n"/>
      <ns0:c r="C1" s="2" t="n"/>
      <ns0:c r="D1" s="2" t="n"/>
      <ns0:c r="E1" s="2" t="n"/>
      <ns0:c r="F1" s="2" t="n"/>
      <ns0:c r="G1" s="2" t="n"/>
      <ns0:c r="H1" s="2" t="n"/>
      <ns0:c r="I1" s="2" t="n"/>
      <ns0:c r="J1" s="2" t="n"/>
      <ns0:c r="K1" s="2" t="n"/>
      <ns0:c r="L1" s="2" t="n"/>
      <ns0:c r="M1" s="2" t="n"/>
      <ns0:c r="N1" s="2" t="n"/>
    </ns0:row>
    <ns0:row r="2" ht="17" customHeight="1">
      <ns0:c r="A2" s="2" t="n"/>
      <ns0:c r="B2" s="2" t="n"/>
      <ns0:c r="C2" s="2" t="n"/>
      <ns0:c r="D2" s="2" t="n"/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</ns0:row>
    <ns0:row r="3" ht="44" customHeight="1">
      <ns0:c r="A3" s="62" t="inlineStr">
        <ns0:is>
          <ns0:t>Переключатель «ТРАССА» привязан к ПУЛЬТУ. «РОМ» даёт доступ ко всем 202 рабочим словам. Поля и биты не придуманы — извлечены из конкретных машинных кодов.</ns0:t>
        </ns0:is>
      </ns0:c>
      <ns0:c r="B3" s="7" t="n"/>
      <ns0:c r="C3" s="7" t="n"/>
      <ns0:c r="D3" s="7" t="n"/>
      <ns0:c r="E3" s="7" t="n"/>
      <ns0:c r="F3" s="7" t="n"/>
      <ns0:c r="G3" s="7" t="n"/>
      <ns0:c r="H3" s="7" t="n"/>
      <ns0:c r="I3" s="7" t="n"/>
      <ns0:c r="J3" s="7" t="n"/>
      <ns0:c r="K3" s="7" t="n"/>
      <ns0:c r="L3" s="7" t="n"/>
      <ns0:c r="M3" s="7" t="n"/>
      <ns0:c r="N3" s="7" t="n"/>
    </ns0:row>
    <ns0:row r="4" ht="28" customHeight="1">
      <ns0:c r="A4" s="63" t="inlineStr">
        <ns0:is>
          <ns0:t>СТАРТ</ns0:t>
        </ns0:is>
      </ns0:c>
      <ns0:c r="B4" s="63" t="inlineStr">
        <ns0:is>
          <ns0:t>НАБЛЮДЕНИЕ</ns0:t>
        </ns0:is>
      </ns0:c>
      <ns0:c r="C4" s="63" t="inlineStr">
        <ns0:is>
          <ns0:t>СРАВНЕНИЕ</ns0:t>
        </ns0:is>
      </ns0:c>
      <ns0:c r="D4" s="63" t="inlineStr">
        <ns0:is>
          <ns0:t>LED / MMIO</ns0:t>
        </ns0:is>
      </ns0:c>
      <ns0:c r="E4" s="63" t="inlineStr">
        <ns0:is>
          <ns0:t>КОМАНДЫ</ns0:t>
        </ns0:is>
      </ns0:c>
      <ns0:c r="F4" s="63" t="inlineStr">
        <ns0:is>
          <ns0:t>12 ТРАСС</ns0:t>
        </ns0:is>
      </ns0:c>
      <ns0:c r="G4" s="63" t="inlineStr">
        <ns0:is>
          <ns0:t>RAW T3</ns0:t>
        </ns0:is>
      </ns0:c>
      <ns0:c r="H4" s="63" t="inlineStr">
        <ns0:is>
          <ns0:t>ROM</ns0:t>
        </ns0:is>
      </ns0:c>
      <ns0:c r="I4" s="63" t="inlineStr">
        <ns0:is>
          <ns0:t>ТЕРМИНЫ</ns0:t>
        </ns0:is>
      </ns0:c>
      <ns0:c r="J4" s="63" t="inlineStr">
        <ns0:is>
          <ns0:t>ПРОИСХОЖДЕНИЕ</ns0:t>
        </ns0:is>
      </ns0:c>
      <ns0:c r="K4" s="88" t="inlineStr">
        <ns0:is>
          <ns0:t>БИТЫ 202</ns0:t>
        </ns0:is>
      </ns0:c>
      <ns0:c r="L4" s="63" t="inlineStr">
        <ns0:is>
          <ns0:t>10 КАРТОЧЕК</ns0:t>
        </ns0:is>
      </ns0:c>
    </ns0:row>
    <ns0:row r="5">
      <ns0:c r="B5" s="89" t="inlineStr">
        <ns0:is>
          <ns0:t>НАСТРОЙКА · выберите источник команды и номер слова программы</ns0:t>
        </ns0:is>
      </ns0:c>
      <ns0:c r="C5" s="7" t="n"/>
      <ns0:c r="D5" s="7" t="n"/>
      <ns0:c r="E5" s="7" t="n"/>
      <ns0:c r="F5" s="7" t="n"/>
      <ns0:c r="G5" s="7" t="n"/>
      <ns0:c r="H5" s="7" t="n"/>
      <ns0:c r="I5" s="7" t="n"/>
    </ns0:row>
    <ns0:row r="6" ht="36" customHeight="1">
      <ns0:c r="B6" s="90" t="inlineStr">
        <ns0:is>
          <ns0:t>№ слова ROM (1…202)</ns0:t>
        </ns0:is>
      </ns0:c>
      <ns0:c r="D6" s="91" t="n">
        <ns0:v>65</ns0:v>
      </ns0:c>
      <ns0:c r="F6" s="90" t="inlineStr">
        <ns0:is>
          <ns0:t>Источник</ns0:t>
        </ns0:is>
      </ns0:c>
      <ns0:c r="H6" s="92" t="inlineStr">
        <ns0:is>
          <ns0:t>ТРАССА</ns0:t>
        </ns0:is>
      </ns0:c>
    </ns0:row>
    <ns0:row r="7" ht="30" customHeight="1">
      <ns0:c r="B7" s="90" t="inlineStr">
        <ns0:is>
          <ns0:t>Выбранный PC</ns0:t>
        </ns0:is>
      </ns0:c>
      <ns0:c r="D7" s="93" t="str">
        <ns0:f>IF($H$6="ТРАССА",IF('ПУЛЬТ'!$D$12="FETCH",'ПУЛЬТ'!$D$13,""),IFERROR(INDEX('КАТАЛОГ БИТОВ'!$B$9:$B$210,$D$6),""))</ns0:f>
        <ns0:v>0x00000100</ns0:v>
      </ns0:c>
      <ns0:c r="F7" s="90" t="inlineStr">
        <ns0:is>
          <ns0:t>№ по ROM</ns0:t>
        </ns0:is>
      </ns0:c>
      <ns0:c r="H7" s="94" t="n">
        <ns0:f>IF($D$7="","",IFERROR(MATCH($D$7,'КАТАЛОГ БИТОВ'!$B$9:$B$210,0),""))</ns0:f>
        <ns0:v>65</ns0:v>
      </ns0:c>
    </ns0:row>
    <ns0:row r="9" ht="32" customHeight="1">
      <ns0:c r="B9" s="90" t="inlineStr">
        <ns0:is>
          <ns0:t>Машинное слово</ns0:t>
        </ns0:is>
      </ns0:c>
      <ns0:c r="D9" s="95" t="str">
        <ns0:f>IF($H$7="","",IFERROR(INDEX('КАТАЛОГ БИТОВ'!$C$9:$C$210,$H$7),""))</ns0:f>
        <ns0:v>0x01D2A023</ns0:v>
      </ns0:c>
      <ns0:c r="F9" s="90" t="inlineStr">
        <ns0:is>
          <ns0:t>Команда / формат</ns0:t>
        </ns0:is>
      </ns0:c>
      <ns0:c r="H9" s="94" t="str">
        <ns0:f>IF($H$7="","",IFERROR(INDEX('КАТАЛОГ БИТОВ'!$E$9:$E$210,$H$7),""))</ns0:f>
        <ns0:v>sw</ns0:v>
      </ns0:c>
      <ns0:c r="I9" s="94" t="str">
        <ns0:f>IF($H$7="","",IFERROR(INDEX('КАТАЛОГ БИТОВ'!$F$9:$F$210,$H$7),""))</ns0:f>
        <ns0:v>S</ns0:v>
      </ns0:c>
    </ns0:row>
    <ns0:row r="10" ht="33" customHeight="1">
      <ns0:c r="B10" s="90" t="inlineStr">
        <ns0:is>
          <ns0:t>Инструкция ASM</ns0:t>
        </ns0:is>
      </ns0:c>
      <ns0:c r="D10" s="95" t="str">
        <ns0:f>IF($H$7="","",IFERROR(INDEX('КАТАЛОГ БИТОВ'!$D$9:$D$210,$H$7),""))</ns0:f>
        <ns0:v>sw t4, 0(t0)</ns0:v>
      </ns0:c>
    </ns0:row>
    <ns0:row r="11" ht="36" customHeight="1">
      <ns0:c r="B11" s="90" t="inlineStr">
        <ns0:is>
          <ns0:t>Статус по трассам</ns0:t>
        </ns0:is>
      </ns0:c>
      <ns0:c r="D11" s="94" t="str">
        <ns0:f>IF($H$7="","",IFERROR(INDEX('КАТАЛОГ БИТОВ'!$L$9:$L$210,$H$7),""))</ns0:f>
        <ns0:v>FETCH был</ns0:v>
      </ns0:c>
      <ns0:c r="F11" s="90" t="inlineStr">
        <ns0:is>
          <ns0:t>FETCH в 12 RAW</ns0:t>
        </ns0:is>
      </ns0:c>
      <ns0:c r="H11" s="94" t="n">
        <ns0:f>IF($H$7="","",IFERROR(INDEX('КАТАЛОГ БИТОВ'!$G$9:$G$210,$H$7),""))</ns0:f>
        <ns0:v>12</ns0:v>
      </ns0:c>
    </ns0:row>
    <ns0:row r="13">
      <ns0:c r="B13" s="96" t="inlineStr">
        <ns0:is>
          <ns0:t>ПОБИТОВЫЙ РАЗБОР · точное расположение полей в машинном слове [31:0]</ns0:t>
        </ns0:is>
      </ns0:c>
      <ns0:c r="C13" s="7" t="n"/>
      <ns0:c r="D13" s="7" t="n"/>
      <ns0:c r="E13" s="7" t="n"/>
      <ns0:c r="F13" s="7" t="n"/>
      <ns0:c r="G13" s="7" t="n"/>
      <ns0:c r="H13" s="7" t="n"/>
      <ns0:c r="I13" s="7" t="n"/>
    </ns0:row>
    <ns0:row r="15" ht="105" customHeight="1">
      <ns0:c r="B15" s="97" t="str">
        <ns0:f>IF($H$7="","",IFERROR(INDEX('КАТАЛОГ БИТОВ'!$M$9:$M$210,$H$7),""))</ns0:f>
        <ns0:v>31–25
0000000
imm[11:5]</ns0:v>
      </ns0:c>
      <ns0:c r="C15" s="98" t="str">
        <ns0:f>IF($H$7="","",IFERROR(INDEX('КАТАЛОГ БИТОВ'!$N$9:$N$210,$H$7),""))</ns0:f>
        <ns0:v>24–20
11101
rs2</ns0:v>
      </ns0:c>
      <ns0:c r="D15" s="97" t="str">
        <ns0:f>IF($H$7="","",IFERROR(INDEX('КАТАЛОГ БИТОВ'!$O$9:$O$210,$H$7),""))</ns0:f>
        <ns0:v>19–15
00101
rs1</ns0:v>
      </ns0:c>
      <ns0:c r="E15" s="98" t="str">
        <ns0:f>IF($H$7="","",IFERROR(INDEX('КАТАЛОГ БИТОВ'!$P$9:$P$210,$H$7),""))</ns0:f>
        <ns0:v>14–12
010
funct3</ns0:v>
      </ns0:c>
      <ns0:c r="F15" s="97" t="str">
        <ns0:f>IF($H$7="","",IFERROR(INDEX('КАТАЛОГ БИТОВ'!$Q$9:$Q$210,$H$7),""))</ns0:f>
        <ns0:v>11–7
00000
imm[4:0]</ns0:v>
      </ns0:c>
      <ns0:c r="G15" s="98" t="str">
        <ns0:f>IF($H$7="","",IFERROR(INDEX('КАТАЛОГ БИТОВ'!$R$9:$R$210,$H$7),""))</ns0:f>
        <ns0:v>6–0
0100011
opcode</ns0:v>
      </ns0:c>
      <ns0:c r="H15" s="97" t="str">
        <ns0:f>IF($H$7="","",IFERROR(INDEX('КАТАЛОГ БИТОВ'!$S$9:$S$210,$H$7),""))</ns0:f>
        <ns0:v/>
      </ns0:c>
      <ns0:c r="I15" s="98" t="str">
        <ns0:f>IF($H$7="","",IFERROR(INDEX('КАТАЛОГ БИТОВ'!$T$9:$T$210,$H$7),""))</ns0:f>
        <ns0:v/>
      </ns0:c>
    </ns0:row>
    <ns0:row r="17">
      <ns0:c r="B17" s="96" t="inlineStr">
        <ns0:is>
          <ns0:t>ПОЛЯ: что означает каждое значение в данной инструкции</ns0:t>
        </ns0:is>
      </ns0:c>
      <ns0:c r="C17" s="7" t="n"/>
      <ns0:c r="D17" s="7" t="n"/>
      <ns0:c r="E17" s="7" t="n"/>
      <ns0:c r="F17" s="7" t="n"/>
      <ns0:c r="G17" s="7" t="n"/>
      <ns0:c r="H17" s="7" t="n"/>
      <ns0:c r="I17" s="7" t="n"/>
    </ns0:row>
    <ns0:row r="19" ht="46" customHeight="1">
      <ns0:c r="B19" s="99" t="inlineStr">
        <ns0:is>
          <ns0:t>01</ns0:t>
        </ns0:is>
      </ns0:c>
      <ns0:c r="C19" s="100" t="str">
        <ns0:f>IF($H$7="","",IFERROR(INDEX('КАТАЛОГ БИТОВ'!$M$9:$M$210,$H$7),""))</ns0:f>
        <ns0:v>31–25
0000000
imm[11:5]</ns0:v>
      </ns0:c>
      <ns0:c r="D19" s="65" t="n"/>
      <ns0:c r="E19" s="79" t="str">
        <ns0:f>IF($H$7="","",IFERROR(INDEX('КАТАЛОГ ОПИСАНИЙ'!$B$9:$B$210,$H$7),""))</ns0:f>
        <ns0:v>Старшие биты смещения со знаком</ns0:v>
      </ns0:c>
      <ns0:c r="F19" s="65" t="n"/>
      <ns0:c r="G19" s="65" t="n"/>
      <ns0:c r="H19" s="65" t="n"/>
      <ns0:c r="I19" s="65" t="n"/>
    </ns0:row>
    <ns0:row r="20" ht="46" customHeight="1">
      <ns0:c r="B20" s="53" t="inlineStr">
        <ns0:is>
          <ns0:t>02</ns0:t>
        </ns0:is>
      </ns0:c>
      <ns0:c r="C20" s="101" t="str">
        <ns0:f>IF($H$7="","",IFERROR(INDEX('КАТАЛОГ БИТОВ'!$N$9:$N$210,$H$7),""))</ns0:f>
        <ns0:v>24–20
11101
rs2</ns0:v>
      </ns0:c>
      <ns0:c r="E20" s="60" t="str">
        <ns0:f>IF($H$7="","",IFERROR(INDEX('КАТАЛОГ ОПИСАНИЙ'!$C$9:$C$210,$H$7),""))</ns0:f>
        <ns0:v>Источник записываемых данных: x29 = t4</ns0:v>
      </ns0:c>
    </ns0:row>
    <ns0:row r="21" ht="46" customHeight="1">
      <ns0:c r="B21" s="99" t="inlineStr">
        <ns0:is>
          <ns0:t>03</ns0:t>
        </ns0:is>
      </ns0:c>
      <ns0:c r="C21" s="100" t="str">
        <ns0:f>IF($H$7="","",IFERROR(INDEX('КАТАЛОГ БИТОВ'!$O$9:$O$210,$H$7),""))</ns0:f>
        <ns0:v>19–15
00101
rs1</ns0:v>
      </ns0:c>
      <ns0:c r="D21" s="65" t="n"/>
      <ns0:c r="E21" s="79" t="str">
        <ns0:f>IF($H$7="","",IFERROR(INDEX('КАТАЛОГ ОПИСАНИЙ'!$D$9:$D$210,$H$7),""))</ns0:f>
        <ns0:v>Базовый адрес: x5 = t0</ns0:v>
      </ns0:c>
      <ns0:c r="F21" s="65" t="n"/>
      <ns0:c r="G21" s="65" t="n"/>
      <ns0:c r="H21" s="65" t="n"/>
      <ns0:c r="I21" s="65" t="n"/>
    </ns0:row>
    <ns0:row r="22" ht="46" customHeight="1">
      <ns0:c r="B22" s="53" t="inlineStr">
        <ns0:is>
          <ns0:t>04</ns0:t>
        </ns0:is>
      </ns0:c>
      <ns0:c r="C22" s="101" t="str">
        <ns0:f>IF($H$7="","",IFERROR(INDEX('КАТАЛОГ БИТОВ'!$P$9:$P$210,$H$7),""))</ns0:f>
        <ns0:v>14–12
010
funct3</ns0:v>
      </ns0:c>
      <ns0:c r="E22" s="60" t="str">
        <ns0:f>IF($H$7="","",IFERROR(INDEX('КАТАЛОГ ОПИСАНИЙ'!$E$9:$E$210,$H$7),""))</ns0:f>
        <ns0:v>010 = SW: запись 32-битного слова</ns0:v>
      </ns0:c>
    </ns0:row>
    <ns0:row r="23" ht="46" customHeight="1">
      <ns0:c r="B23" s="99" t="inlineStr">
        <ns0:is>
          <ns0:t>05</ns0:t>
        </ns0:is>
      </ns0:c>
      <ns0:c r="C23" s="100" t="str">
        <ns0:f>IF($H$7="","",IFERROR(INDEX('КАТАЛОГ БИТОВ'!$Q$9:$Q$210,$H$7),""))</ns0:f>
        <ns0:v>11–7
00000
imm[4:0]</ns0:v>
      </ns0:c>
      <ns0:c r="D23" s="65" t="n"/>
      <ns0:c r="E23" s="79" t="str">
        <ns0:f>IF($H$7="","",IFERROR(INDEX('КАТАЛОГ ОПИСАНИЙ'!$F$9:$F$210,$H$7),""))</ns0:f>
        <ns0:v>Младшие биты смещения</ns0:v>
      </ns0:c>
      <ns0:c r="F23" s="65" t="n"/>
      <ns0:c r="G23" s="65" t="n"/>
      <ns0:c r="H23" s="65" t="n"/>
      <ns0:c r="I23" s="65" t="n"/>
    </ns0:row>
    <ns0:row r="24" ht="46" customHeight="1">
      <ns0:c r="B24" s="53" t="inlineStr">
        <ns0:is>
          <ns0:t>06</ns0:t>
        </ns0:is>
      </ns0:c>
      <ns0:c r="C24" s="101" t="str">
        <ns0:f>IF($H$7="","",IFERROR(INDEX('КАТАЛОГ БИТОВ'!$R$9:$R$210,$H$7),""))</ns0:f>
        <ns0:v>6–0
0100011
opcode</ns0:v>
      </ns0:c>
      <ns0:c r="E24" s="60" t="str">
        <ns0:f>IF($H$7="","",IFERROR(INDEX('КАТАЛОГ ОПИСАНИЙ'!$G$9:$G$210,$H$7),""))</ns0:f>
        <ns0:v>0100011: STORE</ns0:v>
      </ns0:c>
    </ns0:row>
    <ns0:row r="25" ht="46" customHeight="1">
      <ns0:c r="B25" s="99" t="inlineStr">
        <ns0:is>
          <ns0:t>07</ns0:t>
        </ns0:is>
      </ns0:c>
      <ns0:c r="C25" s="100" t="str">
        <ns0:f>IF($H$7="","",IFERROR(INDEX('КАТАЛОГ БИТОВ'!$S$9:$S$210,$H$7),""))</ns0:f>
        <ns0:v/>
      </ns0:c>
      <ns0:c r="D25" s="65" t="n"/>
      <ns0:c r="E25" s="79" t="str">
        <ns0:f>IF($H$7="","",IFERROR(INDEX('КАТАЛОГ ОПИСАНИЙ'!$H$9:$H$210,$H$7),""))</ns0:f>
        <ns0:v/>
      </ns0:c>
      <ns0:c r="F25" s="65" t="n"/>
      <ns0:c r="G25" s="65" t="n"/>
      <ns0:c r="H25" s="65" t="n"/>
      <ns0:c r="I25" s="65" t="n"/>
    </ns0:row>
    <ns0:row r="26" ht="46" customHeight="1">
      <ns0:c r="B26" s="53" t="inlineStr">
        <ns0:is>
          <ns0:t>08</ns0:t>
        </ns0:is>
      </ns0:c>
      <ns0:c r="C26" s="101" t="str">
        <ns0:f>IF($H$7="","",IFERROR(INDEX('КАТАЛОГ БИТОВ'!$T$9:$T$210,$H$7),""))</ns0:f>
        <ns0:v/>
      </ns0:c>
      <ns0:c r="E26" s="60" t="str">
        <ns0:f>IF($H$7="","",IFERROR(INDEX('КАТАЛОГ ОПИСАНИЙ'!$I$9:$I$210,$H$7),""))</ns0:f>
        <ns0:v/>
      </ns0:c>
    </ns0:row>
    <ns0:row r="28">
      <ns0:c r="B28" s="96" t="inlineStr">
        <ns0:is>
          <ns0:t>ОБЪЯСНЕНИЕ ИНСТРУКЦИИ В НАШЕЙ ПРОГРАММЕ</ns0:t>
        </ns0:is>
      </ns0:c>
      <ns0:c r="C28" s="7" t="n"/>
      <ns0:c r="D28" s="7" t="n"/>
      <ns0:c r="E28" s="7" t="n"/>
      <ns0:c r="F28" s="7" t="n"/>
      <ns0:c r="G28" s="7" t="n"/>
      <ns0:c r="H28" s="7" t="n"/>
      <ns0:c r="I28" s="7" t="n"/>
    </ns0:row>
    <ns0:row r="29" ht="47" customHeight="1">
      <ns0:c r="B29" s="102" t="str">
        <ns0:f>IF($H$7="","",IFERROR(INDEX('КАТАЛОГ БИТОВ'!$K$9:$K$210,$H$7),""))</ns0:f>
        <ns0:v>MEM32[t0 +0] ← t4. Число, находящееся в rs2, не кодируется в самой инструкции.</ns0:v>
      </ns0:c>
    </ns0:row>
    <ns0:row r="30" ht="35" customHeight="1"/>
    <ns0:row r="32">
      <ns0:c r="B32" s="103" t="inlineStr">
        <ns0:is>
          <ns0:t>ИНЖЕНЕРНАЯ ГРАНИЦА</ns0:t>
        </ns0:is>
      </ns0:c>
    </ns0:row>
    <ns0:row r="33" ht="35" customHeight="1">
      <ns0:c r="B33" s="104" t="inlineStr">
        <ns0:is>
          <ns0:t>FETCH означает принятый запрос слова из ROM — НЕ доказательство instruction retirement. Значения регистров при FETCH не измеряются. Если выбран LED_WRITE, это событие MMIO, а не инструкция: вернитесь на FETCH.</ns0:t>
        </ns0:is>
      </ns0:c>
      <ns0:c r="C33" s="105" t="n"/>
      <ns0:c r="D33" s="105" t="n"/>
      <ns0:c r="E33" s="105" t="n"/>
      <ns0:c r="F33" s="105" t="n"/>
      <ns0:c r="G33" s="105" t="n"/>
      <ns0:c r="H33" s="105" t="n"/>
      <ns0:c r="I33" s="105" t="n"/>
    </ns0:row>
    <ns0:row r="34" ht="43" customHeight="1">
      <ns0:c r="B34" s="105" t="n"/>
      <ns0:c r="C34" s="105" t="n"/>
      <ns0:c r="D34" s="105" t="n"/>
      <ns0:c r="E34" s="105" t="n"/>
      <ns0:c r="F34" s="105" t="n"/>
      <ns0:c r="G34" s="105" t="n"/>
      <ns0:c r="H34" s="105" t="n"/>
      <ns0:c r="I34" s="105" t="n"/>
    </ns0:row>
  </ns0:sheetData>
  <ns0:mergeCells count="24">
    <ns0:mergeCell ref="E21:I21"/>
    <ns0:mergeCell ref="C24:D24"/>
    <ns0:mergeCell ref="E24:I24"/>
    <ns0:mergeCell ref="E23:I23"/>
    <ns0:mergeCell ref="C26:D26"/>
    <ns0:mergeCell ref="C20:D20"/>
    <ns0:mergeCell ref="E20:I20"/>
    <ns0:mergeCell ref="B33:I34"/>
    <ns0:mergeCell ref="C25:D25"/>
    <ns0:mergeCell ref="E19:I19"/>
    <ns0:mergeCell ref="C22:D22"/>
    <ns0:mergeCell ref="B17:I17"/>
    <ns0:mergeCell ref="B13:I13"/>
    <ns0:mergeCell ref="A3:N3"/>
    <ns0:mergeCell ref="C21:D21"/>
    <ns0:mergeCell ref="B29:I30"/>
    <ns0:mergeCell ref="B28:I28"/>
    <ns0:mergeCell ref="C23:D23"/>
    <ns0:mergeCell ref="E26:I26"/>
    <ns0:mergeCell ref="A1:N2"/>
    <ns0:mergeCell ref="C19:D19"/>
    <ns0:mergeCell ref="E25:I25"/>
    <ns0:mergeCell ref="B5:I5"/>
    <ns0:mergeCell ref="E22:I22"/>
  </ns0:mergeCells>
  <ns0:dataValidations count="2">
    <ns0:dataValidation sqref="D6" showDropDown="0" showInputMessage="1" showErrorMessage="1" allowBlank="0" errorTitle="Неверный номер ROM" error="Укажите целое число 1…202" promptTitle="Рабочие слова ROM" prompt="Индекс 65 соответствует PC=0x00000100" type="whole" errorStyle="stop" operator="between">
      <ns0:formula1>1</ns0:formula1>
      <ns0:formula2>202</ns0:formula2>
    </ns0:dataValidation>
    <ns0:dataValidation sqref="H6" showDropDown="0" showInputMessage="0" showErrorMessage="1" allowBlank="0" errorTitle="Выбор источника" error="Выберите ТРАССА или РОМ" type="list">
      <ns0:formula1>"ТРАССА,РОМ"</ns0:formula1>
    </ns0:dataValidation>
  </ns0:dataValidations>
  <ns0:hyperlinks>
    <ns0:hyperlink ref="A4" ns1:id="rId1"/>
    <ns0:hyperlink ref="B4" ns1:id="rId2"/>
    <ns0:hyperlink ref="C4" ns1:id="rId3"/>
    <ns0:hyperlink ref="D4" ns1:id="rId4"/>
    <ns0:hyperlink ref="E4" ns1:id="rId5"/>
    <ns0:hyperlink ref="F4" ns1:id="rId6"/>
    <ns0:hyperlink ref="G4" ns1:id="rId7"/>
    <ns0:hyperlink ref="H4" ns1:id="rId8"/>
    <ns0:hyperlink ref="I4" ns1:id="rId9"/>
    <ns0:hyperlink ref="J4" ns1:id="rId10"/>
    <ns0:hyperlink ref="K4" ns1:id="rId11"/>
    <ns0:hyperlink ref="L4" ns1:id="rId12"/>
  </ns0:hyperlinks>
  <ns0:pageMargins left="0.75" right="0.75" top="1" bottom="1" header="0.5" footer="0.5"/>
  <ns0:pageSetup fitToHeight="0" fitToWidth="1"/>
  <ns0:legacyDrawing ns1:id="anysvml"/>
</ns0:worksheet>
</file>

<file path=xl/worksheets/sheet8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N113"/>
  <ns0:sheetViews>
    <ns0:sheetView showGridLines="0" tabSelected="0" zoomScale="85" workbookViewId="0">
      <ns0:pane xSplit="1" ySplit="4" topLeftCell="B5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4" customWidth="1" min="1" max="1"/>
    <ns0:col width="23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  <ns0:col width="23" customWidth="1" min="9" max="9"/>
    <ns0:col width="12" customWidth="1" min="10" max="10"/>
    <ns0:col width="12" customWidth="1" min="11" max="11"/>
    <ns0:col width="12" customWidth="1" min="12" max="12"/>
    <ns0:col width="12" customWidth="1" min="13" max="13"/>
    <ns0:col width="12" customWidth="1" min="14" max="14"/>
  </ns0:cols>
  <ns0:sheetData>
    <ns0:row r="1" ht="29" customHeight="1">
      <ns0:c r="A1" s="61" t="inlineStr">
        <ns0:is>
          <ns0:t>LAB-03 / 10 МНЕМОНИК НА РЕАЛЬНЫХ МАШИННЫХ СЛОВАХ</ns0:t>
        </ns0:is>
      </ns0:c>
      <ns0:c r="B1" s="2" t="n"/>
      <ns0:c r="C1" s="2" t="n"/>
      <ns0:c r="D1" s="2" t="n"/>
      <ns0:c r="E1" s="2" t="n"/>
      <ns0:c r="F1" s="2" t="n"/>
      <ns0:c r="G1" s="2" t="n"/>
      <ns0:c r="H1" s="2" t="n"/>
      <ns0:c r="I1" s="2" t="n"/>
      <ns0:c r="J1" s="2" t="n"/>
      <ns0:c r="K1" s="2" t="n"/>
      <ns0:c r="L1" s="2" t="n"/>
      <ns0:c r="M1" s="2" t="n"/>
      <ns0:c r="N1" s="2" t="n"/>
    </ns0:row>
    <ns0:row r="2" ht="17" customHeight="1">
      <ns0:c r="A2" s="2" t="n"/>
      <ns0:c r="B2" s="2" t="n"/>
      <ns0:c r="C2" s="2" t="n"/>
      <ns0:c r="D2" s="2" t="n"/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</ns0:row>
    <ns0:row r="3" ht="44" customHeight="1">
      <ns0:c r="A3" s="62" t="inlineStr">
        <ns0:is>
          <ns0:t>Один подлинный пример каждой встречающейся в LAB-03 мнемоники. 6 встречались среди 269 FETCH, 4 имеются только в активной ROM. R-type в этой программе нет.</ns0:t>
        </ns0:is>
      </ns0:c>
      <ns0:c r="B3" s="7" t="n"/>
      <ns0:c r="C3" s="7" t="n"/>
      <ns0:c r="D3" s="7" t="n"/>
      <ns0:c r="E3" s="7" t="n"/>
      <ns0:c r="F3" s="7" t="n"/>
      <ns0:c r="G3" s="7" t="n"/>
      <ns0:c r="H3" s="7" t="n"/>
      <ns0:c r="I3" s="7" t="n"/>
      <ns0:c r="J3" s="7" t="n"/>
      <ns0:c r="K3" s="7" t="n"/>
      <ns0:c r="L3" s="7" t="n"/>
      <ns0:c r="M3" s="7" t="n"/>
      <ns0:c r="N3" s="7" t="n"/>
    </ns0:row>
    <ns0:row r="4" ht="28" customHeight="1">
      <ns0:c r="A4" s="63" t="inlineStr">
        <ns0:is>
          <ns0:t>СТАРТ</ns0:t>
        </ns0:is>
      </ns0:c>
      <ns0:c r="B4" s="63" t="inlineStr">
        <ns0:is>
          <ns0:t>НАБЛЮДЕНИЕ</ns0:t>
        </ns0:is>
      </ns0:c>
      <ns0:c r="C4" s="63" t="inlineStr">
        <ns0:is>
          <ns0:t>СРАВНЕНИЕ</ns0:t>
        </ns0:is>
      </ns0:c>
      <ns0:c r="D4" s="63" t="inlineStr">
        <ns0:is>
          <ns0:t>LED / MMIO</ns0:t>
        </ns0:is>
      </ns0:c>
      <ns0:c r="E4" s="63" t="inlineStr">
        <ns0:is>
          <ns0:t>КОМАНДЫ</ns0:t>
        </ns0:is>
      </ns0:c>
      <ns0:c r="F4" s="63" t="inlineStr">
        <ns0:is>
          <ns0:t>12 ТРАСС</ns0:t>
        </ns0:is>
      </ns0:c>
      <ns0:c r="G4" s="63" t="inlineStr">
        <ns0:is>
          <ns0:t>RAW T3</ns0:t>
        </ns0:is>
      </ns0:c>
      <ns0:c r="H4" s="63" t="inlineStr">
        <ns0:is>
          <ns0:t>ROM</ns0:t>
        </ns0:is>
      </ns0:c>
      <ns0:c r="I4" s="63" t="inlineStr">
        <ns0:is>
          <ns0:t>ТЕРМИНЫ</ns0:t>
        </ns0:is>
      </ns0:c>
      <ns0:c r="J4" s="63" t="inlineStr">
        <ns0:is>
          <ns0:t>ПРОИСХОЖДЕНИЕ</ns0:t>
        </ns0:is>
      </ns0:c>
      <ns0:c r="K4" s="63" t="inlineStr">
        <ns0:is>
          <ns0:t>БИТЫ 202</ns0:t>
        </ns0:is>
      </ns0:c>
      <ns0:c r="L4" s="88" t="inlineStr">
        <ns0:is>
          <ns0:t>10 КАРТОЧЕК</ns0:t>
        </ns0:is>
      </ns0:c>
    </ns0:row>
    <ns0:row r="7" ht="32" customHeight="1">
      <ns0:c r="B7" s="106" t="inlineStr">
        <ns0:is>
          <ns0:t>01  SW  •  Store Word   |   PC=0x00000100   |   НАБЛЮДАЛОСЬ НА FPGA</ns0:t>
        </ns0:is>
      </ns0:c>
      <ns0:c r="C7" s="107" t="n"/>
      <ns0:c r="D7" s="107" t="n"/>
      <ns0:c r="E7" s="107" t="n"/>
      <ns0:c r="F7" s="107" t="n"/>
      <ns0:c r="G7" s="107" t="n"/>
      <ns0:c r="H7" s="107" t="n"/>
      <ns0:c r="I7" s="107" t="n"/>
    </ns0:row>
    <ns0:row r="8" ht="34" customHeight="1">
      <ns0:c r="B8" s="108" t="inlineStr">
        <ns0:is>
          <ns0:t>0x01D2A023     sw t4, 0(t0)     ·     S-type / S</ns0:t>
        </ns0:is>
      </ns0:c>
      <ns0:c r="C8" s="65" t="n"/>
      <ns0:c r="D8" s="65" t="n"/>
      <ns0:c r="E8" s="65" t="n"/>
      <ns0:c r="F8" s="65" t="n"/>
      <ns0:c r="G8" s="65" t="n"/>
      <ns0:c r="H8" s="65" t="n"/>
      <ns0:c r="I8" s="65" t="n"/>
    </ns0:row>
    <ns0:row r="9" ht="35" customHeight="1">
      <ns0:c r="B9" s="109" t="inlineStr">
        <ns0:is>
          <ns0:t>Записать 32-битное значение rs2 по адресу rs1+imm.</ns0:t>
        </ns0:is>
      </ns0:c>
      <ns0:c r="C9" s="110" t="n"/>
      <ns0:c r="D9" s="110" t="n"/>
      <ns0:c r="E9" s="110" t="n"/>
      <ns0:c r="F9" s="110" t="n"/>
      <ns0:c r="G9" s="110" t="n"/>
      <ns0:c r="H9" s="110" t="n"/>
      <ns0:c r="I9" s="110" t="n"/>
    </ns0:row>
    <ns0:row r="10" ht="29" customHeight="1">
      <ns0:c r="B10" s="111" t="inlineStr">
        <ns0:is>
          <ns0:t>31–25</ns0:t>
        </ns0:is>
      </ns0:c>
      <ns0:c r="C10" s="112" t="inlineStr">
        <ns0:is>
          <ns0:t>24–20</ns0:t>
        </ns0:is>
      </ns0:c>
      <ns0:c r="D10" s="112" t="inlineStr">
        <ns0:is>
          <ns0:t>19–15</ns0:t>
        </ns0:is>
      </ns0:c>
      <ns0:c r="E10" s="113" t="inlineStr">
        <ns0:is>
          <ns0:t>14–12</ns0:t>
        </ns0:is>
      </ns0:c>
      <ns0:c r="F10" s="111" t="inlineStr">
        <ns0:is>
          <ns0:t>11–7</ns0:t>
        </ns0:is>
      </ns0:c>
      <ns0:c r="G10" s="114" t="inlineStr">
        <ns0:is>
          <ns0:t>6–0</ns0:t>
        </ns0:is>
      </ns0:c>
      <ns0:c r="H10" s="110" t="n"/>
      <ns0:c r="I10" s="110" t="n"/>
    </ns0:row>
    <ns0:row r="11" ht="40" customHeight="1">
      <ns0:c r="B11" s="115" t="inlineStr">
        <ns0:is>
          <ns0:t>0000000</ns0:t>
        </ns0:is>
      </ns0:c>
      <ns0:c r="C11" s="116" t="inlineStr">
        <ns0:is>
          <ns0:t>11101</ns0:t>
        </ns0:is>
      </ns0:c>
      <ns0:c r="D11" s="116" t="inlineStr">
        <ns0:is>
          <ns0:t>00101</ns0:t>
        </ns0:is>
      </ns0:c>
      <ns0:c r="E11" s="117" t="inlineStr">
        <ns0:is>
          <ns0:t>010</ns0:t>
        </ns0:is>
      </ns0:c>
      <ns0:c r="F11" s="115" t="inlineStr">
        <ns0:is>
          <ns0:t>00000</ns0:t>
        </ns0:is>
      </ns0:c>
      <ns0:c r="G11" s="118" t="inlineStr">
        <ns0:is>
          <ns0:t>0100011</ns0:t>
        </ns0:is>
      </ns0:c>
      <ns0:c r="H11" s="110" t="n"/>
      <ns0:c r="I11" s="110" t="n"/>
    </ns0:row>
    <ns0:row r="12" ht="29" customHeight="1">
      <ns0:c r="B12" s="119" t="inlineStr">
        <ns0:is>
          <ns0:t>imm[11:5]</ns0:t>
        </ns0:is>
      </ns0:c>
      <ns0:c r="C12" s="120" t="inlineStr">
        <ns0:is>
          <ns0:t>rs2</ns0:t>
        </ns0:is>
      </ns0:c>
      <ns0:c r="D12" s="120" t="inlineStr">
        <ns0:is>
          <ns0:t>rs1</ns0:t>
        </ns0:is>
      </ns0:c>
      <ns0:c r="E12" s="121" t="inlineStr">
        <ns0:is>
          <ns0:t>funct3</ns0:t>
        </ns0:is>
      </ns0:c>
      <ns0:c r="F12" s="119" t="inlineStr">
        <ns0:is>
          <ns0:t>imm[4:0]</ns0:t>
        </ns0:is>
      </ns0:c>
      <ns0:c r="G12" s="122" t="inlineStr">
        <ns0:is>
          <ns0:t>opcode</ns0:t>
        </ns0:is>
      </ns0:c>
      <ns0:c r="H12" s="110" t="n"/>
      <ns0:c r="I12" s="110" t="n"/>
    </ns0:row>
    <ns0:row r="13" ht="58" customHeight="1">
      <ns0:c r="B13" s="123" t="inlineStr">
        <ns0:is>
          <ns0:t>S-format / смещение: 0   |   MEM32[t0 +0] ← t4. Число, находящееся в rs2, не кодируется в самой инструкции.</ns0:t>
        </ns0:is>
      </ns0:c>
      <ns0:c r="C13" s="124" t="n"/>
      <ns0:c r="D13" s="124" t="n"/>
      <ns0:c r="E13" s="124" t="n"/>
      <ns0:c r="F13" s="124" t="n"/>
      <ns0:c r="G13" s="124" t="n"/>
      <ns0:c r="H13" s="124" t="n"/>
      <ns0:c r="I13" s="124" t="n"/>
    </ns0:row>
    <ns0:row r="14" ht="50" customHeight="1">
      <ns0:c r="B14" s="125" t="inlineStr">
        <ns0:is>
          <ns0:t>Роль в LAB-03: PC=0x100 пишет выбранную LED-маску в MMIO 0x20000000.  |  FETCH этого PC в архиве: 12</ns0:t>
        </ns0:is>
      </ns0:c>
      <ns0:c r="C14" s="110" t="n"/>
      <ns0:c r="D14" s="110" t="n"/>
      <ns0:c r="E14" s="110" t="n"/>
      <ns0:c r="F14" s="110" t="n"/>
      <ns0:c r="G14" s="110" t="n"/>
      <ns0:c r="H14" s="110" t="n"/>
      <ns0:c r="I14" s="110" t="n"/>
    </ns0:row>
    <ns0:row r="15" ht="12" customHeight="1"/>
    <ns0:row r="18" ht="32" customHeight="1">
      <ns0:c r="B18" s="106" t="inlineStr">
        <ns0:is>
          <ns0:t>02  LW  •  Load Word   |   PC=0x00000104   |   НАБЛЮДАЛОСЬ НА FPGA</ns0:t>
        </ns0:is>
      </ns0:c>
      <ns0:c r="C18" s="107" t="n"/>
      <ns0:c r="D18" s="107" t="n"/>
      <ns0:c r="E18" s="107" t="n"/>
      <ns0:c r="F18" s="107" t="n"/>
      <ns0:c r="G18" s="107" t="n"/>
      <ns0:c r="H18" s="107" t="n"/>
      <ns0:c r="I18" s="107" t="n"/>
    </ns0:row>
    <ns0:row r="19" ht="34" customHeight="1">
      <ns0:c r="B19" s="108" t="inlineStr">
        <ns0:is>
          <ns0:t>0x0002AF83     lw t6, 0(t0)     ·     I-type / I</ns0:t>
        </ns0:is>
      </ns0:c>
      <ns0:c r="C19" s="65" t="n"/>
      <ns0:c r="D19" s="65" t="n"/>
      <ns0:c r="E19" s="65" t="n"/>
      <ns0:c r="F19" s="65" t="n"/>
      <ns0:c r="G19" s="65" t="n"/>
      <ns0:c r="H19" s="65" t="n"/>
      <ns0:c r="I19" s="65" t="n"/>
    </ns0:row>
    <ns0:row r="20" ht="35" customHeight="1">
      <ns0:c r="B20" s="109" t="inlineStr">
        <ns0:is>
          <ns0:t>Загрузить 32-битное слово из памяти/MMIO по rs1+imm в rd.</ns0:t>
        </ns0:is>
      </ns0:c>
      <ns0:c r="C20" s="110" t="n"/>
      <ns0:c r="D20" s="110" t="n"/>
      <ns0:c r="E20" s="110" t="n"/>
      <ns0:c r="F20" s="110" t="n"/>
      <ns0:c r="G20" s="110" t="n"/>
      <ns0:c r="H20" s="110" t="n"/>
      <ns0:c r="I20" s="110" t="n"/>
    </ns0:row>
    <ns0:row r="21" ht="29" customHeight="1">
      <ns0:c r="B21" s="111" t="inlineStr">
        <ns0:is>
          <ns0:t>31–20</ns0:t>
        </ns0:is>
      </ns0:c>
      <ns0:c r="C21" s="112" t="inlineStr">
        <ns0:is>
          <ns0:t>19–15</ns0:t>
        </ns0:is>
      </ns0:c>
      <ns0:c r="D21" s="113" t="inlineStr">
        <ns0:is>
          <ns0:t>14–12</ns0:t>
        </ns0:is>
      </ns0:c>
      <ns0:c r="E21" s="112" t="inlineStr">
        <ns0:is>
          <ns0:t>11–7</ns0:t>
        </ns0:is>
      </ns0:c>
      <ns0:c r="F21" s="114" t="inlineStr">
        <ns0:is>
          <ns0:t>6–0</ns0:t>
        </ns0:is>
      </ns0:c>
      <ns0:c r="G21" s="110" t="n"/>
      <ns0:c r="H21" s="110" t="n"/>
      <ns0:c r="I21" s="110" t="n"/>
    </ns0:row>
    <ns0:row r="22" ht="40" customHeight="1">
      <ns0:c r="B22" s="115" t="inlineStr">
        <ns0:is>
          <ns0:t>000000000000</ns0:t>
        </ns0:is>
      </ns0:c>
      <ns0:c r="C22" s="116" t="inlineStr">
        <ns0:is>
          <ns0:t>00101</ns0:t>
        </ns0:is>
      </ns0:c>
      <ns0:c r="D22" s="117" t="inlineStr">
        <ns0:is>
          <ns0:t>010</ns0:t>
        </ns0:is>
      </ns0:c>
      <ns0:c r="E22" s="116" t="inlineStr">
        <ns0:is>
          <ns0:t>11111</ns0:t>
        </ns0:is>
      </ns0:c>
      <ns0:c r="F22" s="118" t="inlineStr">
        <ns0:is>
          <ns0:t>0000011</ns0:t>
        </ns0:is>
      </ns0:c>
      <ns0:c r="G22" s="110" t="n"/>
      <ns0:c r="H22" s="110" t="n"/>
      <ns0:c r="I22" s="110" t="n"/>
    </ns0:row>
    <ns0:row r="23" ht="29" customHeight="1">
      <ns0:c r="B23" s="119" t="inlineStr">
        <ns0:is>
          <ns0:t>imm[11:0]</ns0:t>
        </ns0:is>
      </ns0:c>
      <ns0:c r="C23" s="120" t="inlineStr">
        <ns0:is>
          <ns0:t>rs1</ns0:t>
        </ns0:is>
      </ns0:c>
      <ns0:c r="D23" s="121" t="inlineStr">
        <ns0:is>
          <ns0:t>funct3</ns0:t>
        </ns0:is>
      </ns0:c>
      <ns0:c r="E23" s="120" t="inlineStr">
        <ns0:is>
          <ns0:t>rd</ns0:t>
        </ns0:is>
      </ns0:c>
      <ns0:c r="F23" s="122" t="inlineStr">
        <ns0:is>
          <ns0:t>opcode</ns0:t>
        </ns0:is>
      </ns0:c>
      <ns0:c r="G23" s="110" t="n"/>
      <ns0:c r="H23" s="110" t="n"/>
      <ns0:c r="I23" s="110" t="n"/>
    </ns0:row>
    <ns0:row r="24" ht="58" customHeight="1">
      <ns0:c r="B24" s="123" t="inlineStr">
        <ns0:is>
          <ns0:t>I-format / смещение: 0   |   t6 ← MEM32[t0 +0]. FETCH этой инструкции не удостоверяет регистрацию DATA_READ.</ns0:t>
        </ns0:is>
      </ns0:c>
      <ns0:c r="C24" s="124" t="n"/>
      <ns0:c r="D24" s="124" t="n"/>
      <ns0:c r="E24" s="124" t="n"/>
      <ns0:c r="F24" s="124" t="n"/>
      <ns0:c r="G24" s="124" t="n"/>
      <ns0:c r="H24" s="124" t="n"/>
      <ns0:c r="I24" s="124" t="n"/>
    </ns0:row>
    <ns0:row r="25" ht="50" customHeight="1">
      <ns0:c r="B25" s="125" t="inlineStr">
        <ns0:is>
          <ns0:t>Роль в LAB-03: Читает регистры UART и LED; FETCH lw не является наблюдением DATA_READ.  |  FETCH этого PC в архиве: 12</ns0:t>
        </ns0:is>
      </ns0:c>
      <ns0:c r="C25" s="110" t="n"/>
      <ns0:c r="D25" s="110" t="n"/>
      <ns0:c r="E25" s="110" t="n"/>
      <ns0:c r="F25" s="110" t="n"/>
      <ns0:c r="G25" s="110" t="n"/>
      <ns0:c r="H25" s="110" t="n"/>
      <ns0:c r="I25" s="110" t="n"/>
    </ns0:row>
    <ns0:row r="26" ht="12" customHeight="1"/>
    <ns0:row r="29" ht="32" customHeight="1">
      <ns0:c r="B29" s="106" t="inlineStr">
        <ns0:is>
          <ns0:t>03  ADDI  •  Add Immediate   |   PC=0x00000048   |   НАБЛЮДАЛОСЬ НА FPGA</ns0:t>
        </ns0:is>
      </ns0:c>
      <ns0:c r="C29" s="107" t="n"/>
      <ns0:c r="D29" s="107" t="n"/>
      <ns0:c r="E29" s="107" t="n"/>
      <ns0:c r="F29" s="107" t="n"/>
      <ns0:c r="G29" s="107" t="n"/>
      <ns0:c r="H29" s="107" t="n"/>
      <ns0:c r="I29" s="107" t="n"/>
    </ns0:row>
    <ns0:row r="30" ht="34" customHeight="1">
      <ns0:c r="B30" s="108" t="inlineStr">
        <ns0:is>
          <ns0:t>0x05400413     addi s0, zero, 84     ·     I-type / I</ns0:t>
        </ns0:is>
      </ns0:c>
      <ns0:c r="C30" s="65" t="n"/>
      <ns0:c r="D30" s="65" t="n"/>
      <ns0:c r="E30" s="65" t="n"/>
      <ns0:c r="F30" s="65" t="n"/>
      <ns0:c r="G30" s="65" t="n"/>
      <ns0:c r="H30" s="65" t="n"/>
      <ns0:c r="I30" s="65" t="n"/>
    </ns0:row>
    <ns0:row r="31" ht="35" customHeight="1">
      <ns0:c r="B31" s="109" t="inlineStr">
        <ns0:is>
          <ns0:t>Сложить значение rs1 со знаковой 12-битной константой и записать в rd.</ns0:t>
        </ns0:is>
      </ns0:c>
      <ns0:c r="C31" s="110" t="n"/>
      <ns0:c r="D31" s="110" t="n"/>
      <ns0:c r="E31" s="110" t="n"/>
      <ns0:c r="F31" s="110" t="n"/>
      <ns0:c r="G31" s="110" t="n"/>
      <ns0:c r="H31" s="110" t="n"/>
      <ns0:c r="I31" s="110" t="n"/>
    </ns0:row>
    <ns0:row r="32" ht="29" customHeight="1">
      <ns0:c r="B32" s="111" t="inlineStr">
        <ns0:is>
          <ns0:t>31–20</ns0:t>
        </ns0:is>
      </ns0:c>
      <ns0:c r="C32" s="112" t="inlineStr">
        <ns0:is>
          <ns0:t>19–15</ns0:t>
        </ns0:is>
      </ns0:c>
      <ns0:c r="D32" s="113" t="inlineStr">
        <ns0:is>
          <ns0:t>14–12</ns0:t>
        </ns0:is>
      </ns0:c>
      <ns0:c r="E32" s="112" t="inlineStr">
        <ns0:is>
          <ns0:t>11–7</ns0:t>
        </ns0:is>
      </ns0:c>
      <ns0:c r="F32" s="114" t="inlineStr">
        <ns0:is>
          <ns0:t>6–0</ns0:t>
        </ns0:is>
      </ns0:c>
      <ns0:c r="G32" s="110" t="n"/>
      <ns0:c r="H32" s="110" t="n"/>
      <ns0:c r="I32" s="110" t="n"/>
    </ns0:row>
    <ns0:row r="33" ht="40" customHeight="1">
      <ns0:c r="B33" s="115" t="inlineStr">
        <ns0:is>
          <ns0:t>000001010100</ns0:t>
        </ns0:is>
      </ns0:c>
      <ns0:c r="C33" s="116" t="inlineStr">
        <ns0:is>
          <ns0:t>00000</ns0:t>
        </ns0:is>
      </ns0:c>
      <ns0:c r="D33" s="117" t="inlineStr">
        <ns0:is>
          <ns0:t>000</ns0:t>
        </ns0:is>
      </ns0:c>
      <ns0:c r="E33" s="116" t="inlineStr">
        <ns0:is>
          <ns0:t>01000</ns0:t>
        </ns0:is>
      </ns0:c>
      <ns0:c r="F33" s="118" t="inlineStr">
        <ns0:is>
          <ns0:t>0010011</ns0:t>
        </ns0:is>
      </ns0:c>
      <ns0:c r="G33" s="110" t="n"/>
      <ns0:c r="H33" s="110" t="n"/>
      <ns0:c r="I33" s="110" t="n"/>
    </ns0:row>
    <ns0:row r="34" ht="29" customHeight="1">
      <ns0:c r="B34" s="119" t="inlineStr">
        <ns0:is>
          <ns0:t>imm[11:0]</ns0:t>
        </ns0:is>
      </ns0:c>
      <ns0:c r="C34" s="120" t="inlineStr">
        <ns0:is>
          <ns0:t>rs1</ns0:t>
        </ns0:is>
      </ns0:c>
      <ns0:c r="D34" s="121" t="inlineStr">
        <ns0:is>
          <ns0:t>funct3</ns0:t>
        </ns0:is>
      </ns0:c>
      <ns0:c r="E34" s="120" t="inlineStr">
        <ns0:is>
          <ns0:t>rd</ns0:t>
        </ns0:is>
      </ns0:c>
      <ns0:c r="F34" s="122" t="inlineStr">
        <ns0:is>
          <ns0:t>opcode</ns0:t>
        </ns0:is>
      </ns0:c>
      <ns0:c r="G34" s="110" t="n"/>
      <ns0:c r="H34" s="110" t="n"/>
      <ns0:c r="I34" s="110" t="n"/>
    </ns0:row>
    <ns0:row r="35" ht="58" customHeight="1">
      <ns0:c r="B35" s="123" t="inlineStr">
        <ns0:is>
          <ns0:t>I-format / смещение: 84   |   s0 ← zero + (+84); арифметика RV32I по модулю 2³².</ns0:t>
        </ns0:is>
      </ns0:c>
      <ns0:c r="C35" s="124" t="n"/>
      <ns0:c r="D35" s="124" t="n"/>
      <ns0:c r="E35" s="124" t="n"/>
      <ns0:c r="F35" s="124" t="n"/>
      <ns0:c r="G35" s="124" t="n"/>
      <ns0:c r="H35" s="124" t="n"/>
      <ns0:c r="I35" s="124" t="n"/>
    </ns0:row>
    <ns0:row r="36" ht="50" customHeight="1">
      <ns0:c r="B36" s="125" t="inlineStr">
        <ns0:is>
          <ns0:t>Роль в LAB-03: Подготавливает UART-символы, маски GPIO и промежуточные значения.  |  FETCH этого PC в архиве: 12</ns0:t>
        </ns0:is>
      </ns0:c>
      <ns0:c r="C36" s="110" t="n"/>
      <ns0:c r="D36" s="110" t="n"/>
      <ns0:c r="E36" s="110" t="n"/>
      <ns0:c r="F36" s="110" t="n"/>
      <ns0:c r="G36" s="110" t="n"/>
      <ns0:c r="H36" s="110" t="n"/>
      <ns0:c r="I36" s="110" t="n"/>
    </ns0:row>
    <ns0:row r="37" ht="12" customHeight="1"/>
    <ns0:row r="40" ht="32" customHeight="1">
      <ns0:c r="B40" s="106" t="inlineStr">
        <ns0:is>
          <ns0:t>04  ANDI  •  AND Immediate   |   PC=0x0000003C   |   НАБЛЮДАЛОСЬ НА FPGA</ns0:t>
        </ns0:is>
      </ns0:c>
      <ns0:c r="C40" s="107" t="n"/>
      <ns0:c r="D40" s="107" t="n"/>
      <ns0:c r="E40" s="107" t="n"/>
      <ns0:c r="F40" s="107" t="n"/>
      <ns0:c r="G40" s="107" t="n"/>
      <ns0:c r="H40" s="107" t="n"/>
      <ns0:c r="I40" s="107" t="n"/>
    </ns0:row>
    <ns0:row r="41" ht="34" customHeight="1">
      <ns0:c r="B41" s="108" t="inlineStr">
        <ns0:is>
          <ns0:t>0x0013F393     andi t2, t2, 1     ·     I-type / I</ns0:t>
        </ns0:is>
      </ns0:c>
      <ns0:c r="C41" s="65" t="n"/>
      <ns0:c r="D41" s="65" t="n"/>
      <ns0:c r="E41" s="65" t="n"/>
      <ns0:c r="F41" s="65" t="n"/>
      <ns0:c r="G41" s="65" t="n"/>
      <ns0:c r="H41" s="65" t="n"/>
      <ns0:c r="I41" s="65" t="n"/>
    </ns0:row>
    <ns0:row r="42" ht="35" customHeight="1">
      <ns0:c r="B42" s="109" t="inlineStr">
        <ns0:is>
          <ns0:t>Побитовое И значения rs1 со знаковой 12-битной константой.</ns0:t>
        </ns0:is>
      </ns0:c>
      <ns0:c r="C42" s="110" t="n"/>
      <ns0:c r="D42" s="110" t="n"/>
      <ns0:c r="E42" s="110" t="n"/>
      <ns0:c r="F42" s="110" t="n"/>
      <ns0:c r="G42" s="110" t="n"/>
      <ns0:c r="H42" s="110" t="n"/>
      <ns0:c r="I42" s="110" t="n"/>
    </ns0:row>
    <ns0:row r="43" ht="29" customHeight="1">
      <ns0:c r="B43" s="111" t="inlineStr">
        <ns0:is>
          <ns0:t>31–20</ns0:t>
        </ns0:is>
      </ns0:c>
      <ns0:c r="C43" s="112" t="inlineStr">
        <ns0:is>
          <ns0:t>19–15</ns0:t>
        </ns0:is>
      </ns0:c>
      <ns0:c r="D43" s="113" t="inlineStr">
        <ns0:is>
          <ns0:t>14–12</ns0:t>
        </ns0:is>
      </ns0:c>
      <ns0:c r="E43" s="112" t="inlineStr">
        <ns0:is>
          <ns0:t>11–7</ns0:t>
        </ns0:is>
      </ns0:c>
      <ns0:c r="F43" s="114" t="inlineStr">
        <ns0:is>
          <ns0:t>6–0</ns0:t>
        </ns0:is>
      </ns0:c>
      <ns0:c r="G43" s="110" t="n"/>
      <ns0:c r="H43" s="110" t="n"/>
      <ns0:c r="I43" s="110" t="n"/>
    </ns0:row>
    <ns0:row r="44" ht="40" customHeight="1">
      <ns0:c r="B44" s="115" t="inlineStr">
        <ns0:is>
          <ns0:t>000000000001</ns0:t>
        </ns0:is>
      </ns0:c>
      <ns0:c r="C44" s="116" t="inlineStr">
        <ns0:is>
          <ns0:t>00111</ns0:t>
        </ns0:is>
      </ns0:c>
      <ns0:c r="D44" s="117" t="inlineStr">
        <ns0:is>
          <ns0:t>111</ns0:t>
        </ns0:is>
      </ns0:c>
      <ns0:c r="E44" s="116" t="inlineStr">
        <ns0:is>
          <ns0:t>00111</ns0:t>
        </ns0:is>
      </ns0:c>
      <ns0:c r="F44" s="118" t="inlineStr">
        <ns0:is>
          <ns0:t>0010011</ns0:t>
        </ns0:is>
      </ns0:c>
      <ns0:c r="G44" s="110" t="n"/>
      <ns0:c r="H44" s="110" t="n"/>
      <ns0:c r="I44" s="110" t="n"/>
    </ns0:row>
    <ns0:row r="45" ht="29" customHeight="1">
      <ns0:c r="B45" s="119" t="inlineStr">
        <ns0:is>
          <ns0:t>imm[11:0]</ns0:t>
        </ns0:is>
      </ns0:c>
      <ns0:c r="C45" s="120" t="inlineStr">
        <ns0:is>
          <ns0:t>rs1</ns0:t>
        </ns0:is>
      </ns0:c>
      <ns0:c r="D45" s="121" t="inlineStr">
        <ns0:is>
          <ns0:t>funct3</ns0:t>
        </ns0:is>
      </ns0:c>
      <ns0:c r="E45" s="120" t="inlineStr">
        <ns0:is>
          <ns0:t>rd</ns0:t>
        </ns0:is>
      </ns0:c>
      <ns0:c r="F45" s="122" t="inlineStr">
        <ns0:is>
          <ns0:t>opcode</ns0:t>
        </ns0:is>
      </ns0:c>
      <ns0:c r="G45" s="110" t="n"/>
      <ns0:c r="H45" s="110" t="n"/>
      <ns0:c r="I45" s="110" t="n"/>
    </ns0:row>
    <ns0:row r="46" ht="58" customHeight="1">
      <ns0:c r="B46" s="123" t="inlineStr">
        <ns0:is>
          <ns0:t>I-format / смещение: 1   |   t2 ← t2 AND (+1); побитовое И с sign_extend(imm).</ns0:t>
        </ns0:is>
      </ns0:c>
      <ns0:c r="C46" s="124" t="n"/>
      <ns0:c r="D46" s="124" t="n"/>
      <ns0:c r="E46" s="124" t="n"/>
      <ns0:c r="F46" s="124" t="n"/>
      <ns0:c r="G46" s="124" t="n"/>
      <ns0:c r="H46" s="124" t="n"/>
      <ns0:c r="I46" s="124" t="n"/>
    </ns0:row>
    <ns0:row r="47" ht="50" customHeight="1">
      <ns0:c r="B47" s="125" t="inlineStr">
        <ns0:is>
          <ns0:t>Роль в LAB-03: Отделяет бит готовности при опросе UART.  |  FETCH этого PC в архиве: 11</ns0:t>
        </ns0:is>
      </ns0:c>
      <ns0:c r="C47" s="110" t="n"/>
      <ns0:c r="D47" s="110" t="n"/>
      <ns0:c r="E47" s="110" t="n"/>
      <ns0:c r="F47" s="110" t="n"/>
      <ns0:c r="G47" s="110" t="n"/>
      <ns0:c r="H47" s="110" t="n"/>
      <ns0:c r="I47" s="110" t="n"/>
    </ns0:row>
    <ns0:row r="48" ht="12" customHeight="1"/>
    <ns0:row r="51" ht="32" customHeight="1">
      <ns0:c r="B51" s="106" t="inlineStr">
        <ns0:is>
          <ns0:t>05  BEQ  •  Branch if Equal   |   PC=0x00000040   |   НАБЛЮДАЛОСЬ НА FPGA</ns0:t>
        </ns0:is>
      </ns0:c>
      <ns0:c r="C51" s="107" t="n"/>
      <ns0:c r="D51" s="107" t="n"/>
      <ns0:c r="E51" s="107" t="n"/>
      <ns0:c r="F51" s="107" t="n"/>
      <ns0:c r="G51" s="107" t="n"/>
      <ns0:c r="H51" s="107" t="n"/>
      <ns0:c r="I51" s="107" t="n"/>
    </ns0:row>
    <ns0:row r="52" ht="34" customHeight="1">
      <ns0:c r="B52" s="108" t="inlineStr">
        <ns0:is>
          <ns0:t>0xFE038CE3     beq t2, zero, 0x00000038     ·     B-type / B</ns0:t>
        </ns0:is>
      </ns0:c>
      <ns0:c r="C52" s="65" t="n"/>
      <ns0:c r="D52" s="65" t="n"/>
      <ns0:c r="E52" s="65" t="n"/>
      <ns0:c r="F52" s="65" t="n"/>
      <ns0:c r="G52" s="65" t="n"/>
      <ns0:c r="H52" s="65" t="n"/>
      <ns0:c r="I52" s="65" t="n"/>
    </ns0:row>
    <ns0:row r="53" ht="35" customHeight="1">
      <ns0:c r="B53" s="109" t="inlineStr">
        <ns0:is>
          <ns0:t>Если значения двух регистров равны, изменить PC на заданное смещение.</ns0:t>
        </ns0:is>
      </ns0:c>
      <ns0:c r="C53" s="110" t="n"/>
      <ns0:c r="D53" s="110" t="n"/>
      <ns0:c r="E53" s="110" t="n"/>
      <ns0:c r="F53" s="110" t="n"/>
      <ns0:c r="G53" s="110" t="n"/>
      <ns0:c r="H53" s="110" t="n"/>
      <ns0:c r="I53" s="110" t="n"/>
    </ns0:row>
    <ns0:row r="54" ht="29" customHeight="1">
      <ns0:c r="B54" s="111" t="inlineStr">
        <ns0:is>
          <ns0:t>31</ns0:t>
        </ns0:is>
      </ns0:c>
      <ns0:c r="C54" s="111" t="inlineStr">
        <ns0:is>
          <ns0:t>30–25</ns0:t>
        </ns0:is>
      </ns0:c>
      <ns0:c r="D54" s="112" t="inlineStr">
        <ns0:is>
          <ns0:t>24–20</ns0:t>
        </ns0:is>
      </ns0:c>
      <ns0:c r="E54" s="112" t="inlineStr">
        <ns0:is>
          <ns0:t>19–15</ns0:t>
        </ns0:is>
      </ns0:c>
      <ns0:c r="F54" s="113" t="inlineStr">
        <ns0:is>
          <ns0:t>14–12</ns0:t>
        </ns0:is>
      </ns0:c>
      <ns0:c r="G54" s="111" t="inlineStr">
        <ns0:is>
          <ns0:t>11–8</ns0:t>
        </ns0:is>
      </ns0:c>
      <ns0:c r="H54" s="111" t="inlineStr">
        <ns0:is>
          <ns0:t>7</ns0:t>
        </ns0:is>
      </ns0:c>
      <ns0:c r="I54" s="114" t="inlineStr">
        <ns0:is>
          <ns0:t>6–0</ns0:t>
        </ns0:is>
      </ns0:c>
    </ns0:row>
    <ns0:row r="55" ht="40" customHeight="1">
      <ns0:c r="B55" s="115" t="inlineStr">
        <ns0:is>
          <ns0:t>1</ns0:t>
        </ns0:is>
      </ns0:c>
      <ns0:c r="C55" s="115" t="inlineStr">
        <ns0:is>
          <ns0:t>111111</ns0:t>
        </ns0:is>
      </ns0:c>
      <ns0:c r="D55" s="116" t="inlineStr">
        <ns0:is>
          <ns0:t>00000</ns0:t>
        </ns0:is>
      </ns0:c>
      <ns0:c r="E55" s="116" t="inlineStr">
        <ns0:is>
          <ns0:t>00111</ns0:t>
        </ns0:is>
      </ns0:c>
      <ns0:c r="F55" s="117" t="inlineStr">
        <ns0:is>
          <ns0:t>000</ns0:t>
        </ns0:is>
      </ns0:c>
      <ns0:c r="G55" s="115" t="inlineStr">
        <ns0:is>
          <ns0:t>1100</ns0:t>
        </ns0:is>
      </ns0:c>
      <ns0:c r="H55" s="115" t="inlineStr">
        <ns0:is>
          <ns0:t>1</ns0:t>
        </ns0:is>
      </ns0:c>
      <ns0:c r="I55" s="118" t="inlineStr">
        <ns0:is>
          <ns0:t>1100011</ns0:t>
        </ns0:is>
      </ns0:c>
    </ns0:row>
    <ns0:row r="56" ht="29" customHeight="1">
      <ns0:c r="B56" s="119" t="inlineStr">
        <ns0:is>
          <ns0:t>imm[12]</ns0:t>
        </ns0:is>
      </ns0:c>
      <ns0:c r="C56" s="119" t="inlineStr">
        <ns0:is>
          <ns0:t>imm[10:5]</ns0:t>
        </ns0:is>
      </ns0:c>
      <ns0:c r="D56" s="120" t="inlineStr">
        <ns0:is>
          <ns0:t>rs2</ns0:t>
        </ns0:is>
      </ns0:c>
      <ns0:c r="E56" s="120" t="inlineStr">
        <ns0:is>
          <ns0:t>rs1</ns0:t>
        </ns0:is>
      </ns0:c>
      <ns0:c r="F56" s="121" t="inlineStr">
        <ns0:is>
          <ns0:t>funct3</ns0:t>
        </ns0:is>
      </ns0:c>
      <ns0:c r="G56" s="119" t="inlineStr">
        <ns0:is>
          <ns0:t>imm[4:1]</ns0:t>
        </ns0:is>
      </ns0:c>
      <ns0:c r="H56" s="119" t="inlineStr">
        <ns0:is>
          <ns0:t>imm[11]</ns0:t>
        </ns0:is>
      </ns0:c>
      <ns0:c r="I56" s="122" t="inlineStr">
        <ns0:is>
          <ns0:t>opcode</ns0:t>
        </ns0:is>
      </ns0:c>
    </ns0:row>
    <ns0:row r="57" ht="58" customHeight="1">
      <ns0:c r="B57" s="123" t="inlineStr">
        <ns0:is>
          <ns0:t>B-format / смещение: -8   |   Если t2 = zero, PC ← 0x00000038; иначе PC ← PC+4. Смещение -8 байт.</ns0:t>
        </ns0:is>
      </ns0:c>
      <ns0:c r="C57" s="124" t="n"/>
      <ns0:c r="D57" s="124" t="n"/>
      <ns0:c r="E57" s="124" t="n"/>
      <ns0:c r="F57" s="124" t="n"/>
      <ns0:c r="G57" s="124" t="n"/>
      <ns0:c r="H57" s="124" t="n"/>
      <ns0:c r="I57" s="124" t="n"/>
    </ns0:row>
    <ns0:row r="58" ht="50" customHeight="1">
      <ns0:c r="B58" s="125" t="inlineStr">
        <ns0:is>
          <ns0:t>Роль в LAB-03: Проверяет команду или организует цикл ожидания UART.  |  FETCH этого PC в архиве: 15</ns0:t>
        </ns0:is>
      </ns0:c>
      <ns0:c r="C58" s="110" t="n"/>
      <ns0:c r="D58" s="110" t="n"/>
      <ns0:c r="E58" s="110" t="n"/>
      <ns0:c r="F58" s="110" t="n"/>
      <ns0:c r="G58" s="110" t="n"/>
      <ns0:c r="H58" s="110" t="n"/>
      <ns0:c r="I58" s="110" t="n"/>
    </ns0:row>
    <ns0:row r="59" ht="12" customHeight="1"/>
    <ns0:row r="62" ht="32" customHeight="1">
      <ns0:c r="B62" s="106" t="inlineStr">
        <ns0:is>
          <ns0:t>06  JAL  •  Jump And Link   |   PC=0x000000B4   |   НАБЛЮДАЛОСЬ НА FPGA</ns0:t>
        </ns0:is>
      </ns0:c>
      <ns0:c r="C62" s="107" t="n"/>
      <ns0:c r="D62" s="107" t="n"/>
      <ns0:c r="E62" s="107" t="n"/>
      <ns0:c r="F62" s="107" t="n"/>
      <ns0:c r="G62" s="107" t="n"/>
      <ns0:c r="H62" s="107" t="n"/>
      <ns0:c r="I62" s="107" t="n"/>
    </ns0:row>
    <ns0:row r="63" ht="34" customHeight="1">
      <ns0:c r="B63" s="108" t="inlineStr">
        <ns0:is>
          <ns0:t>0x04C0006F     jal zero, 0x00000100     ·     J-type / J</ns0:t>
        </ns0:is>
      </ns0:c>
      <ns0:c r="C63" s="65" t="n"/>
      <ns0:c r="D63" s="65" t="n"/>
      <ns0:c r="E63" s="65" t="n"/>
      <ns0:c r="F63" s="65" t="n"/>
      <ns0:c r="G63" s="65" t="n"/>
      <ns0:c r="H63" s="65" t="n"/>
      <ns0:c r="I63" s="65" t="n"/>
    </ns0:row>
    <ns0:row r="64" ht="35" customHeight="1">
      <ns0:c r="B64" s="109" t="inlineStr">
        <ns0:is>
          <ns0:t>Записать PC+4 в rd и перейти по PC-относительному смещению.</ns0:t>
        </ns0:is>
      </ns0:c>
      <ns0:c r="C64" s="110" t="n"/>
      <ns0:c r="D64" s="110" t="n"/>
      <ns0:c r="E64" s="110" t="n"/>
      <ns0:c r="F64" s="110" t="n"/>
      <ns0:c r="G64" s="110" t="n"/>
      <ns0:c r="H64" s="110" t="n"/>
      <ns0:c r="I64" s="110" t="n"/>
    </ns0:row>
    <ns0:row r="65" ht="29" customHeight="1">
      <ns0:c r="B65" s="111" t="inlineStr">
        <ns0:is>
          <ns0:t>31</ns0:t>
        </ns0:is>
      </ns0:c>
      <ns0:c r="C65" s="111" t="inlineStr">
        <ns0:is>
          <ns0:t>30–21</ns0:t>
        </ns0:is>
      </ns0:c>
      <ns0:c r="D65" s="111" t="inlineStr">
        <ns0:is>
          <ns0:t>20</ns0:t>
        </ns0:is>
      </ns0:c>
      <ns0:c r="E65" s="111" t="inlineStr">
        <ns0:is>
          <ns0:t>19–12</ns0:t>
        </ns0:is>
      </ns0:c>
      <ns0:c r="F65" s="112" t="inlineStr">
        <ns0:is>
          <ns0:t>11–7</ns0:t>
        </ns0:is>
      </ns0:c>
      <ns0:c r="G65" s="114" t="inlineStr">
        <ns0:is>
          <ns0:t>6–0</ns0:t>
        </ns0:is>
      </ns0:c>
      <ns0:c r="H65" s="110" t="n"/>
      <ns0:c r="I65" s="110" t="n"/>
    </ns0:row>
    <ns0:row r="66" ht="40" customHeight="1">
      <ns0:c r="B66" s="115" t="inlineStr">
        <ns0:is>
          <ns0:t>0</ns0:t>
        </ns0:is>
      </ns0:c>
      <ns0:c r="C66" s="115" t="inlineStr">
        <ns0:is>
          <ns0:t>0000100110</ns0:t>
        </ns0:is>
      </ns0:c>
      <ns0:c r="D66" s="115" t="inlineStr">
        <ns0:is>
          <ns0:t>0</ns0:t>
        </ns0:is>
      </ns0:c>
      <ns0:c r="E66" s="115" t="inlineStr">
        <ns0:is>
          <ns0:t>00000000</ns0:t>
        </ns0:is>
      </ns0:c>
      <ns0:c r="F66" s="116" t="inlineStr">
        <ns0:is>
          <ns0:t>00000</ns0:t>
        </ns0:is>
      </ns0:c>
      <ns0:c r="G66" s="118" t="inlineStr">
        <ns0:is>
          <ns0:t>1101111</ns0:t>
        </ns0:is>
      </ns0:c>
      <ns0:c r="H66" s="110" t="n"/>
      <ns0:c r="I66" s="110" t="n"/>
    </ns0:row>
    <ns0:row r="67" ht="29" customHeight="1">
      <ns0:c r="B67" s="119" t="inlineStr">
        <ns0:is>
          <ns0:t>imm[20]</ns0:t>
        </ns0:is>
      </ns0:c>
      <ns0:c r="C67" s="119" t="inlineStr">
        <ns0:is>
          <ns0:t>imm[10:1]</ns0:t>
        </ns0:is>
      </ns0:c>
      <ns0:c r="D67" s="119" t="inlineStr">
        <ns0:is>
          <ns0:t>imm[11]</ns0:t>
        </ns0:is>
      </ns0:c>
      <ns0:c r="E67" s="119" t="inlineStr">
        <ns0:is>
          <ns0:t>imm[19:12]</ns0:t>
        </ns0:is>
      </ns0:c>
      <ns0:c r="F67" s="120" t="inlineStr">
        <ns0:is>
          <ns0:t>rd</ns0:t>
        </ns0:is>
      </ns0:c>
      <ns0:c r="G67" s="122" t="inlineStr">
        <ns0:is>
          <ns0:t>opcode</ns0:t>
        </ns0:is>
      </ns0:c>
      <ns0:c r="H67" s="110" t="n"/>
      <ns0:c r="I67" s="110" t="n"/>
    </ns0:row>
    <ns0:row r="68" ht="58" customHeight="1">
      <ns0:c r="B68" s="123" t="inlineStr">
        <ns0:is>
          <ns0:t>J-format / смещение: 76   |   PC ← 0x00000100; rd (zero) ← PC+4. Смещение +76 байт относительно PC.</ns0:t>
        </ns0:is>
      </ns0:c>
      <ns0:c r="C68" s="124" t="n"/>
      <ns0:c r="D68" s="124" t="n"/>
      <ns0:c r="E68" s="124" t="n"/>
      <ns0:c r="F68" s="124" t="n"/>
      <ns0:c r="G68" s="124" t="n"/>
      <ns0:c r="H68" s="124" t="n"/>
      <ns0:c r="I68" s="124" t="n"/>
    </ns0:row>
    <ns0:row r="69" ht="50" customHeight="1">
      <ns0:c r="B69" s="125" t="inlineStr">
        <ns0:is>
          <ns0:t>Роль в LAB-03: Вызывает подпрограммы; jal zero,... делает переход без сохранения адреса возврата.  |  FETCH этого PC в архиве: 6</ns0:t>
        </ns0:is>
      </ns0:c>
      <ns0:c r="C69" s="110" t="n"/>
      <ns0:c r="D69" s="110" t="n"/>
      <ns0:c r="E69" s="110" t="n"/>
      <ns0:c r="F69" s="110" t="n"/>
      <ns0:c r="G69" s="110" t="n"/>
      <ns0:c r="H69" s="110" t="n"/>
      <ns0:c r="I69" s="110" t="n"/>
    </ns0:row>
    <ns0:row r="70" ht="12" customHeight="1"/>
    <ns0:row r="73" ht="32" customHeight="1">
      <ns0:c r="B73" s="126" t="inlineStr">
        <ns0:is>
          <ns0:t>07  LUI  •  Load Upper Immediate   |   PC=0x00000000   |   ПРИСУТСТВУЕТ В ROM (в серии T3 не наблюдалось)</ns0:t>
        </ns0:is>
      </ns0:c>
      <ns0:c r="C73" s="127" t="n"/>
      <ns0:c r="D73" s="127" t="n"/>
      <ns0:c r="E73" s="127" t="n"/>
      <ns0:c r="F73" s="127" t="n"/>
      <ns0:c r="G73" s="127" t="n"/>
      <ns0:c r="H73" s="127" t="n"/>
      <ns0:c r="I73" s="127" t="n"/>
    </ns0:row>
    <ns0:row r="74" ht="34" customHeight="1">
      <ns0:c r="B74" s="108" t="inlineStr">
        <ns0:is>
          <ns0:t>0x200002B7     lui t0, 0x20000000     ·     U-type / U</ns0:t>
        </ns0:is>
      </ns0:c>
      <ns0:c r="C74" s="65" t="n"/>
      <ns0:c r="D74" s="65" t="n"/>
      <ns0:c r="E74" s="65" t="n"/>
      <ns0:c r="F74" s="65" t="n"/>
      <ns0:c r="G74" s="65" t="n"/>
      <ns0:c r="H74" s="65" t="n"/>
      <ns0:c r="I74" s="65" t="n"/>
    </ns0:row>
    <ns0:row r="75" ht="35" customHeight="1">
      <ns0:c r="B75" s="109" t="inlineStr">
        <ns0:is>
          <ns0:t>Поместить 20-битный immediate в старшие биты rd; нижние 12 бит обнулить.</ns0:t>
        </ns0:is>
      </ns0:c>
      <ns0:c r="C75" s="110" t="n"/>
      <ns0:c r="D75" s="110" t="n"/>
      <ns0:c r="E75" s="110" t="n"/>
      <ns0:c r="F75" s="110" t="n"/>
      <ns0:c r="G75" s="110" t="n"/>
      <ns0:c r="H75" s="110" t="n"/>
      <ns0:c r="I75" s="110" t="n"/>
    </ns0:row>
    <ns0:row r="76" ht="29" customHeight="1">
      <ns0:c r="B76" s="111" t="inlineStr">
        <ns0:is>
          <ns0:t>31–12</ns0:t>
        </ns0:is>
      </ns0:c>
      <ns0:c r="C76" s="112" t="inlineStr">
        <ns0:is>
          <ns0:t>11–7</ns0:t>
        </ns0:is>
      </ns0:c>
      <ns0:c r="D76" s="114" t="inlineStr">
        <ns0:is>
          <ns0:t>6–0</ns0:t>
        </ns0:is>
      </ns0:c>
      <ns0:c r="E76" s="110" t="n"/>
      <ns0:c r="F76" s="110" t="n"/>
      <ns0:c r="G76" s="110" t="n"/>
      <ns0:c r="H76" s="110" t="n"/>
      <ns0:c r="I76" s="110" t="n"/>
    </ns0:row>
    <ns0:row r="77" ht="40" customHeight="1">
      <ns0:c r="B77" s="115" t="inlineStr">
        <ns0:is>
          <ns0:t>00100000000000000000</ns0:t>
        </ns0:is>
      </ns0:c>
      <ns0:c r="C77" s="116" t="inlineStr">
        <ns0:is>
          <ns0:t>00101</ns0:t>
        </ns0:is>
      </ns0:c>
      <ns0:c r="D77" s="118" t="inlineStr">
        <ns0:is>
          <ns0:t>0110111</ns0:t>
        </ns0:is>
      </ns0:c>
      <ns0:c r="E77" s="110" t="n"/>
      <ns0:c r="F77" s="110" t="n"/>
      <ns0:c r="G77" s="110" t="n"/>
      <ns0:c r="H77" s="110" t="n"/>
      <ns0:c r="I77" s="110" t="n"/>
    </ns0:row>
    <ns0:row r="78" ht="29" customHeight="1">
      <ns0:c r="B78" s="119" t="inlineStr">
        <ns0:is>
          <ns0:t>imm[31:12]</ns0:t>
        </ns0:is>
      </ns0:c>
      <ns0:c r="C78" s="120" t="inlineStr">
        <ns0:is>
          <ns0:t>rd</ns0:t>
        </ns0:is>
      </ns0:c>
      <ns0:c r="D78" s="122" t="inlineStr">
        <ns0:is>
          <ns0:t>opcode</ns0:t>
        </ns0:is>
      </ns0:c>
      <ns0:c r="E78" s="110" t="n"/>
      <ns0:c r="F78" s="110" t="n"/>
      <ns0:c r="G78" s="110" t="n"/>
      <ns0:c r="H78" s="110" t="n"/>
      <ns0:c r="I78" s="110" t="n"/>
    </ns0:row>
    <ns0:row r="79" ht="58" customHeight="1">
      <ns0:c r="B79" s="123" t="inlineStr">
        <ns0:is>
          <ns0:t>U-format / смещение: 131072   |   rd (t0) ← 0x20000000. Здесь формируется старшая часть адреса периферии.</ns0:t>
        </ns0:is>
      </ns0:c>
      <ns0:c r="C79" s="124" t="n"/>
      <ns0:c r="D79" s="124" t="n"/>
      <ns0:c r="E79" s="124" t="n"/>
      <ns0:c r="F79" s="124" t="n"/>
      <ns0:c r="G79" s="124" t="n"/>
      <ns0:c r="H79" s="124" t="n"/>
      <ns0:c r="I79" s="124" t="n"/>
    </ns0:row>
    <ns0:row r="80" ht="50" customHeight="1">
      <ns0:c r="B80" s="125" t="inlineStr">
        <ns0:is>
          <ns0:t>Роль в LAB-03: Формирует в t0 базовый адрес MMIO 0x20000000.  |  FETCH этого PC в архиве: 0</ns0:t>
        </ns0:is>
      </ns0:c>
      <ns0:c r="C80" s="110" t="n"/>
      <ns0:c r="D80" s="110" t="n"/>
      <ns0:c r="E80" s="110" t="n"/>
      <ns0:c r="F80" s="110" t="n"/>
      <ns0:c r="G80" s="110" t="n"/>
      <ns0:c r="H80" s="110" t="n"/>
      <ns0:c r="I80" s="110" t="n"/>
    </ns0:row>
    <ns0:row r="81" ht="12" customHeight="1"/>
    <ns0:row r="84" ht="32" customHeight="1">
      <ns0:c r="B84" s="126" t="inlineStr">
        <ns0:is>
          <ns0:t>08  BNE  •  Branch if Not Equal   |   PC=0x00000108   |   ПРИСУТСТВУЕТ В ROM (в серии T3 не наблюдалось)</ns0:t>
        </ns0:is>
      </ns0:c>
      <ns0:c r="C84" s="127" t="n"/>
      <ns0:c r="D84" s="127" t="n"/>
      <ns0:c r="E84" s="127" t="n"/>
      <ns0:c r="F84" s="127" t="n"/>
      <ns0:c r="G84" s="127" t="n"/>
      <ns0:c r="H84" s="127" t="n"/>
      <ns0:c r="I84" s="127" t="n"/>
    </ns0:row>
    <ns0:row r="85" ht="34" customHeight="1">
      <ns0:c r="B85" s="108" t="inlineStr">
        <ns0:is>
          <ns0:t>0x0BDF9C63     bne t6, t4, 0x000001c0     ·     B-type / B</ns0:t>
        </ns0:is>
      </ns0:c>
      <ns0:c r="C85" s="65" t="n"/>
      <ns0:c r="D85" s="65" t="n"/>
      <ns0:c r="E85" s="65" t="n"/>
      <ns0:c r="F85" s="65" t="n"/>
      <ns0:c r="G85" s="65" t="n"/>
      <ns0:c r="H85" s="65" t="n"/>
      <ns0:c r="I85" s="65" t="n"/>
    </ns0:row>
    <ns0:row r="86" ht="35" customHeight="1">
      <ns0:c r="B86" s="109" t="inlineStr">
        <ns0:is>
          <ns0:t>Если значения двух регистров различны, изменить PC на заданное смещение.</ns0:t>
        </ns0:is>
      </ns0:c>
      <ns0:c r="C86" s="110" t="n"/>
      <ns0:c r="D86" s="110" t="n"/>
      <ns0:c r="E86" s="110" t="n"/>
      <ns0:c r="F86" s="110" t="n"/>
      <ns0:c r="G86" s="110" t="n"/>
      <ns0:c r="H86" s="110" t="n"/>
      <ns0:c r="I86" s="110" t="n"/>
    </ns0:row>
    <ns0:row r="87" ht="29" customHeight="1">
      <ns0:c r="B87" s="111" t="inlineStr">
        <ns0:is>
          <ns0:t>31</ns0:t>
        </ns0:is>
      </ns0:c>
      <ns0:c r="C87" s="111" t="inlineStr">
        <ns0:is>
          <ns0:t>30–25</ns0:t>
        </ns0:is>
      </ns0:c>
      <ns0:c r="D87" s="112" t="inlineStr">
        <ns0:is>
          <ns0:t>24–20</ns0:t>
        </ns0:is>
      </ns0:c>
      <ns0:c r="E87" s="112" t="inlineStr">
        <ns0:is>
          <ns0:t>19–15</ns0:t>
        </ns0:is>
      </ns0:c>
      <ns0:c r="F87" s="113" t="inlineStr">
        <ns0:is>
          <ns0:t>14–12</ns0:t>
        </ns0:is>
      </ns0:c>
      <ns0:c r="G87" s="111" t="inlineStr">
        <ns0:is>
          <ns0:t>11–8</ns0:t>
        </ns0:is>
      </ns0:c>
      <ns0:c r="H87" s="111" t="inlineStr">
        <ns0:is>
          <ns0:t>7</ns0:t>
        </ns0:is>
      </ns0:c>
      <ns0:c r="I87" s="114" t="inlineStr">
        <ns0:is>
          <ns0:t>6–0</ns0:t>
        </ns0:is>
      </ns0:c>
    </ns0:row>
    <ns0:row r="88" ht="40" customHeight="1">
      <ns0:c r="B88" s="115" t="inlineStr">
        <ns0:is>
          <ns0:t>0</ns0:t>
        </ns0:is>
      </ns0:c>
      <ns0:c r="C88" s="115" t="inlineStr">
        <ns0:is>
          <ns0:t>000101</ns0:t>
        </ns0:is>
      </ns0:c>
      <ns0:c r="D88" s="116" t="inlineStr">
        <ns0:is>
          <ns0:t>11101</ns0:t>
        </ns0:is>
      </ns0:c>
      <ns0:c r="E88" s="116" t="inlineStr">
        <ns0:is>
          <ns0:t>11111</ns0:t>
        </ns0:is>
      </ns0:c>
      <ns0:c r="F88" s="117" t="inlineStr">
        <ns0:is>
          <ns0:t>001</ns0:t>
        </ns0:is>
      </ns0:c>
      <ns0:c r="G88" s="115" t="inlineStr">
        <ns0:is>
          <ns0:t>1100</ns0:t>
        </ns0:is>
      </ns0:c>
      <ns0:c r="H88" s="115" t="inlineStr">
        <ns0:is>
          <ns0:t>0</ns0:t>
        </ns0:is>
      </ns0:c>
      <ns0:c r="I88" s="118" t="inlineStr">
        <ns0:is>
          <ns0:t>1100011</ns0:t>
        </ns0:is>
      </ns0:c>
    </ns0:row>
    <ns0:row r="89" ht="29" customHeight="1">
      <ns0:c r="B89" s="119" t="inlineStr">
        <ns0:is>
          <ns0:t>imm[12]</ns0:t>
        </ns0:is>
      </ns0:c>
      <ns0:c r="C89" s="119" t="inlineStr">
        <ns0:is>
          <ns0:t>imm[10:5]</ns0:t>
        </ns0:is>
      </ns0:c>
      <ns0:c r="D89" s="120" t="inlineStr">
        <ns0:is>
          <ns0:t>rs2</ns0:t>
        </ns0:is>
      </ns0:c>
      <ns0:c r="E89" s="120" t="inlineStr">
        <ns0:is>
          <ns0:t>rs1</ns0:t>
        </ns0:is>
      </ns0:c>
      <ns0:c r="F89" s="121" t="inlineStr">
        <ns0:is>
          <ns0:t>funct3</ns0:t>
        </ns0:is>
      </ns0:c>
      <ns0:c r="G89" s="119" t="inlineStr">
        <ns0:is>
          <ns0:t>imm[4:1]</ns0:t>
        </ns0:is>
      </ns0:c>
      <ns0:c r="H89" s="119" t="inlineStr">
        <ns0:is>
          <ns0:t>imm[11]</ns0:t>
        </ns0:is>
      </ns0:c>
      <ns0:c r="I89" s="122" t="inlineStr">
        <ns0:is>
          <ns0:t>opcode</ns0:t>
        </ns0:is>
      </ns0:c>
    </ns0:row>
    <ns0:row r="90" ht="58" customHeight="1">
      <ns0:c r="B90" s="123" t="inlineStr">
        <ns0:is>
          <ns0:t>B-format / смещение: 184   |   Если t6 ≠ t4, PC ← 0x000001C0; иначе PC ← PC+4. Смещение +184 байт.</ns0:t>
        </ns0:is>
      </ns0:c>
      <ns0:c r="C90" s="124" t="n"/>
      <ns0:c r="D90" s="124" t="n"/>
      <ns0:c r="E90" s="124" t="n"/>
      <ns0:c r="F90" s="124" t="n"/>
      <ns0:c r="G90" s="124" t="n"/>
      <ns0:c r="H90" s="124" t="n"/>
      <ns0:c r="I90" s="124" t="n"/>
    </ns0:row>
    <ns0:row r="91" ht="50" customHeight="1">
      <ns0:c r="B91" s="125" t="inlineStr">
        <ns0:is>
          <ns0:t>Роль в LAB-03: Проверяет результат обратного чтения LED-регистра.  |  FETCH этого PC в архиве: 0</ns0:t>
        </ns0:is>
      </ns0:c>
      <ns0:c r="C91" s="110" t="n"/>
      <ns0:c r="D91" s="110" t="n"/>
      <ns0:c r="E91" s="110" t="n"/>
      <ns0:c r="F91" s="110" t="n"/>
      <ns0:c r="G91" s="110" t="n"/>
      <ns0:c r="H91" s="110" t="n"/>
      <ns0:c r="I91" s="110" t="n"/>
    </ns0:row>
    <ns0:row r="92" ht="12" customHeight="1"/>
    <ns0:row r="95" ht="32" customHeight="1">
      <ns0:c r="B95" s="126" t="inlineStr">
        <ns0:is>
          <ns0:t>09  SRLI  •  Shift Right Logical Immediate   |   PC=0x000002A4   |   ПРИСУТСТВУЕТ В ROM (в серии T3 не наблюдалось)</ns0:t>
        </ns0:is>
      </ns0:c>
      <ns0:c r="C95" s="127" t="n"/>
      <ns0:c r="D95" s="127" t="n"/>
      <ns0:c r="E95" s="127" t="n"/>
      <ns0:c r="F95" s="127" t="n"/>
      <ns0:c r="G95" s="127" t="n"/>
      <ns0:c r="H95" s="127" t="n"/>
      <ns0:c r="I95" s="127" t="n"/>
    </ns0:row>
    <ns0:row r="96" ht="34" customHeight="1">
      <ns0:c r="B96" s="108" t="inlineStr">
        <ns0:is>
          <ns0:t>0x01C55313     srli t1, a0, 28     ·     I-shift-type / I-shift</ns0:t>
        </ns0:is>
      </ns0:c>
      <ns0:c r="C96" s="65" t="n"/>
      <ns0:c r="D96" s="65" t="n"/>
      <ns0:c r="E96" s="65" t="n"/>
      <ns0:c r="F96" s="65" t="n"/>
      <ns0:c r="G96" s="65" t="n"/>
      <ns0:c r="H96" s="65" t="n"/>
      <ns0:c r="I96" s="65" t="n"/>
    </ns0:row>
    <ns0:row r="97" ht="35" customHeight="1">
      <ns0:c r="B97" s="109" t="inlineStr">
        <ns0:is>
          <ns0:t>Логически сдвинуть 32-битное значение rs1 вправо на shamt.</ns0:t>
        </ns0:is>
      </ns0:c>
      <ns0:c r="C97" s="110" t="n"/>
      <ns0:c r="D97" s="110" t="n"/>
      <ns0:c r="E97" s="110" t="n"/>
      <ns0:c r="F97" s="110" t="n"/>
      <ns0:c r="G97" s="110" t="n"/>
      <ns0:c r="H97" s="110" t="n"/>
      <ns0:c r="I97" s="110" t="n"/>
    </ns0:row>
    <ns0:row r="98" ht="29" customHeight="1">
      <ns0:c r="B98" s="113" t="inlineStr">
        <ns0:is>
          <ns0:t>31–25</ns0:t>
        </ns0:is>
      </ns0:c>
      <ns0:c r="C98" s="128" t="inlineStr">
        <ns0:is>
          <ns0:t>24–20</ns0:t>
        </ns0:is>
      </ns0:c>
      <ns0:c r="D98" s="112" t="inlineStr">
        <ns0:is>
          <ns0:t>19–15</ns0:t>
        </ns0:is>
      </ns0:c>
      <ns0:c r="E98" s="113" t="inlineStr">
        <ns0:is>
          <ns0:t>14–12</ns0:t>
        </ns0:is>
      </ns0:c>
      <ns0:c r="F98" s="112" t="inlineStr">
        <ns0:is>
          <ns0:t>11–7</ns0:t>
        </ns0:is>
      </ns0:c>
      <ns0:c r="G98" s="114" t="inlineStr">
        <ns0:is>
          <ns0:t>6–0</ns0:t>
        </ns0:is>
      </ns0:c>
      <ns0:c r="H98" s="110" t="n"/>
      <ns0:c r="I98" s="110" t="n"/>
    </ns0:row>
    <ns0:row r="99" ht="40" customHeight="1">
      <ns0:c r="B99" s="117" t="inlineStr">
        <ns0:is>
          <ns0:t>0000000</ns0:t>
        </ns0:is>
      </ns0:c>
      <ns0:c r="C99" s="129" t="inlineStr">
        <ns0:is>
          <ns0:t>11100</ns0:t>
        </ns0:is>
      </ns0:c>
      <ns0:c r="D99" s="116" t="inlineStr">
        <ns0:is>
          <ns0:t>01010</ns0:t>
        </ns0:is>
      </ns0:c>
      <ns0:c r="E99" s="117" t="inlineStr">
        <ns0:is>
          <ns0:t>101</ns0:t>
        </ns0:is>
      </ns0:c>
      <ns0:c r="F99" s="116" t="inlineStr">
        <ns0:is>
          <ns0:t>00110</ns0:t>
        </ns0:is>
      </ns0:c>
      <ns0:c r="G99" s="118" t="inlineStr">
        <ns0:is>
          <ns0:t>0010011</ns0:t>
        </ns0:is>
      </ns0:c>
      <ns0:c r="H99" s="110" t="n"/>
      <ns0:c r="I99" s="110" t="n"/>
    </ns0:row>
    <ns0:row r="100" ht="29" customHeight="1">
      <ns0:c r="B100" s="121" t="inlineStr">
        <ns0:is>
          <ns0:t>funct7</ns0:t>
        </ns0:is>
      </ns0:c>
      <ns0:c r="C100" s="130" t="inlineStr">
        <ns0:is>
          <ns0:t>shamt[4:0]</ns0:t>
        </ns0:is>
      </ns0:c>
      <ns0:c r="D100" s="120" t="inlineStr">
        <ns0:is>
          <ns0:t>rs1</ns0:t>
        </ns0:is>
      </ns0:c>
      <ns0:c r="E100" s="121" t="inlineStr">
        <ns0:is>
          <ns0:t>funct3</ns0:t>
        </ns0:is>
      </ns0:c>
      <ns0:c r="F100" s="120" t="inlineStr">
        <ns0:is>
          <ns0:t>rd</ns0:t>
        </ns0:is>
      </ns0:c>
      <ns0:c r="G100" s="122" t="inlineStr">
        <ns0:is>
          <ns0:t>opcode</ns0:t>
        </ns0:is>
      </ns0:c>
      <ns0:c r="H100" s="110" t="n"/>
      <ns0:c r="I100" s="110" t="n"/>
    </ns0:row>
    <ns0:row r="101" ht="58" customHeight="1">
      <ns0:c r="B101" s="123" t="inlineStr">
        <ns0:is>
          <ns0:t>I-shift-format / смещение: 28   |   t1 ← unsigned(a0) &gt;&gt; 28 (заполнение старших разрядов нулями).</ns0:t>
        </ns0:is>
      </ns0:c>
      <ns0:c r="C101" s="124" t="n"/>
      <ns0:c r="D101" s="124" t="n"/>
      <ns0:c r="E101" s="124" t="n"/>
      <ns0:c r="F101" s="124" t="n"/>
      <ns0:c r="G101" s="124" t="n"/>
      <ns0:c r="H101" s="124" t="n"/>
      <ns0:c r="I101" s="124" t="n"/>
    </ns0:row>
    <ns0:row r="102" ht="50" customHeight="1">
      <ns0:c r="B102" s="125" t="inlineStr">
        <ns0:is>
          <ns0:t>Роль в LAB-03: Выделяет шестнадцатеричные цифры для печати T3.  |  FETCH этого PC в архиве: 0</ns0:t>
        </ns0:is>
      </ns0:c>
      <ns0:c r="C102" s="110" t="n"/>
      <ns0:c r="D102" s="110" t="n"/>
      <ns0:c r="E102" s="110" t="n"/>
      <ns0:c r="F102" s="110" t="n"/>
      <ns0:c r="G102" s="110" t="n"/>
      <ns0:c r="H102" s="110" t="n"/>
      <ns0:c r="I102" s="110" t="n"/>
    </ns0:row>
    <ns0:row r="103" ht="12" customHeight="1"/>
    <ns0:row r="106" ht="32" customHeight="1">
      <ns0:c r="B106" s="126" t="inlineStr">
        <ns0:is>
          <ns0:t>10  JALR  •  Jump And Link Register   |   PC=0x000002E4   |   ПРИСУТСТВУЕТ В ROM (в серии T3 не наблюдалось)</ns0:t>
        </ns0:is>
      </ns0:c>
      <ns0:c r="C106" s="127" t="n"/>
      <ns0:c r="D106" s="127" t="n"/>
      <ns0:c r="E106" s="127" t="n"/>
      <ns0:c r="F106" s="127" t="n"/>
      <ns0:c r="G106" s="127" t="n"/>
      <ns0:c r="H106" s="127" t="n"/>
      <ns0:c r="I106" s="127" t="n"/>
    </ns0:row>
    <ns0:row r="107" ht="34" customHeight="1">
      <ns0:c r="B107" s="108" t="inlineStr">
        <ns0:is>
          <ns0:t>0x000B8067     jalr zero, 0(s7)     ·     I-type / I</ns0:t>
        </ns0:is>
      </ns0:c>
      <ns0:c r="C107" s="65" t="n"/>
      <ns0:c r="D107" s="65" t="n"/>
      <ns0:c r="E107" s="65" t="n"/>
      <ns0:c r="F107" s="65" t="n"/>
      <ns0:c r="G107" s="65" t="n"/>
      <ns0:c r="H107" s="65" t="n"/>
      <ns0:c r="I107" s="65" t="n"/>
    </ns0:row>
    <ns0:row r="108" ht="35" customHeight="1">
      <ns0:c r="B108" s="109" t="inlineStr">
        <ns0:is>
          <ns0:t>Записать PC+4 в rd; перейти на (rs1+imm) с обнулённым младшим битом.</ns0:t>
        </ns0:is>
      </ns0:c>
      <ns0:c r="C108" s="110" t="n"/>
      <ns0:c r="D108" s="110" t="n"/>
      <ns0:c r="E108" s="110" t="n"/>
      <ns0:c r="F108" s="110" t="n"/>
      <ns0:c r="G108" s="110" t="n"/>
      <ns0:c r="H108" s="110" t="n"/>
      <ns0:c r="I108" s="110" t="n"/>
    </ns0:row>
    <ns0:row r="109" ht="29" customHeight="1">
      <ns0:c r="B109" s="111" t="inlineStr">
        <ns0:is>
          <ns0:t>31–20</ns0:t>
        </ns0:is>
      </ns0:c>
      <ns0:c r="C109" s="112" t="inlineStr">
        <ns0:is>
          <ns0:t>19–15</ns0:t>
        </ns0:is>
      </ns0:c>
      <ns0:c r="D109" s="113" t="inlineStr">
        <ns0:is>
          <ns0:t>14–12</ns0:t>
        </ns0:is>
      </ns0:c>
      <ns0:c r="E109" s="112" t="inlineStr">
        <ns0:is>
          <ns0:t>11–7</ns0:t>
        </ns0:is>
      </ns0:c>
      <ns0:c r="F109" s="114" t="inlineStr">
        <ns0:is>
          <ns0:t>6–0</ns0:t>
        </ns0:is>
      </ns0:c>
      <ns0:c r="G109" s="110" t="n"/>
      <ns0:c r="H109" s="110" t="n"/>
      <ns0:c r="I109" s="110" t="n"/>
    </ns0:row>
    <ns0:row r="110" ht="40" customHeight="1">
      <ns0:c r="B110" s="115" t="inlineStr">
        <ns0:is>
          <ns0:t>000000000000</ns0:t>
        </ns0:is>
      </ns0:c>
      <ns0:c r="C110" s="116" t="inlineStr">
        <ns0:is>
          <ns0:t>10111</ns0:t>
        </ns0:is>
      </ns0:c>
      <ns0:c r="D110" s="117" t="inlineStr">
        <ns0:is>
          <ns0:t>000</ns0:t>
        </ns0:is>
      </ns0:c>
      <ns0:c r="E110" s="116" t="inlineStr">
        <ns0:is>
          <ns0:t>00000</ns0:t>
        </ns0:is>
      </ns0:c>
      <ns0:c r="F110" s="118" t="inlineStr">
        <ns0:is>
          <ns0:t>1100111</ns0:t>
        </ns0:is>
      </ns0:c>
      <ns0:c r="G110" s="110" t="n"/>
      <ns0:c r="H110" s="110" t="n"/>
      <ns0:c r="I110" s="110" t="n"/>
    </ns0:row>
    <ns0:row r="111" ht="29" customHeight="1">
      <ns0:c r="B111" s="119" t="inlineStr">
        <ns0:is>
          <ns0:t>imm[11:0]</ns0:t>
        </ns0:is>
      </ns0:c>
      <ns0:c r="C111" s="120" t="inlineStr">
        <ns0:is>
          <ns0:t>rs1</ns0:t>
        </ns0:is>
      </ns0:c>
      <ns0:c r="D111" s="121" t="inlineStr">
        <ns0:is>
          <ns0:t>funct3</ns0:t>
        </ns0:is>
      </ns0:c>
      <ns0:c r="E111" s="120" t="inlineStr">
        <ns0:is>
          <ns0:t>rd</ns0:t>
        </ns0:is>
      </ns0:c>
      <ns0:c r="F111" s="122" t="inlineStr">
        <ns0:is>
          <ns0:t>opcode</ns0:t>
        </ns0:is>
      </ns0:c>
      <ns0:c r="G111" s="110" t="n"/>
      <ns0:c r="H111" s="110" t="n"/>
      <ns0:c r="I111" s="110" t="n"/>
    </ns0:row>
    <ns0:row r="112" ht="58" customHeight="1">
      <ns0:c r="B112" s="123" t="inlineStr">
        <ns0:is>
          <ns0:t>I-format / смещение: 0   |   PC ← (s7 +0) &amp; ~1; zero ← PC+4. При rd=zero значение возврата отбрасывается.</ns0:t>
        </ns0:is>
      </ns0:c>
      <ns0:c r="C112" s="124" t="n"/>
      <ns0:c r="D112" s="124" t="n"/>
      <ns0:c r="E112" s="124" t="n"/>
      <ns0:c r="F112" s="124" t="n"/>
      <ns0:c r="G112" s="124" t="n"/>
      <ns0:c r="H112" s="124" t="n"/>
      <ns0:c r="I112" s="124" t="n"/>
    </ns0:row>
    <ns0:row r="113" ht="50" customHeight="1">
      <ns0:c r="B113" s="125" t="inlineStr">
        <ns0:is>
          <ns0:t>Роль в LAB-03: Используется для возврата из функций печати UART.  |  FETCH этого PC в архиве: 0</ns0:t>
        </ns0:is>
      </ns0:c>
      <ns0:c r="C113" s="110" t="n"/>
      <ns0:c r="D113" s="110" t="n"/>
      <ns0:c r="E113" s="110" t="n"/>
      <ns0:c r="F113" s="110" t="n"/>
      <ns0:c r="G113" s="110" t="n"/>
      <ns0:c r="H113" s="110" t="n"/>
      <ns0:c r="I113" s="110" t="n"/>
    </ns0:row>
    <ns0:row r="114" ht="12" customHeight="1"/>
  </ns0:sheetData>
  <ns0:mergeCells count="52">
    <ns0:mergeCell ref="B85:I85"/>
    <ns0:mergeCell ref="B97:I97"/>
    <ns0:mergeCell ref="B62:I62"/>
    <ns0:mergeCell ref="B75:I75"/>
    <ns0:mergeCell ref="B106:I106"/>
    <ns0:mergeCell ref="B7:I7"/>
    <ns0:mergeCell ref="B25:I25"/>
    <ns0:mergeCell ref="B79:I79"/>
    <ns0:mergeCell ref="B47:I47"/>
    <ns0:mergeCell ref="B91:I91"/>
    <ns0:mergeCell ref="B90:I90"/>
    <ns0:mergeCell ref="B31:I31"/>
    <ns0:mergeCell ref="B46:I46"/>
    <ns0:mergeCell ref="B102:I102"/>
    <ns0:mergeCell ref="B18:I18"/>
    <ns0:mergeCell ref="B58:I58"/>
    <ns0:mergeCell ref="B96:I96"/>
    <ns0:mergeCell ref="B52:I52"/>
    <ns0:mergeCell ref="B86:I86"/>
    <ns0:mergeCell ref="B42:I42"/>
    <ns0:mergeCell ref="B107:I107"/>
    <ns0:mergeCell ref="B14:I14"/>
    <ns0:mergeCell ref="B57:I57"/>
    <ns0:mergeCell ref="B8:I8"/>
    <ns0:mergeCell ref="B101:I101"/>
    <ns0:mergeCell ref="B73:I73"/>
    <ns0:mergeCell ref="B13:I13"/>
    <ns0:mergeCell ref="A3:N3"/>
    <ns0:mergeCell ref="B53:I53"/>
    <ns0:mergeCell ref="B29:I29"/>
    <ns0:mergeCell ref="B69:I69"/>
    <ns0:mergeCell ref="B112:I112"/>
    <ns0:mergeCell ref="B19:I19"/>
    <ns0:mergeCell ref="B108:I108"/>
    <ns0:mergeCell ref="B84:I84"/>
    <ns0:mergeCell ref="B40:I40"/>
    <ns0:mergeCell ref="B9:I9"/>
    <ns0:mergeCell ref="A1:N2"/>
    <ns0:mergeCell ref="B74:I74"/>
    <ns0:mergeCell ref="B30:I30"/>
    <ns0:mergeCell ref="B68:I68"/>
    <ns0:mergeCell ref="B64:I64"/>
    <ns0:mergeCell ref="B24:I24"/>
    <ns0:mergeCell ref="B51:I51"/>
    <ns0:mergeCell ref="B20:I20"/>
    <ns0:mergeCell ref="B95:I95"/>
    <ns0:mergeCell ref="B36:I36"/>
    <ns0:mergeCell ref="B80:I80"/>
    <ns0:mergeCell ref="B63:I63"/>
    <ns0:mergeCell ref="B41:I41"/>
    <ns0:mergeCell ref="B35:I35"/>
    <ns0:mergeCell ref="B113:I113"/>
  </ns0:mergeCells>
  <ns0:hyperlinks>
    <ns0:hyperlink ref="A4" ns1:id="rId1"/>
    <ns0:hyperlink ref="B4" ns1:id="rId2"/>
    <ns0:hyperlink ref="C4" ns1:id="rId3"/>
    <ns0:hyperlink ref="D4" ns1:id="rId4"/>
    <ns0:hyperlink ref="E4" ns1:id="rId5"/>
    <ns0:hyperlink ref="F4" ns1:id="rId6"/>
    <ns0:hyperlink ref="G4" ns1:id="rId7"/>
    <ns0:hyperlink ref="H4" ns1:id="rId8"/>
    <ns0:hyperlink ref="I4" ns1:id="rId9"/>
    <ns0:hyperlink ref="J4" ns1:id="rId10"/>
    <ns0:hyperlink ref="K4" ns1:id="rId11"/>
    <ns0:hyperlink ref="L4" ns1:id="rId12"/>
  </ns0:hyperlinks>
  <ns0:printOptions horizontalCentered="1"/>
  <ns0:pageMargins left="0.75" right="0.75" top="1" bottom="1" header="0.5" footer="0.5"/>
  <ns0:pageSetup fitToHeight="0" fitToWidth="1"/>
  <ns0:legacyDrawing ns1:id="anysvml"/>
</ns0:worksheet>
</file>

<file path=xl/worksheets/sheet9.xml><?xml version="1.0" encoding="utf-8"?>
<ns0:worksheet xmlns:ns0="http://schemas.openxmlformats.org/spreadsheetml/2006/main" xmlns:ns1="http://schemas.openxmlformats.org/officeDocument/2006/relationships">
  <ns0:sheetPr>
    <ns0:tabColor rgb="0000A9A5"/>
    <ns0:outlinePr summaryBelow="1" summaryRight="1"/>
    <ns0:pageSetUpPr fitToPage="1"/>
  </ns0:sheetPr>
  <ns0:dimension ref="A1:N59"/>
  <ns0:sheetViews>
    <ns0:sheetView showGridLines="0" zoomScale="85" workbookViewId="0">
      <ns0:pane xSplit="3" ySplit="30" topLeftCell="D31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9"/>
  <ns0:cols>
    <ns0:col width="5" customWidth="1" min="1" max="1"/>
    <ns0:col width="14" customWidth="1" min="2" max="2"/>
    <ns0:col width="18" customWidth="1" min="3" max="3"/>
    <ns0:col width="20" customWidth="1" min="4" max="4"/>
    <ns0:col width="18" customWidth="1" min="5" max="5"/>
    <ns0:col width="27" customWidth="1" min="6" max="6"/>
    <ns0:col width="18" customWidth="1" min="7" max="7"/>
    <ns0:col width="17" customWidth="1" min="8" max="8"/>
    <ns0:col width="24" customWidth="1" min="9" max="9"/>
    <ns0:col width="23" customWidth="1" min="10" max="10"/>
    <ns0:col width="17" customWidth="1" min="11" max="11"/>
    <ns0:col width="13" customWidth="1" min="12" max="12"/>
    <ns0:col width="13" customWidth="1" min="13" max="13"/>
    <ns0:col width="13" customWidth="1" min="14" max="14"/>
  </ns0:cols>
  <ns0:sheetData>
    <ns0:row r="1" ht="26" customHeight="1">
      <ns0:c r="A1" s="1" t="inlineStr">
        <ns0:is>
          <ns0:t>ПУЛЬТ  /  АППАРАТНАЯ ТРАССА</ns0:t>
        </ns0:is>
      </ns0:c>
    </ns0:row>
    <ns0:row r="2" ht="20" customHeight="1"/>
    <ns0:row r="3" ht="29" customHeight="1">
      <ns0:c r="A3" s="3" t="inlineStr">
        <ns0:is>
          <ns0:t>Выбирайте № захвата и № события в жёлтых ячейках • Excel отображает сохранённые измерения, не опрашивает USB</ns0:t>
        </ns0:is>
      </ns0:c>
    </ns0:row>
    <ns0:row r="4" ht="26" customHeight="1">
      <ns0:c r="A4" s="5" t="inlineStr">
        <ns0:is>
          <ns0:t>СТАРТ</ns0:t>
        </ns0:is>
      </ns0:c>
      <ns0:c r="B4" s="4" t="inlineStr">
        <ns0:is>
          <ns0:t>НАБЛЮДЕНИЕ</ns0:t>
        </ns0:is>
      </ns0:c>
      <ns0:c r="C4" s="5" t="inlineStr">
        <ns0:is>
          <ns0:t>СРАВНЕНИЕ</ns0:t>
        </ns0:is>
      </ns0:c>
      <ns0:c r="D4" s="5" t="inlineStr">
        <ns0:is>
          <ns0:t>LED / MMIO</ns0:t>
        </ns0:is>
      </ns0:c>
      <ns0:c r="E4" s="5" t="inlineStr">
        <ns0:is>
          <ns0:t>КОМАНДЫ</ns0:t>
        </ns0:is>
      </ns0:c>
      <ns0:c r="F4" s="5" t="inlineStr">
        <ns0:is>
          <ns0:t>12 ТРАСС</ns0:t>
        </ns0:is>
      </ns0:c>
      <ns0:c r="G4" s="5" t="inlineStr">
        <ns0:is>
          <ns0:t>RAW T3</ns0:t>
        </ns0:is>
      </ns0:c>
      <ns0:c r="H4" s="5" t="inlineStr">
        <ns0:is>
          <ns0:t>ROM</ns0:t>
        </ns0:is>
      </ns0:c>
      <ns0:c r="I4" s="5" t="inlineStr">
        <ns0:is>
          <ns0:t>ТЕРМИНЫ</ns0:t>
        </ns0:is>
      </ns0:c>
      <ns0:c r="J4" s="5" t="inlineStr">
        <ns0:is>
          <ns0:t>ПРОИСХОЖДЕНИЕ</ns0:t>
        </ns0:is>
      </ns0:c>
      <ns0:c r="K4" s="59" t="inlineStr">
        <ns0:is>
          <ns0:t>БИТЫ 202</ns0:t>
        </ns0:is>
      </ns0:c>
      <ns0:c r="L4" s="59" t="inlineStr">
        <ns0:is>
          <ns0:t>10 КАРТОЧЕК</ns0:t>
        </ns0:is>
      </ns0:c>
    </ns0:row>
    <ns0:row r="6">
      <ns0:c r="B6" s="31" t="inlineStr">
        <ns0:is>
          <ns0:t>Захват №</ns0:t>
        </ns0:is>
      </ns0:c>
      <ns0:c r="D6" s="32" t="n">
        <ns0:v>5</ns0:v>
      </ns0:c>
      <ns0:c r="G6" s="31" t="inlineStr">
        <ns0:is>
          <ns0:t>Событие №</ns0:t>
        </ns0:is>
      </ns0:c>
      <ns0:c r="I6" s="32" t="n">
        <ns0:v>27</ns0:v>
      </ns0:c>
    </ns0:row>
    <ns0:row r="7">
      <ns0:c r="B7" s="31" t="inlineStr">
        <ns0:is>
          <ns0:t>Команда UART</ns0:t>
        </ns0:is>
      </ns0:c>
      <ns0:c r="D7" s="33" t="str">
        <ns0:f>IFERROR(INDEX('ЗАХВАТЫ'!$B$6:$B$17,MATCH(D6,'ЗАХВАТЫ'!$A$6:$A$17,0)),"")</ns0:f>
        <ns0:v>4</ns0:v>
      </ns0:c>
      <ns0:c r="G7" s="31" t="inlineStr">
        <ns0:is>
          <ns0:t>Событий в захвате</ns0:t>
        </ns0:is>
      </ns0:c>
      <ns0:c r="I7" s="33">
        <ns0:f>IFERROR(INDEX('ЗАХВАТЫ'!$E$6:$E$17,MATCH(D6,'ЗАХВАТЫ'!$A$6:$A$17,0)),0)</ns0:f>
        <ns0:v>29</ns0:v>
      </ns0:c>
    </ns0:row>
    <ns0:row r="8">
      <ns0:c r="B8" s="31" t="inlineStr">
        <ns0:is>
          <ns0:t>Всего FETCH</ns0:t>
        </ns0:is>
      </ns0:c>
      <ns0:c r="D8" s="33">
        <ns0:f>IFERROR(INDEX('ЗАХВАТЫ'!$D$6:$D$17,MATCH(D6,'ЗАХВАТЫ'!$A$6:$A$17,0)),0)</ns0:f>
        <ns0:v>28</ns0:v>
      </ns0:c>
      <ns0:c r="G8" s="31" t="inlineStr">
        <ns0:is>
          <ns0:t>CORE FETCH</ns0:t>
        </ns0:is>
      </ns0:c>
      <ns0:c r="I8" s="33">
        <ns0:f>IFERROR(INDEX('ЗАХВАТЫ'!$H$6:$H$17,MATCH(D6,'ЗАХВАТЫ'!$A$6:$A$17,0)),0)</ns0:f>
        <ns0:v>22</ns0:v>
      </ns0:c>
    </ns0:row>
    <ns0:row r="9">
      <ns0:c r="B9" s="31" t="inlineStr">
        <ns0:is>
          <ns0:t>Polling-префикс</ns0:t>
        </ns0:is>
      </ns0:c>
      <ns0:c r="D9" s="33">
        <ns0:f>IFERROR(INDEX('ЗАХВАТЫ'!$G$6:$G$17,MATCH(D6,'ЗАХВАТЫ'!$A$6:$A$17,0)),0)</ns0:f>
        <ns0:v>6</ns0:v>
      </ns0:c>
      <ns0:c r="G9" s="31" t="inlineStr">
        <ns0:is>
          <ns0:t>Якорь сравнения</ns0:t>
        </ns0:is>
      </ns0:c>
      <ns0:c r="I9" s="34" t="inlineStr">
        <ns0:is>
          <ns0:t>PC=0x00000048</ns0:t>
        </ns0:is>
      </ns0:c>
    </ns0:row>
    <ns0:row r="11" ht="25" customHeight="1">
      <ns0:c r="A11" s="6" t="inlineStr">
        <ns0:is>
          <ns0:t>ИНСПЕКТОР ВЫБРАННОГО СОБЫТИЯ</ns0:t>
        </ns0:is>
      </ns0:c>
    </ns0:row>
    <ns0:row r="12">
      <ns0:c r="B12" s="31" t="inlineStr">
        <ns0:is>
          <ns0:t>Тип</ns0:t>
        </ns0:is>
      </ns0:c>
      <ns0:c r="D12" s="35" t="str">
        <ns0:f>IFERROR(INDEX('ДАННЫЕ T3'!$E$6:$E$286,MATCH($D$6*1000+$I$6,'ДАННЫЕ T3'!$K$6:$K$286,0)),"")</ns0:f>
        <ns0:v>FETCH</ns0:v>
      </ns0:c>
      <ns0:c r="G12" s="31" t="inlineStr">
        <ns0:is>
          <ns0:t>Цикл T3</ns0:t>
        </ns0:is>
      </ns0:c>
      <ns0:c r="I12" s="35">
        <ns0:f>IFERROR(INDEX('ДАННЫЕ T3'!$D$6:$D$286,MATCH($D$6*1000+$I$6,'ДАННЫЕ T3'!$K$6:$K$286,0)),"")</ns0:f>
        <ns0:v>108</ns0:v>
      </ns0:c>
    </ns0:row>
    <ns0:row r="13">
      <ns0:c r="B13" s="31" t="inlineStr">
        <ns0:is>
          <ns0:t>PC / адрес</ns0:t>
        </ns0:is>
      </ns0:c>
      <ns0:c r="D13" s="35" t="str">
        <ns0:f>IFERROR(INDEX('ДАННЫЕ T3'!$F$6:$F$286,MATCH($D$6*1000+$I$6,'ДАННЫЕ T3'!$K$6:$K$286,0)),"")</ns0:f>
        <ns0:v>0x00000100</ns0:v>
      </ns0:c>
      <ns0:c r="G13" s="31" t="inlineStr">
        <ns0:is>
          <ns0:t>WORD / DATA</ns0:t>
        </ns0:is>
      </ns0:c>
      <ns0:c r="I13" s="35" t="str">
        <ns0:f>IFERROR(INDEX('ДАННЫЕ T3'!$G$6:$G$286,MATCH($D$6*1000+$I$6,'ДАННЫЕ T3'!$K$6:$K$286,0)),"")</ns0:f>
        <ns0:v>0x01D2A023</ns0:v>
      </ns0:c>
    </ns0:row>
    <ns0:row r="14">
      <ns0:c r="B14" s="31" t="inlineStr">
        <ns0:is>
          <ns0:t>Мнемоника</ns0:t>
        </ns0:is>
      </ns0:c>
      <ns0:c r="D14" s="35" t="str">
        <ns0:f>IFERROR(INDEX('ДАННЫЕ T3'!$I$6:$I$286,MATCH($D$6*1000+$I$6,'ДАННЫЕ T3'!$K$6:$K$286,0)),"")</ns0:f>
        <ns0:v>sw</ns0:v>
      </ns0:c>
      <ns0:c r="G14" s="31" t="inlineStr">
        <ns0:is>
          <ns0:t>Участок</ns0:t>
        </ns0:is>
      </ns0:c>
      <ns0:c r="I14" s="35" t="str">
        <ns0:f>IFERROR(INDEX('ДАННЫЕ T3'!$J$6:$J$286,MATCH($D$6*1000+$I$6,'ДАННЫЕ T3'!$K$6:$K$286,0)),"")</ns0:f>
        <ns0:v>CORE</ns0:v>
      </ns0:c>
    </ns0:row>
    <ns0:row r="15">
      <ns0:c r="B15" s="31" t="inlineStr">
        <ns0:is>
          <ns0:t>Дизассемблирование</ns0:t>
        </ns0:is>
      </ns0:c>
      <ns0:c r="D15" s="36" t="str">
        <ns0:f>IFERROR(INDEX('ДАННЫЕ T3'!$H$6:$H$286,MATCH($D$6*1000+$I$6,'ДАННЫЕ T3'!$K$6:$K$286,0)),"")</ns0:f>
        <ns0:v>sw t4, 0(t0)</ns0:v>
      </ns0:c>
    </ns0:row>
    <ns0:row r="17">
      <ns0:c r="B17" s="31" t="inlineStr">
        <ns0:is>
          <ns0:t>Что означает</ns0:t>
        </ns0:is>
      </ns0:c>
      <ns0:c r="D17" s="37" t="str">
        <ns0:f>IF(D12="LED_WRITE","Аппаратная шина приняла запись GPIO по адресу 0x20000000",IFERROR(VLOOKUP(D14,'КОМАНДЫ'!$A$7:$F$17,5,FALSE),"Выберите событие"))</ns0:f>
        <ns0:v>MEM32[rs1 + offset] ← rs2</ns0:v>
      </ns0:c>
    </ns0:row>
    <ns0:row r="18"/>
    <ns0:row r="20">
      <ns0:c r="B20" s="31" t="inlineStr">
        <ns0:is>
          <ns0:t>К этому шагу LED</ns0:t>
        </ns0:is>
      </ns0:c>
      <ns0:c r="D20" s="38" t="str">
        <ns0:f>IF(D12="LED_WRITE",I13,"Ещё нет LED_WRITE")</ns0:f>
        <ns0:v>Ещё нет LED_WRITE</ns0:v>
      </ns0:c>
      <ns0:c r="G20" s="31" t="inlineStr">
        <ns0:is>
          <ns0:t>Итог снимка</ns0:t>
        </ns0:is>
      </ns0:c>
      <ns0:c r="I20" s="39" t="str">
        <ns0:f>IFERROR(INDEX('ЗАХВАТЫ'!$F$6:$F$17,MATCH(D6,'ЗАХВАТЫ'!$A$6:$A$17,0)),"")</ns0:f>
        <ns0:v>0x00000008</ns0:v>
      </ns0:c>
    </ns0:row>
    <ns0:row r="22">
      <ns0:c r="B22" s="30" t="str">
        <ns0:f>IF(I6&gt;I7,"События с этим номером нет в захвате!",IF(D12="LED_WRITE","LED_WRITE зарегистрирован: маска после записи известна","До LED_WRITE предыдущая физическая LED-маска неизвестна по этому снимку"))</ns0:f>
        <ns0:v>До LED_WRITE предыдущая физическая LED-маска неизвестна по этому снимку</ns0:v>
      </ns0:c>
    </ns0:row>
    <ns0:row r="24">
      <ns0:c r="D24" s="40" t="inlineStr">
        <ns0:is>
          <ns0:t>L1</ns0:t>
        </ns0:is>
      </ns0:c>
      <ns0:c r="E24" s="40" t="inlineStr">
        <ns0:is>
          <ns0:t>L2</ns0:t>
        </ns0:is>
      </ns0:c>
      <ns0:c r="F24" s="40" t="inlineStr">
        <ns0:is>
          <ns0:t>L3</ns0:t>
        </ns0:is>
      </ns0:c>
      <ns0:c r="G24" s="40" t="inlineStr">
        <ns0:is>
          <ns0:t>L4</ns0:t>
        </ns0:is>
      </ns0:c>
      <ns0:c r="H24" s="40" t="inlineStr">
        <ns0:is>
          <ns0:t>L5</ns0:t>
        </ns0:is>
      </ns0:c>
      <ns0:c r="I24" s="40" t="inlineStr">
        <ns0:is>
          <ns0:t>L6</ns0:t>
        </ns0:is>
      </ns0:c>
    </ns0:row>
    <ns0:row r="25">
      <ns0:c r="D25" s="41" t="str">
        <ns0:f>IF($D$12&lt;&gt;"LED_WRITE","?",IF(MOD(INT(HEX2DEC(RIGHT($I$13,8))/2^0),2)=1,"●","○"))</ns0:f>
        <ns0:v>?</ns0:v>
      </ns0:c>
      <ns0:c r="E25" s="41" t="str">
        <ns0:f>IF($D$12&lt;&gt;"LED_WRITE","?",IF(MOD(INT(HEX2DEC(RIGHT($I$13,8))/2^1),2)=1,"●","○"))</ns0:f>
        <ns0:v>?</ns0:v>
      </ns0:c>
      <ns0:c r="F25" s="41" t="str">
        <ns0:f>IF($D$12&lt;&gt;"LED_WRITE","?",IF(MOD(INT(HEX2DEC(RIGHT($I$13,8))/2^2),2)=1,"●","○"))</ns0:f>
        <ns0:v>?</ns0:v>
      </ns0:c>
      <ns0:c r="G25" s="41" t="str">
        <ns0:f>IF($D$12&lt;&gt;"LED_WRITE","?",IF(MOD(INT(HEX2DEC(RIGHT($I$13,8))/2^3),2)=1,"●","○"))</ns0:f>
        <ns0:v>?</ns0:v>
      </ns0:c>
      <ns0:c r="H25" s="41" t="str">
        <ns0:f>IF($D$12&lt;&gt;"LED_WRITE","?",IF(MOD(INT(HEX2DEC(RIGHT($I$13,8))/2^4),2)=1,"●","○"))</ns0:f>
        <ns0:v>?</ns0:v>
      </ns0:c>
      <ns0:c r="I25" s="41" t="str">
        <ns0:f>IF($D$12&lt;&gt;"LED_WRITE","?",IF(MOD(INT(HEX2DEC(RIGHT($I$13,8))/2^5),2)=1,"●","○"))</ns0:f>
        <ns0:v>?</ns0:v>
      </ns0:c>
    </ns0:row>
    <ns0:row r="27">
      <ns0:c r="B27" s="42" t="inlineStr">
        <ns0:is>
          <ns0:t>Лампочки показывают только логическую маску после зарегистрированной LED_WRITE, не измерение света.</ns0:t>
        </ns0:is>
      </ns0:c>
    </ns0:row>
    <ns0:row r="29" ht="25" customHeight="1">
      <ns0:c r="A29" s="6" t="inlineStr">
        <ns0:is>
          <ns0:t>ПОШАГОВЫЙ ПРОСМОТР ТРАССЫ (изменяйте I6 от 1 до числа событий)</ns0:t>
        </ns0:is>
      </ns0:c>
    </ns0:row>
    <ns0:row r="30" ht="35" customHeight="1">
      <ns0:c r="A30" s="13" t="inlineStr">
        <ns0:is>
          <ns0:t>№</ns0:t>
        </ns0:is>
      </ns0:c>
      <ns0:c r="B30" s="13" t="inlineStr">
        <ns0:is>
          <ns0:t>Цикл</ns0:t>
        </ns0:is>
      </ns0:c>
      <ns0:c r="C30" s="13" t="inlineStr">
        <ns0:is>
          <ns0:t>Тип</ns0:t>
        </ns0:is>
      </ns0:c>
      <ns0:c r="D30" s="13" t="inlineStr">
        <ns0:is>
          <ns0:t>PC/адрес</ns0:t>
        </ns0:is>
      </ns0:c>
      <ns0:c r="E30" s="13" t="inlineStr">
        <ns0:is>
          <ns0:t>WORD/DATA</ns0:t>
        </ns0:is>
      </ns0:c>
      <ns0:c r="F30" s="13" t="inlineStr">
        <ns0:is>
          <ns0:t>Ассемблер</ns0:t>
        </ns0:is>
      </ns0:c>
      <ns0:c r="G30" s="13" t="inlineStr">
        <ns0:is>
          <ns0:t>Участок</ns0:t>
        </ns0:is>
      </ns0:c>
      <ns0:c r="H30" s="13" t="inlineStr">
        <ns0:is>
          <ns0:t>LED-маска</ns0:t>
        </ns0:is>
      </ns0:c>
      <ns0:c r="I30" s="13" t="inlineStr">
        <ns0:is>
          <ns0:t>ROM-check</ns0:t>
        </ns0:is>
      </ns0:c>
    </ns0:row>
    <ns0:row r="31" ht="21" customHeight="1">
      <ns0:c r="A31" t="n">
        <ns0:v>1</ns0:v>
      </ns0:c>
      <ns0:c r="B31">
        <ns0:f>IF($A31&gt;$I$7,"",IFERROR(INDEX('ДАННЫЕ T3'!$D$6:$D$286,MATCH($D$6*1000+$A31,'ДАННЫЕ T3'!$K$6:$K$286,0)),""))</ns0:f>
        <ns0:v>0</ns0:v>
      </ns0:c>
      <ns0:c r="C31" t="str">
        <ns0:f>IF($A31&gt;$I$7,"",IFERROR(INDEX('ДАННЫЕ T3'!$E$6:$E$286,MATCH($D$6*1000+$A31,'ДАННЫЕ T3'!$K$6:$K$286,0)),""))</ns0:f>
        <ns0:v>FETCH</ns0:v>
      </ns0:c>
      <ns0:c r="D31" s="43" t="str">
        <ns0:f>IF($A31&gt;$I$7,"",IFERROR(INDEX('ДАННЫЕ T3'!$F$6:$F$286,MATCH($D$6*1000+$A31,'ДАННЫЕ T3'!$K$6:$K$286,0)),""))</ns0:f>
        <ns0:v>0x00000040</ns0:v>
      </ns0:c>
      <ns0:c r="E31" s="43" t="str">
        <ns0:f>IF($A31&gt;$I$7,"",IFERROR(INDEX('ДАННЫЕ T3'!$G$6:$G$286,MATCH($D$6*1000+$A31,'ДАННЫЕ T3'!$K$6:$K$286,0)),""))</ns0:f>
        <ns0:v>0xFE038CE3</ns0:v>
      </ns0:c>
      <ns0:c r="F31" s="43" t="str">
        <ns0:f>IF($A31&gt;$I$7,"",IFERROR(INDEX('ДАННЫЕ T3'!$H$6:$H$286,MATCH($D$6*1000+$A31,'ДАННЫЕ T3'!$K$6:$K$286,0)),""))</ns0:f>
        <ns0:v>beq t2, zero, 0x00000038</ns0:v>
      </ns0:c>
      <ns0:c r="G31" t="str">
        <ns0:f>IF($A31&gt;$I$7,"",IFERROR(INDEX('ДАННЫЕ T3'!$J$6:$J$286,MATCH($D$6*1000+$A31,'ДАННЫЕ T3'!$K$6:$K$286,0)),""))</ns0:f>
        <ns0:v>POLL</ns0:v>
      </ns0:c>
      <ns0:c r="H31" t="str">
        <ns0:f>IF(C31="LED_WRITE",E31,"")</ns0:f>
        <ns0:v/>
      </ns0:c>
      <ns0:c r="I31" t="str">
        <ns0:f>IF($A31&gt;$I$7,"",IFERROR(INDEX('ДАННЫЕ T3'!$O$6:$O$286,MATCH($D$6*1000+$A31,'ДАННЫЕ T3'!$K$6:$K$286,0)),""))</ns0:f>
        <ns0:v>ROM OK</ns0:v>
      </ns0:c>
    </ns0:row>
    <ns0:row r="32" ht="21" customHeight="1">
      <ns0:c r="A32" t="n">
        <ns0:v>2</ns0:v>
      </ns0:c>
      <ns0:c r="B32">
        <ns0:f>IF($A32&gt;$I$7,"",IFERROR(INDEX('ДАННЫЕ T3'!$D$6:$D$286,MATCH($D$6*1000+$A32,'ДАННЫЕ T3'!$K$6:$K$286,0)),""))</ns0:f>
        <ns0:v>4</ns0:v>
      </ns0:c>
      <ns0:c r="C32" t="str">
        <ns0:f>IF($A32&gt;$I$7,"",IFERROR(INDEX('ДАННЫЕ T3'!$E$6:$E$286,MATCH($D$6*1000+$A32,'ДАННЫЕ T3'!$K$6:$K$286,0)),""))</ns0:f>
        <ns0:v>FETCH</ns0:v>
      </ns0:c>
      <ns0:c r="D32" s="43" t="str">
        <ns0:f>IF($A32&gt;$I$7,"",IFERROR(INDEX('ДАННЫЕ T3'!$F$6:$F$286,MATCH($D$6*1000+$A32,'ДАННЫЕ T3'!$K$6:$K$286,0)),""))</ns0:f>
        <ns0:v>0x00000044</ns0:v>
      </ns0:c>
      <ns0:c r="E32" s="43" t="str">
        <ns0:f>IF($A32&gt;$I$7,"",IFERROR(INDEX('ДАННЫЕ T3'!$G$6:$G$286,MATCH($D$6*1000+$A32,'ДАННЫЕ T3'!$K$6:$K$286,0)),""))</ns0:f>
        <ns0:v>0x0182AE03</ns0:v>
      </ns0:c>
      <ns0:c r="F32" s="43" t="str">
        <ns0:f>IF($A32&gt;$I$7,"",IFERROR(INDEX('ДАННЫЕ T3'!$H$6:$H$286,MATCH($D$6*1000+$A32,'ДАННЫЕ T3'!$K$6:$K$286,0)),""))</ns0:f>
        <ns0:v>lw t3, 24(t0)</ns0:v>
      </ns0:c>
      <ns0:c r="G32" t="str">
        <ns0:f>IF($A32&gt;$I$7,"",IFERROR(INDEX('ДАННЫЕ T3'!$J$6:$J$286,MATCH($D$6*1000+$A32,'ДАННЫЕ T3'!$K$6:$K$286,0)),""))</ns0:f>
        <ns0:v>POLL</ns0:v>
      </ns0:c>
      <ns0:c r="H32" t="str">
        <ns0:f>IF(C32="LED_WRITE",E32,"")</ns0:f>
        <ns0:v/>
      </ns0:c>
      <ns0:c r="I32" t="str">
        <ns0:f>IF($A32&gt;$I$7,"",IFERROR(INDEX('ДАННЫЕ T3'!$O$6:$O$286,MATCH($D$6*1000+$A32,'ДАННЫЕ T3'!$K$6:$K$286,0)),""))</ns0:f>
        <ns0:v>ROM OK</ns0:v>
      </ns0:c>
    </ns0:row>
    <ns0:row r="33" ht="21" customHeight="1">
      <ns0:c r="A33" t="n">
        <ns0:v>3</ns0:v>
      </ns0:c>
      <ns0:c r="B33">
        <ns0:f>IF($A33&gt;$I$7,"",IFERROR(INDEX('ДАННЫЕ T3'!$D$6:$D$286,MATCH($D$6*1000+$A33,'ДАННЫЕ T3'!$K$6:$K$286,0)),""))</ns0:f>
        <ns0:v>7</ns0:v>
      </ns0:c>
      <ns0:c r="C33" t="str">
        <ns0:f>IF($A33&gt;$I$7,"",IFERROR(INDEX('ДАННЫЕ T3'!$E$6:$E$286,MATCH($D$6*1000+$A33,'ДАННЫЕ T3'!$K$6:$K$286,0)),""))</ns0:f>
        <ns0:v>FETCH</ns0:v>
      </ns0:c>
      <ns0:c r="D33" s="43" t="str">
        <ns0:f>IF($A33&gt;$I$7,"",IFERROR(INDEX('ДАННЫЕ T3'!$F$6:$F$286,MATCH($D$6*1000+$A33,'ДАННЫЕ T3'!$K$6:$K$286,0)),""))</ns0:f>
        <ns0:v>0x00000038</ns0:v>
      </ns0:c>
      <ns0:c r="E33" s="43" t="str">
        <ns0:f>IF($A33&gt;$I$7,"",IFERROR(INDEX('ДАННЫЕ T3'!$G$6:$G$286,MATCH($D$6*1000+$A33,'ДАННЫЕ T3'!$K$6:$K$286,0)),""))</ns0:f>
        <ns0:v>0x01C2A383</ns0:v>
      </ns0:c>
      <ns0:c r="F33" s="43" t="str">
        <ns0:f>IF($A33&gt;$I$7,"",IFERROR(INDEX('ДАННЫЕ T3'!$H$6:$H$286,MATCH($D$6*1000+$A33,'ДАННЫЕ T3'!$K$6:$K$286,0)),""))</ns0:f>
        <ns0:v>lw t2, 28(t0)</ns0:v>
      </ns0:c>
      <ns0:c r="G33" t="str">
        <ns0:f>IF($A33&gt;$I$7,"",IFERROR(INDEX('ДАННЫЕ T3'!$J$6:$J$286,MATCH($D$6*1000+$A33,'ДАННЫЕ T3'!$K$6:$K$286,0)),""))</ns0:f>
        <ns0:v>POLL</ns0:v>
      </ns0:c>
      <ns0:c r="H33" t="str">
        <ns0:f>IF(C33="LED_WRITE",E33,"")</ns0:f>
        <ns0:v/>
      </ns0:c>
      <ns0:c r="I33" t="str">
        <ns0:f>IF($A33&gt;$I$7,"",IFERROR(INDEX('ДАННЫЕ T3'!$O$6:$O$286,MATCH($D$6*1000+$A33,'ДАННЫЕ T3'!$K$6:$K$286,0)),""))</ns0:f>
        <ns0:v>ROM OK</ns0:v>
      </ns0:c>
    </ns0:row>
    <ns0:row r="34" ht="21" customHeight="1">
      <ns0:c r="A34" t="n">
        <ns0:v>4</ns0:v>
      </ns0:c>
      <ns0:c r="B34">
        <ns0:f>IF($A34&gt;$I$7,"",IFERROR(INDEX('ДАННЫЕ T3'!$D$6:$D$286,MATCH($D$6*1000+$A34,'ДАННЫЕ T3'!$K$6:$K$286,0)),""))</ns0:f>
        <ns0:v>11</ns0:v>
      </ns0:c>
      <ns0:c r="C34" t="str">
        <ns0:f>IF($A34&gt;$I$7,"",IFERROR(INDEX('ДАННЫЕ T3'!$E$6:$E$286,MATCH($D$6*1000+$A34,'ДАННЫЕ T3'!$K$6:$K$286,0)),""))</ns0:f>
        <ns0:v>FETCH</ns0:v>
      </ns0:c>
      <ns0:c r="D34" s="43" t="str">
        <ns0:f>IF($A34&gt;$I$7,"",IFERROR(INDEX('ДАННЫЕ T3'!$F$6:$F$286,MATCH($D$6*1000+$A34,'ДАННЫЕ T3'!$K$6:$K$286,0)),""))</ns0:f>
        <ns0:v>0x0000003C</ns0:v>
      </ns0:c>
      <ns0:c r="E34" s="43" t="str">
        <ns0:f>IF($A34&gt;$I$7,"",IFERROR(INDEX('ДАННЫЕ T3'!$G$6:$G$286,MATCH($D$6*1000+$A34,'ДАННЫЕ T3'!$K$6:$K$286,0)),""))</ns0:f>
        <ns0:v>0x0013F393</ns0:v>
      </ns0:c>
      <ns0:c r="F34" s="43" t="str">
        <ns0:f>IF($A34&gt;$I$7,"",IFERROR(INDEX('ДАННЫЕ T3'!$H$6:$H$286,MATCH($D$6*1000+$A34,'ДАННЫЕ T3'!$K$6:$K$286,0)),""))</ns0:f>
        <ns0:v>andi t2, t2, 1</ns0:v>
      </ns0:c>
      <ns0:c r="G34" t="str">
        <ns0:f>IF($A34&gt;$I$7,"",IFERROR(INDEX('ДАННЫЕ T3'!$J$6:$J$286,MATCH($D$6*1000+$A34,'ДАННЫЕ T3'!$K$6:$K$286,0)),""))</ns0:f>
        <ns0:v>POLL</ns0:v>
      </ns0:c>
      <ns0:c r="H34" t="str">
        <ns0:f>IF(C34="LED_WRITE",E34,"")</ns0:f>
        <ns0:v/>
      </ns0:c>
      <ns0:c r="I34" t="str">
        <ns0:f>IF($A34&gt;$I$7,"",IFERROR(INDEX('ДАННЫЕ T3'!$O$6:$O$286,MATCH($D$6*1000+$A34,'ДАННЫЕ T3'!$K$6:$K$286,0)),""))</ns0:f>
        <ns0:v>ROM OK</ns0:v>
      </ns0:c>
    </ns0:row>
    <ns0:row r="35" ht="21" customHeight="1">
      <ns0:c r="A35" t="n">
        <ns0:v>5</ns0:v>
      </ns0:c>
      <ns0:c r="B35">
        <ns0:f>IF($A35&gt;$I$7,"",IFERROR(INDEX('ДАННЫЕ T3'!$D$6:$D$286,MATCH($D$6*1000+$A35,'ДАННЫЕ T3'!$K$6:$K$286,0)),""))</ns0:f>
        <ns0:v>18</ns0:v>
      </ns0:c>
      <ns0:c r="C35" t="str">
        <ns0:f>IF($A35&gt;$I$7,"",IFERROR(INDEX('ДАННЫЕ T3'!$E$6:$E$286,MATCH($D$6*1000+$A35,'ДАННЫЕ T3'!$K$6:$K$286,0)),""))</ns0:f>
        <ns0:v>FETCH</ns0:v>
      </ns0:c>
      <ns0:c r="D35" s="43" t="str">
        <ns0:f>IF($A35&gt;$I$7,"",IFERROR(INDEX('ДАННЫЕ T3'!$F$6:$F$286,MATCH($D$6*1000+$A35,'ДАННЫЕ T3'!$K$6:$K$286,0)),""))</ns0:f>
        <ns0:v>0x00000040</ns0:v>
      </ns0:c>
      <ns0:c r="E35" s="43" t="str">
        <ns0:f>IF($A35&gt;$I$7,"",IFERROR(INDEX('ДАННЫЕ T3'!$G$6:$G$286,MATCH($D$6*1000+$A35,'ДАННЫЕ T3'!$K$6:$K$286,0)),""))</ns0:f>
        <ns0:v>0xFE038CE3</ns0:v>
      </ns0:c>
      <ns0:c r="F35" s="43" t="str">
        <ns0:f>IF($A35&gt;$I$7,"",IFERROR(INDEX('ДАННЫЕ T3'!$H$6:$H$286,MATCH($D$6*1000+$A35,'ДАННЫЕ T3'!$K$6:$K$286,0)),""))</ns0:f>
        <ns0:v>beq t2, zero, 0x00000038</ns0:v>
      </ns0:c>
      <ns0:c r="G35" t="str">
        <ns0:f>IF($A35&gt;$I$7,"",IFERROR(INDEX('ДАННЫЕ T3'!$J$6:$J$286,MATCH($D$6*1000+$A35,'ДАННЫЕ T3'!$K$6:$K$286,0)),""))</ns0:f>
        <ns0:v>POLL</ns0:v>
      </ns0:c>
      <ns0:c r="H35" t="str">
        <ns0:f>IF(C35="LED_WRITE",E35,"")</ns0:f>
        <ns0:v/>
      </ns0:c>
      <ns0:c r="I35" t="str">
        <ns0:f>IF($A35&gt;$I$7,"",IFERROR(INDEX('ДАННЫЕ T3'!$O$6:$O$286,MATCH($D$6*1000+$A35,'ДАННЫЕ T3'!$K$6:$K$286,0)),""))</ns0:f>
        <ns0:v>ROM OK</ns0:v>
      </ns0:c>
    </ns0:row>
    <ns0:row r="36" ht="21" customHeight="1">
      <ns0:c r="A36" t="n">
        <ns0:v>6</ns0:v>
      </ns0:c>
      <ns0:c r="B36">
        <ns0:f>IF($A36&gt;$I$7,"",IFERROR(INDEX('ДАННЫЕ T3'!$D$6:$D$286,MATCH($D$6*1000+$A36,'ДАННЫЕ T3'!$K$6:$K$286,0)),""))</ns0:f>
        <ns0:v>22</ns0:v>
      </ns0:c>
      <ns0:c r="C36" t="str">
        <ns0:f>IF($A36&gt;$I$7,"",IFERROR(INDEX('ДАННЫЕ T3'!$E$6:$E$286,MATCH($D$6*1000+$A36,'ДАННЫЕ T3'!$K$6:$K$286,0)),""))</ns0:f>
        <ns0:v>FETCH</ns0:v>
      </ns0:c>
      <ns0:c r="D36" s="43" t="str">
        <ns0:f>IF($A36&gt;$I$7,"",IFERROR(INDEX('ДАННЫЕ T3'!$F$6:$F$286,MATCH($D$6*1000+$A36,'ДАННЫЕ T3'!$K$6:$K$286,0)),""))</ns0:f>
        <ns0:v>0x00000044</ns0:v>
      </ns0:c>
      <ns0:c r="E36" s="43" t="str">
        <ns0:f>IF($A36&gt;$I$7,"",IFERROR(INDEX('ДАННЫЕ T3'!$G$6:$G$286,MATCH($D$6*1000+$A36,'ДАННЫЕ T3'!$K$6:$K$286,0)),""))</ns0:f>
        <ns0:v>0x0182AE03</ns0:v>
      </ns0:c>
      <ns0:c r="F36" s="43" t="str">
        <ns0:f>IF($A36&gt;$I$7,"",IFERROR(INDEX('ДАННЫЕ T3'!$H$6:$H$286,MATCH($D$6*1000+$A36,'ДАННЫЕ T3'!$K$6:$K$286,0)),""))</ns0:f>
        <ns0:v>lw t3, 24(t0)</ns0:v>
      </ns0:c>
      <ns0:c r="G36" t="str">
        <ns0:f>IF($A36&gt;$I$7,"",IFERROR(INDEX('ДАННЫЕ T3'!$J$6:$J$286,MATCH($D$6*1000+$A36,'ДАННЫЕ T3'!$K$6:$K$286,0)),""))</ns0:f>
        <ns0:v>POLL</ns0:v>
      </ns0:c>
      <ns0:c r="H36" t="str">
        <ns0:f>IF(C36="LED_WRITE",E36,"")</ns0:f>
        <ns0:v/>
      </ns0:c>
      <ns0:c r="I36" t="str">
        <ns0:f>IF($A36&gt;$I$7,"",IFERROR(INDEX('ДАННЫЕ T3'!$O$6:$O$286,MATCH($D$6*1000+$A36,'ДАННЫЕ T3'!$K$6:$K$286,0)),""))</ns0:f>
        <ns0:v>ROM OK</ns0:v>
      </ns0:c>
    </ns0:row>
    <ns0:row r="37" ht="21" customHeight="1">
      <ns0:c r="A37" t="n">
        <ns0:v>7</ns0:v>
      </ns0:c>
      <ns0:c r="B37">
        <ns0:f>IF($A37&gt;$I$7,"",IFERROR(INDEX('ДАННЫЕ T3'!$D$6:$D$286,MATCH($D$6*1000+$A37,'ДАННЫЕ T3'!$K$6:$K$286,0)),""))</ns0:f>
        <ns0:v>26</ns0:v>
      </ns0:c>
      <ns0:c r="C37" t="str">
        <ns0:f>IF($A37&gt;$I$7,"",IFERROR(INDEX('ДАННЫЕ T3'!$E$6:$E$286,MATCH($D$6*1000+$A37,'ДАННЫЕ T3'!$K$6:$K$286,0)),""))</ns0:f>
        <ns0:v>FETCH</ns0:v>
      </ns0:c>
      <ns0:c r="D37" s="43" t="str">
        <ns0:f>IF($A37&gt;$I$7,"",IFERROR(INDEX('ДАННЫЕ T3'!$F$6:$F$286,MATCH($D$6*1000+$A37,'ДАННЫЕ T3'!$K$6:$K$286,0)),""))</ns0:f>
        <ns0:v>0x00000048</ns0:v>
      </ns0:c>
      <ns0:c r="E37" s="43" t="str">
        <ns0:f>IF($A37&gt;$I$7,"",IFERROR(INDEX('ДАННЫЕ T3'!$G$6:$G$286,MATCH($D$6*1000+$A37,'ДАННЫЕ T3'!$K$6:$K$286,0)),""))</ns0:f>
        <ns0:v>0x05400413</ns0:v>
      </ns0:c>
      <ns0:c r="F37" s="43" t="str">
        <ns0:f>IF($A37&gt;$I$7,"",IFERROR(INDEX('ДАННЫЕ T3'!$H$6:$H$286,MATCH($D$6*1000+$A37,'ДАННЫЕ T3'!$K$6:$K$286,0)),""))</ns0:f>
        <ns0:v>addi s0, zero, 84</ns0:v>
      </ns0:c>
      <ns0:c r="G37" t="str">
        <ns0:f>IF($A37&gt;$I$7,"",IFERROR(INDEX('ДАННЫЕ T3'!$J$6:$J$286,MATCH($D$6*1000+$A37,'ДАННЫЕ T3'!$K$6:$K$286,0)),""))</ns0:f>
        <ns0:v>CORE</ns0:v>
      </ns0:c>
      <ns0:c r="H37" t="str">
        <ns0:f>IF(C37="LED_WRITE",E37,"")</ns0:f>
        <ns0:v/>
      </ns0:c>
      <ns0:c r="I37" t="str">
        <ns0:f>IF($A37&gt;$I$7,"",IFERROR(INDEX('ДАННЫЕ T3'!$O$6:$O$286,MATCH($D$6*1000+$A37,'ДАННЫЕ T3'!$K$6:$K$286,0)),""))</ns0:f>
        <ns0:v>ROM OK</ns0:v>
      </ns0:c>
    </ns0:row>
    <ns0:row r="38" ht="21" customHeight="1">
      <ns0:c r="A38" t="n">
        <ns0:v>8</ns0:v>
      </ns0:c>
      <ns0:c r="B38">
        <ns0:f>IF($A38&gt;$I$7,"",IFERROR(INDEX('ДАННЫЕ T3'!$D$6:$D$286,MATCH($D$6*1000+$A38,'ДАННЫЕ T3'!$K$6:$K$286,0)),""))</ns0:f>
        <ns0:v>33</ns0:v>
      </ns0:c>
      <ns0:c r="C38" t="str">
        <ns0:f>IF($A38&gt;$I$7,"",IFERROR(INDEX('ДАННЫЕ T3'!$E$6:$E$286,MATCH($D$6*1000+$A38,'ДАННЫЕ T3'!$K$6:$K$286,0)),""))</ns0:f>
        <ns0:v>FETCH</ns0:v>
      </ns0:c>
      <ns0:c r="D38" s="43" t="str">
        <ns0:f>IF($A38&gt;$I$7,"",IFERROR(INDEX('ДАННЫЕ T3'!$F$6:$F$286,MATCH($D$6*1000+$A38,'ДАННЫЕ T3'!$K$6:$K$286,0)),""))</ns0:f>
        <ns0:v>0x0000004C</ns0:v>
      </ns0:c>
      <ns0:c r="E38" s="43" t="str">
        <ns0:f>IF($A38&gt;$I$7,"",IFERROR(INDEX('ДАННЫЕ T3'!$G$6:$G$286,MATCH($D$6*1000+$A38,'ДАННЫЕ T3'!$K$6:$K$286,0)),""))</ns0:f>
        <ns0:v>0x1A8E0063</ns0:v>
      </ns0:c>
      <ns0:c r="F38" s="43" t="str">
        <ns0:f>IF($A38&gt;$I$7,"",IFERROR(INDEX('ДАННЫЕ T3'!$H$6:$H$286,MATCH($D$6*1000+$A38,'ДАННЫЕ T3'!$K$6:$K$286,0)),""))</ns0:f>
        <ns0:v>beq t3, s0, 0x000001EC</ns0:v>
      </ns0:c>
      <ns0:c r="G38" t="str">
        <ns0:f>IF($A38&gt;$I$7,"",IFERROR(INDEX('ДАННЫЕ T3'!$J$6:$J$286,MATCH($D$6*1000+$A38,'ДАННЫЕ T3'!$K$6:$K$286,0)),""))</ns0:f>
        <ns0:v>CORE</ns0:v>
      </ns0:c>
      <ns0:c r="H38" t="str">
        <ns0:f>IF(C38="LED_WRITE",E38,"")</ns0:f>
        <ns0:v/>
      </ns0:c>
      <ns0:c r="I38" t="str">
        <ns0:f>IF($A38&gt;$I$7,"",IFERROR(INDEX('ДАННЫЕ T3'!$O$6:$O$286,MATCH($D$6*1000+$A38,'ДАННЫЕ T3'!$K$6:$K$286,0)),""))</ns0:f>
        <ns0:v>ROM OK</ns0:v>
      </ns0:c>
    </ns0:row>
    <ns0:row r="39" ht="21" customHeight="1">
      <ns0:c r="A39" t="n">
        <ns0:v>9</ns0:v>
      </ns0:c>
      <ns0:c r="B39">
        <ns0:f>IF($A39&gt;$I$7,"",IFERROR(INDEX('ДАННЫЕ T3'!$D$6:$D$286,MATCH($D$6*1000+$A39,'ДАННЫЕ T3'!$K$6:$K$286,0)),""))</ns0:f>
        <ns0:v>37</ns0:v>
      </ns0:c>
      <ns0:c r="C39" t="str">
        <ns0:f>IF($A39&gt;$I$7,"",IFERROR(INDEX('ДАННЫЕ T3'!$E$6:$E$286,MATCH($D$6*1000+$A39,'ДАННЫЕ T3'!$K$6:$K$286,0)),""))</ns0:f>
        <ns0:v>FETCH</ns0:v>
      </ns0:c>
      <ns0:c r="D39" s="43" t="str">
        <ns0:f>IF($A39&gt;$I$7,"",IFERROR(INDEX('ДАННЫЕ T3'!$F$6:$F$286,MATCH($D$6*1000+$A39,'ДАННЫЕ T3'!$K$6:$K$286,0)),""))</ns0:f>
        <ns0:v>0x00000050</ns0:v>
      </ns0:c>
      <ns0:c r="E39" s="43" t="str">
        <ns0:f>IF($A39&gt;$I$7,"",IFERROR(INDEX('ДАННЫЕ T3'!$G$6:$G$286,MATCH($D$6*1000+$A39,'ДАННЫЕ T3'!$K$6:$K$286,0)),""))</ns0:f>
        <ns0:v>0x04300413</ns0:v>
      </ns0:c>
      <ns0:c r="F39" s="43" t="str">
        <ns0:f>IF($A39&gt;$I$7,"",IFERROR(INDEX('ДАННЫЕ T3'!$H$6:$H$286,MATCH($D$6*1000+$A39,'ДАННЫЕ T3'!$K$6:$K$286,0)),""))</ns0:f>
        <ns0:v>addi s0, zero, 67</ns0:v>
      </ns0:c>
      <ns0:c r="G39" t="str">
        <ns0:f>IF($A39&gt;$I$7,"",IFERROR(INDEX('ДАННЫЕ T3'!$J$6:$J$286,MATCH($D$6*1000+$A39,'ДАННЫЕ T3'!$K$6:$K$286,0)),""))</ns0:f>
        <ns0:v>CORE</ns0:v>
      </ns0:c>
      <ns0:c r="H39" t="str">
        <ns0:f>IF(C39="LED_WRITE",E39,"")</ns0:f>
        <ns0:v/>
      </ns0:c>
      <ns0:c r="I39" t="str">
        <ns0:f>IF($A39&gt;$I$7,"",IFERROR(INDEX('ДАННЫЕ T3'!$O$6:$O$286,MATCH($D$6*1000+$A39,'ДАННЫЕ T3'!$K$6:$K$286,0)),""))</ns0:f>
        <ns0:v>ROM OK</ns0:v>
      </ns0:c>
    </ns0:row>
    <ns0:row r="40" ht="21" customHeight="1">
      <ns0:c r="A40" t="n">
        <ns0:v>10</ns0:v>
      </ns0:c>
      <ns0:c r="B40">
        <ns0:f>IF($A40&gt;$I$7,"",IFERROR(INDEX('ДАННЫЕ T3'!$D$6:$D$286,MATCH($D$6*1000+$A40,'ДАННЫЕ T3'!$K$6:$K$286,0)),""))</ns0:f>
        <ns0:v>41</ns0:v>
      </ns0:c>
      <ns0:c r="C40" t="str">
        <ns0:f>IF($A40&gt;$I$7,"",IFERROR(INDEX('ДАННЫЕ T3'!$E$6:$E$286,MATCH($D$6*1000+$A40,'ДАННЫЕ T3'!$K$6:$K$286,0)),""))</ns0:f>
        <ns0:v>FETCH</ns0:v>
      </ns0:c>
      <ns0:c r="D40" s="43" t="str">
        <ns0:f>IF($A40&gt;$I$7,"",IFERROR(INDEX('ДАННЫЕ T3'!$F$6:$F$286,MATCH($D$6*1000+$A40,'ДАННЫЕ T3'!$K$6:$K$286,0)),""))</ns0:f>
        <ns0:v>0x00000054</ns0:v>
      </ns0:c>
      <ns0:c r="E40" s="43" t="str">
        <ns0:f>IF($A40&gt;$I$7,"",IFERROR(INDEX('ДАННЫЕ T3'!$G$6:$G$286,MATCH($D$6*1000+$A40,'ДАННЫЕ T3'!$K$6:$K$286,0)),""))</ns0:f>
        <ns0:v>0x188E0063</ns0:v>
      </ns0:c>
      <ns0:c r="F40" s="43" t="str">
        <ns0:f>IF($A40&gt;$I$7,"",IFERROR(INDEX('ДАННЫЕ T3'!$H$6:$H$286,MATCH($D$6*1000+$A40,'ДАННЫЕ T3'!$K$6:$K$286,0)),""))</ns0:f>
        <ns0:v>beq t3, s0, 0x000001D4</ns0:v>
      </ns0:c>
      <ns0:c r="G40" t="str">
        <ns0:f>IF($A40&gt;$I$7,"",IFERROR(INDEX('ДАННЫЕ T3'!$J$6:$J$286,MATCH($D$6*1000+$A40,'ДАННЫЕ T3'!$K$6:$K$286,0)),""))</ns0:f>
        <ns0:v>CORE</ns0:v>
      </ns0:c>
      <ns0:c r="H40" t="str">
        <ns0:f>IF(C40="LED_WRITE",E40,"")</ns0:f>
        <ns0:v/>
      </ns0:c>
      <ns0:c r="I40" t="str">
        <ns0:f>IF($A40&gt;$I$7,"",IFERROR(INDEX('ДАННЫЕ T3'!$O$6:$O$286,MATCH($D$6*1000+$A40,'ДАННЫЕ T3'!$K$6:$K$286,0)),""))</ns0:f>
        <ns0:v>ROM OK</ns0:v>
      </ns0:c>
    </ns0:row>
    <ns0:row r="41" ht="21" customHeight="1">
      <ns0:c r="A41" t="n">
        <ns0:v>11</ns0:v>
      </ns0:c>
      <ns0:c r="B41">
        <ns0:f>IF($A41&gt;$I$7,"",IFERROR(INDEX('ДАННЫЕ T3'!$D$6:$D$286,MATCH($D$6*1000+$A41,'ДАННЫЕ T3'!$K$6:$K$286,0)),""))</ns0:f>
        <ns0:v>45</ns0:v>
      </ns0:c>
      <ns0:c r="C41" t="str">
        <ns0:f>IF($A41&gt;$I$7,"",IFERROR(INDEX('ДАННЫЕ T3'!$E$6:$E$286,MATCH($D$6*1000+$A41,'ДАННЫЕ T3'!$K$6:$K$286,0)),""))</ns0:f>
        <ns0:v>FETCH</ns0:v>
      </ns0:c>
      <ns0:c r="D41" s="43" t="str">
        <ns0:f>IF($A41&gt;$I$7,"",IFERROR(INDEX('ДАННЫЕ T3'!$F$6:$F$286,MATCH($D$6*1000+$A41,'ДАННЫЕ T3'!$K$6:$K$286,0)),""))</ns0:f>
        <ns0:v>0x00000058</ns0:v>
      </ns0:c>
      <ns0:c r="E41" s="43" t="str">
        <ns0:f>IF($A41&gt;$I$7,"",IFERROR(INDEX('ДАННЫЕ T3'!$G$6:$G$286,MATCH($D$6*1000+$A41,'ДАННЫЕ T3'!$K$6:$K$286,0)),""))</ns0:f>
        <ns0:v>0x03F00413</ns0:v>
      </ns0:c>
      <ns0:c r="F41" s="43" t="str">
        <ns0:f>IF($A41&gt;$I$7,"",IFERROR(INDEX('ДАННЫЕ T3'!$H$6:$H$286,MATCH($D$6*1000+$A41,'ДАННЫЕ T3'!$K$6:$K$286,0)),""))</ns0:f>
        <ns0:v>addi s0, zero, 63</ns0:v>
      </ns0:c>
      <ns0:c r="G41" t="str">
        <ns0:f>IF($A41&gt;$I$7,"",IFERROR(INDEX('ДАННЫЕ T3'!$J$6:$J$286,MATCH($D$6*1000+$A41,'ДАННЫЕ T3'!$K$6:$K$286,0)),""))</ns0:f>
        <ns0:v>CORE</ns0:v>
      </ns0:c>
      <ns0:c r="H41" t="str">
        <ns0:f>IF(C41="LED_WRITE",E41,"")</ns0:f>
        <ns0:v/>
      </ns0:c>
      <ns0:c r="I41" t="str">
        <ns0:f>IF($A41&gt;$I$7,"",IFERROR(INDEX('ДАННЫЕ T3'!$O$6:$O$286,MATCH($D$6*1000+$A41,'ДАННЫЕ T3'!$K$6:$K$286,0)),""))</ns0:f>
        <ns0:v>ROM OK</ns0:v>
      </ns0:c>
    </ns0:row>
    <ns0:row r="42" ht="21" customHeight="1">
      <ns0:c r="A42" t="n">
        <ns0:v>12</ns0:v>
      </ns0:c>
      <ns0:c r="B42">
        <ns0:f>IF($A42&gt;$I$7,"",IFERROR(INDEX('ДАННЫЕ T3'!$D$6:$D$286,MATCH($D$6*1000+$A42,'ДАННЫЕ T3'!$K$6:$K$286,0)),""))</ns0:f>
        <ns0:v>49</ns0:v>
      </ns0:c>
      <ns0:c r="C42" t="str">
        <ns0:f>IF($A42&gt;$I$7,"",IFERROR(INDEX('ДАННЫЕ T3'!$E$6:$E$286,MATCH($D$6*1000+$A42,'ДАННЫЕ T3'!$K$6:$K$286,0)),""))</ns0:f>
        <ns0:v>FETCH</ns0:v>
      </ns0:c>
      <ns0:c r="D42" s="43" t="str">
        <ns0:f>IF($A42&gt;$I$7,"",IFERROR(INDEX('ДАННЫЕ T3'!$F$6:$F$286,MATCH($D$6*1000+$A42,'ДАННЫЕ T3'!$K$6:$K$286,0)),""))</ns0:f>
        <ns0:v>0x0000005C</ns0:v>
      </ns0:c>
      <ns0:c r="E42" s="43" t="str">
        <ns0:f>IF($A42&gt;$I$7,"",IFERROR(INDEX('ДАННЫЕ T3'!$G$6:$G$286,MATCH($D$6*1000+$A42,'ДАННЫЕ T3'!$K$6:$K$286,0)),""))</ns0:f>
        <ns0:v>0x0A8E0A63</ns0:v>
      </ns0:c>
      <ns0:c r="F42" s="43" t="str">
        <ns0:f>IF($A42&gt;$I$7,"",IFERROR(INDEX('ДАННЫЕ T3'!$H$6:$H$286,MATCH($D$6*1000+$A42,'ДАННЫЕ T3'!$K$6:$K$286,0)),""))</ns0:f>
        <ns0:v>beq t3, s0, 0x00000110</ns0:v>
      </ns0:c>
      <ns0:c r="G42" t="str">
        <ns0:f>IF($A42&gt;$I$7,"",IFERROR(INDEX('ДАННЫЕ T3'!$J$6:$J$286,MATCH($D$6*1000+$A42,'ДАННЫЕ T3'!$K$6:$K$286,0)),""))</ns0:f>
        <ns0:v>CORE</ns0:v>
      </ns0:c>
      <ns0:c r="H42" t="str">
        <ns0:f>IF(C42="LED_WRITE",E42,"")</ns0:f>
        <ns0:v/>
      </ns0:c>
      <ns0:c r="I42" t="str">
        <ns0:f>IF($A42&gt;$I$7,"",IFERROR(INDEX('ДАННЫЕ T3'!$O$6:$O$286,MATCH($D$6*1000+$A42,'ДАННЫЕ T3'!$K$6:$K$286,0)),""))</ns0:f>
        <ns0:v>ROM OK</ns0:v>
      </ns0:c>
    </ns0:row>
    <ns0:row r="43" ht="21" customHeight="1">
      <ns0:c r="A43" t="n">
        <ns0:v>13</ns0:v>
      </ns0:c>
      <ns0:c r="B43">
        <ns0:f>IF($A43&gt;$I$7,"",IFERROR(INDEX('ДАННЫЕ T3'!$D$6:$D$286,MATCH($D$6*1000+$A43,'ДАННЫЕ T3'!$K$6:$K$286,0)),""))</ns0:f>
        <ns0:v>53</ns0:v>
      </ns0:c>
      <ns0:c r="C43" t="str">
        <ns0:f>IF($A43&gt;$I$7,"",IFERROR(INDEX('ДАННЫЕ T3'!$E$6:$E$286,MATCH($D$6*1000+$A43,'ДАННЫЕ T3'!$K$6:$K$286,0)),""))</ns0:f>
        <ns0:v>FETCH</ns0:v>
      </ns0:c>
      <ns0:c r="D43" s="43" t="str">
        <ns0:f>IF($A43&gt;$I$7,"",IFERROR(INDEX('ДАННЫЕ T3'!$F$6:$F$286,MATCH($D$6*1000+$A43,'ДАННЫЕ T3'!$K$6:$K$286,0)),""))</ns0:f>
        <ns0:v>0x00000060</ns0:v>
      </ns0:c>
      <ns0:c r="E43" s="43" t="str">
        <ns0:f>IF($A43&gt;$I$7,"",IFERROR(INDEX('ДАННЫЕ T3'!$G$6:$G$286,MATCH($D$6*1000+$A43,'ДАННЫЕ T3'!$K$6:$K$286,0)),""))</ns0:f>
        <ns0:v>0x03000413</ns0:v>
      </ns0:c>
      <ns0:c r="F43" s="43" t="str">
        <ns0:f>IF($A43&gt;$I$7,"",IFERROR(INDEX('ДАННЫЕ T3'!$H$6:$H$286,MATCH($D$6*1000+$A43,'ДАННЫЕ T3'!$K$6:$K$286,0)),""))</ns0:f>
        <ns0:v>addi s0, zero, 48</ns0:v>
      </ns0:c>
      <ns0:c r="G43" t="str">
        <ns0:f>IF($A43&gt;$I$7,"",IFERROR(INDEX('ДАННЫЕ T3'!$J$6:$J$286,MATCH($D$6*1000+$A43,'ДАННЫЕ T3'!$K$6:$K$286,0)),""))</ns0:f>
        <ns0:v>CORE</ns0:v>
      </ns0:c>
      <ns0:c r="H43" t="str">
        <ns0:f>IF(C43="LED_WRITE",E43,"")</ns0:f>
        <ns0:v/>
      </ns0:c>
      <ns0:c r="I43" t="str">
        <ns0:f>IF($A43&gt;$I$7,"",IFERROR(INDEX('ДАННЫЕ T3'!$O$6:$O$286,MATCH($D$6*1000+$A43,'ДАННЫЕ T3'!$K$6:$K$286,0)),""))</ns0:f>
        <ns0:v>ROM OK</ns0:v>
      </ns0:c>
    </ns0:row>
    <ns0:row r="44" ht="21" customHeight="1">
      <ns0:c r="A44" t="n">
        <ns0:v>14</ns0:v>
      </ns0:c>
      <ns0:c r="B44">
        <ns0:f>IF($A44&gt;$I$7,"",IFERROR(INDEX('ДАННЫЕ T3'!$D$6:$D$286,MATCH($D$6*1000+$A44,'ДАННЫЕ T3'!$K$6:$K$286,0)),""))</ns0:f>
        <ns0:v>57</ns0:v>
      </ns0:c>
      <ns0:c r="C44" t="str">
        <ns0:f>IF($A44&gt;$I$7,"",IFERROR(INDEX('ДАННЫЕ T3'!$E$6:$E$286,MATCH($D$6*1000+$A44,'ДАННЫЕ T3'!$K$6:$K$286,0)),""))</ns0:f>
        <ns0:v>FETCH</ns0:v>
      </ns0:c>
      <ns0:c r="D44" s="43" t="str">
        <ns0:f>IF($A44&gt;$I$7,"",IFERROR(INDEX('ДАННЫЕ T3'!$F$6:$F$286,MATCH($D$6*1000+$A44,'ДАННЫЕ T3'!$K$6:$K$286,0)),""))</ns0:f>
        <ns0:v>0x00000064</ns0:v>
      </ns0:c>
      <ns0:c r="E44" s="43" t="str">
        <ns0:f>IF($A44&gt;$I$7,"",IFERROR(INDEX('ДАННЫЕ T3'!$G$6:$G$286,MATCH($D$6*1000+$A44,'ДАННЫЕ T3'!$K$6:$K$286,0)),""))</ns0:f>
        <ns0:v>0x048E0463</ns0:v>
      </ns0:c>
      <ns0:c r="F44" s="43" t="str">
        <ns0:f>IF($A44&gt;$I$7,"",IFERROR(INDEX('ДАННЫЕ T3'!$H$6:$H$286,MATCH($D$6*1000+$A44,'ДАННЫЕ T3'!$K$6:$K$286,0)),""))</ns0:f>
        <ns0:v>beq t3, s0, 0x000000AC</ns0:v>
      </ns0:c>
      <ns0:c r="G44" t="str">
        <ns0:f>IF($A44&gt;$I$7,"",IFERROR(INDEX('ДАННЫЕ T3'!$J$6:$J$286,MATCH($D$6*1000+$A44,'ДАННЫЕ T3'!$K$6:$K$286,0)),""))</ns0:f>
        <ns0:v>CORE</ns0:v>
      </ns0:c>
      <ns0:c r="H44" t="str">
        <ns0:f>IF(C44="LED_WRITE",E44,"")</ns0:f>
        <ns0:v/>
      </ns0:c>
      <ns0:c r="I44" t="str">
        <ns0:f>IF($A44&gt;$I$7,"",IFERROR(INDEX('ДАННЫЕ T3'!$O$6:$O$286,MATCH($D$6*1000+$A44,'ДАННЫЕ T3'!$K$6:$K$286,0)),""))</ns0:f>
        <ns0:v>ROM OK</ns0:v>
      </ns0:c>
    </ns0:row>
    <ns0:row r="45" ht="21" customHeight="1">
      <ns0:c r="A45" t="n">
        <ns0:v>15</ns0:v>
      </ns0:c>
      <ns0:c r="B45">
        <ns0:f>IF($A45&gt;$I$7,"",IFERROR(INDEX('ДАННЫЕ T3'!$D$6:$D$286,MATCH($D$6*1000+$A45,'ДАННЫЕ T3'!$K$6:$K$286,0)),""))</ns0:f>
        <ns0:v>61</ns0:v>
      </ns0:c>
      <ns0:c r="C45" t="str">
        <ns0:f>IF($A45&gt;$I$7,"",IFERROR(INDEX('ДАННЫЕ T3'!$E$6:$E$286,MATCH($D$6*1000+$A45,'ДАННЫЕ T3'!$K$6:$K$286,0)),""))</ns0:f>
        <ns0:v>FETCH</ns0:v>
      </ns0:c>
      <ns0:c r="D45" s="43" t="str">
        <ns0:f>IF($A45&gt;$I$7,"",IFERROR(INDEX('ДАННЫЕ T3'!$F$6:$F$286,MATCH($D$6*1000+$A45,'ДАННЫЕ T3'!$K$6:$K$286,0)),""))</ns0:f>
        <ns0:v>0x00000068</ns0:v>
      </ns0:c>
      <ns0:c r="E45" s="43" t="str">
        <ns0:f>IF($A45&gt;$I$7,"",IFERROR(INDEX('ДАННЫЕ T3'!$G$6:$G$286,MATCH($D$6*1000+$A45,'ДАННЫЕ T3'!$K$6:$K$286,0)),""))</ns0:f>
        <ns0:v>0x03100413</ns0:v>
      </ns0:c>
      <ns0:c r="F45" s="43" t="str">
        <ns0:f>IF($A45&gt;$I$7,"",IFERROR(INDEX('ДАННЫЕ T3'!$H$6:$H$286,MATCH($D$6*1000+$A45,'ДАННЫЕ T3'!$K$6:$K$286,0)),""))</ns0:f>
        <ns0:v>addi s0, zero, 49</ns0:v>
      </ns0:c>
      <ns0:c r="G45" t="str">
        <ns0:f>IF($A45&gt;$I$7,"",IFERROR(INDEX('ДАННЫЕ T3'!$J$6:$J$286,MATCH($D$6*1000+$A45,'ДАННЫЕ T3'!$K$6:$K$286,0)),""))</ns0:f>
        <ns0:v>CORE</ns0:v>
      </ns0:c>
      <ns0:c r="H45" t="str">
        <ns0:f>IF(C45="LED_WRITE",E45,"")</ns0:f>
        <ns0:v/>
      </ns0:c>
      <ns0:c r="I45" t="str">
        <ns0:f>IF($A45&gt;$I$7,"",IFERROR(INDEX('ДАННЫЕ T3'!$O$6:$O$286,MATCH($D$6*1000+$A45,'ДАННЫЕ T3'!$K$6:$K$286,0)),""))</ns0:f>
        <ns0:v>ROM OK</ns0:v>
      </ns0:c>
    </ns0:row>
    <ns0:row r="46" ht="21" customHeight="1">
      <ns0:c r="A46" t="n">
        <ns0:v>16</ns0:v>
      </ns0:c>
      <ns0:c r="B46">
        <ns0:f>IF($A46&gt;$I$7,"",IFERROR(INDEX('ДАННЫЕ T3'!$D$6:$D$286,MATCH($D$6*1000+$A46,'ДАННЫЕ T3'!$K$6:$K$286,0)),""))</ns0:f>
        <ns0:v>65</ns0:v>
      </ns0:c>
      <ns0:c r="C46" t="str">
        <ns0:f>IF($A46&gt;$I$7,"",IFERROR(INDEX('ДАННЫЕ T3'!$E$6:$E$286,MATCH($D$6*1000+$A46,'ДАННЫЕ T3'!$K$6:$K$286,0)),""))</ns0:f>
        <ns0:v>FETCH</ns0:v>
      </ns0:c>
      <ns0:c r="D46" s="43" t="str">
        <ns0:f>IF($A46&gt;$I$7,"",IFERROR(INDEX('ДАННЫЕ T3'!$F$6:$F$286,MATCH($D$6*1000+$A46,'ДАННЫЕ T3'!$K$6:$K$286,0)),""))</ns0:f>
        <ns0:v>0x0000006C</ns0:v>
      </ns0:c>
      <ns0:c r="E46" s="43" t="str">
        <ns0:f>IF($A46&gt;$I$7,"",IFERROR(INDEX('ДАННЫЕ T3'!$G$6:$G$286,MATCH($D$6*1000+$A46,'ДАННЫЕ T3'!$K$6:$K$286,0)),""))</ns0:f>
        <ns0:v>0x048E0663</ns0:v>
      </ns0:c>
      <ns0:c r="F46" s="43" t="str">
        <ns0:f>IF($A46&gt;$I$7,"",IFERROR(INDEX('ДАННЫЕ T3'!$H$6:$H$286,MATCH($D$6*1000+$A46,'ДАННЫЕ T3'!$K$6:$K$286,0)),""))</ns0:f>
        <ns0:v>beq t3, s0, 0x000000B8</ns0:v>
      </ns0:c>
      <ns0:c r="G46" t="str">
        <ns0:f>IF($A46&gt;$I$7,"",IFERROR(INDEX('ДАННЫЕ T3'!$J$6:$J$286,MATCH($D$6*1000+$A46,'ДАННЫЕ T3'!$K$6:$K$286,0)),""))</ns0:f>
        <ns0:v>CORE</ns0:v>
      </ns0:c>
      <ns0:c r="H46" t="str">
        <ns0:f>IF(C46="LED_WRITE",E46,"")</ns0:f>
        <ns0:v/>
      </ns0:c>
      <ns0:c r="I46" t="str">
        <ns0:f>IF($A46&gt;$I$7,"",IFERROR(INDEX('ДАННЫЕ T3'!$O$6:$O$286,MATCH($D$6*1000+$A46,'ДАННЫЕ T3'!$K$6:$K$286,0)),""))</ns0:f>
        <ns0:v>ROM OK</ns0:v>
      </ns0:c>
    </ns0:row>
    <ns0:row r="47" ht="21" customHeight="1">
      <ns0:c r="A47" t="n">
        <ns0:v>17</ns0:v>
      </ns0:c>
      <ns0:c r="B47">
        <ns0:f>IF($A47&gt;$I$7,"",IFERROR(INDEX('ДАННЫЕ T3'!$D$6:$D$286,MATCH($D$6*1000+$A47,'ДАННЫЕ T3'!$K$6:$K$286,0)),""))</ns0:f>
        <ns0:v>69</ns0:v>
      </ns0:c>
      <ns0:c r="C47" t="str">
        <ns0:f>IF($A47&gt;$I$7,"",IFERROR(INDEX('ДАННЫЕ T3'!$E$6:$E$286,MATCH($D$6*1000+$A47,'ДАННЫЕ T3'!$K$6:$K$286,0)),""))</ns0:f>
        <ns0:v>FETCH</ns0:v>
      </ns0:c>
      <ns0:c r="D47" s="43" t="str">
        <ns0:f>IF($A47&gt;$I$7,"",IFERROR(INDEX('ДАННЫЕ T3'!$F$6:$F$286,MATCH($D$6*1000+$A47,'ДАННЫЕ T3'!$K$6:$K$286,0)),""))</ns0:f>
        <ns0:v>0x00000070</ns0:v>
      </ns0:c>
      <ns0:c r="E47" s="43" t="str">
        <ns0:f>IF($A47&gt;$I$7,"",IFERROR(INDEX('ДАННЫЕ T3'!$G$6:$G$286,MATCH($D$6*1000+$A47,'ДАННЫЕ T3'!$K$6:$K$286,0)),""))</ns0:f>
        <ns0:v>0x03200413</ns0:v>
      </ns0:c>
      <ns0:c r="F47" s="43" t="str">
        <ns0:f>IF($A47&gt;$I$7,"",IFERROR(INDEX('ДАННЫЕ T3'!$H$6:$H$286,MATCH($D$6*1000+$A47,'ДАННЫЕ T3'!$K$6:$K$286,0)),""))</ns0:f>
        <ns0:v>addi s0, zero, 50</ns0:v>
      </ns0:c>
      <ns0:c r="G47" t="str">
        <ns0:f>IF($A47&gt;$I$7,"",IFERROR(INDEX('ДАННЫЕ T3'!$J$6:$J$286,MATCH($D$6*1000+$A47,'ДАННЫЕ T3'!$K$6:$K$286,0)),""))</ns0:f>
        <ns0:v>CORE</ns0:v>
      </ns0:c>
      <ns0:c r="H47" t="str">
        <ns0:f>IF(C47="LED_WRITE",E47,"")</ns0:f>
        <ns0:v/>
      </ns0:c>
      <ns0:c r="I47" t="str">
        <ns0:f>IF($A47&gt;$I$7,"",IFERROR(INDEX('ДАННЫЕ T3'!$O$6:$O$286,MATCH($D$6*1000+$A47,'ДАННЫЕ T3'!$K$6:$K$286,0)),""))</ns0:f>
        <ns0:v>ROM OK</ns0:v>
      </ns0:c>
    </ns0:row>
    <ns0:row r="48" ht="21" customHeight="1">
      <ns0:c r="A48" t="n">
        <ns0:v>18</ns0:v>
      </ns0:c>
      <ns0:c r="B48">
        <ns0:f>IF($A48&gt;$I$7,"",IFERROR(INDEX('ДАННЫЕ T3'!$D$6:$D$286,MATCH($D$6*1000+$A48,'ДАННЫЕ T3'!$K$6:$K$286,0)),""))</ns0:f>
        <ns0:v>73</ns0:v>
      </ns0:c>
      <ns0:c r="C48" t="str">
        <ns0:f>IF($A48&gt;$I$7,"",IFERROR(INDEX('ДАННЫЕ T3'!$E$6:$E$286,MATCH($D$6*1000+$A48,'ДАННЫЕ T3'!$K$6:$K$286,0)),""))</ns0:f>
        <ns0:v>FETCH</ns0:v>
      </ns0:c>
      <ns0:c r="D48" s="43" t="str">
        <ns0:f>IF($A48&gt;$I$7,"",IFERROR(INDEX('ДАННЫЕ T3'!$F$6:$F$286,MATCH($D$6*1000+$A48,'ДАННЫЕ T3'!$K$6:$K$286,0)),""))</ns0:f>
        <ns0:v>0x00000074</ns0:v>
      </ns0:c>
      <ns0:c r="E48" s="43" t="str">
        <ns0:f>IF($A48&gt;$I$7,"",IFERROR(INDEX('ДАННЫЕ T3'!$G$6:$G$286,MATCH($D$6*1000+$A48,'ДАННЫЕ T3'!$K$6:$K$286,0)),""))</ns0:f>
        <ns0:v>0x048E0863</ns0:v>
      </ns0:c>
      <ns0:c r="F48" s="43" t="str">
        <ns0:f>IF($A48&gt;$I$7,"",IFERROR(INDEX('ДАННЫЕ T3'!$H$6:$H$286,MATCH($D$6*1000+$A48,'ДАННЫЕ T3'!$K$6:$K$286,0)),""))</ns0:f>
        <ns0:v>beq t3, s0, 0x000000C4</ns0:v>
      </ns0:c>
      <ns0:c r="G48" t="str">
        <ns0:f>IF($A48&gt;$I$7,"",IFERROR(INDEX('ДАННЫЕ T3'!$J$6:$J$286,MATCH($D$6*1000+$A48,'ДАННЫЕ T3'!$K$6:$K$286,0)),""))</ns0:f>
        <ns0:v>CORE</ns0:v>
      </ns0:c>
      <ns0:c r="H48" t="str">
        <ns0:f>IF(C48="LED_WRITE",E48,"")</ns0:f>
        <ns0:v/>
      </ns0:c>
      <ns0:c r="I48" t="str">
        <ns0:f>IF($A48&gt;$I$7,"",IFERROR(INDEX('ДАННЫЕ T3'!$O$6:$O$286,MATCH($D$6*1000+$A48,'ДАННЫЕ T3'!$K$6:$K$286,0)),""))</ns0:f>
        <ns0:v>ROM OK</ns0:v>
      </ns0:c>
    </ns0:row>
    <ns0:row r="49" ht="21" customHeight="1">
      <ns0:c r="A49" t="n">
        <ns0:v>19</ns0:v>
      </ns0:c>
      <ns0:c r="B49">
        <ns0:f>IF($A49&gt;$I$7,"",IFERROR(INDEX('ДАННЫЕ T3'!$D$6:$D$286,MATCH($D$6*1000+$A49,'ДАННЫЕ T3'!$K$6:$K$286,0)),""))</ns0:f>
        <ns0:v>77</ns0:v>
      </ns0:c>
      <ns0:c r="C49" t="str">
        <ns0:f>IF($A49&gt;$I$7,"",IFERROR(INDEX('ДАННЫЕ T3'!$E$6:$E$286,MATCH($D$6*1000+$A49,'ДАННЫЕ T3'!$K$6:$K$286,0)),""))</ns0:f>
        <ns0:v>FETCH</ns0:v>
      </ns0:c>
      <ns0:c r="D49" s="43" t="str">
        <ns0:f>IF($A49&gt;$I$7,"",IFERROR(INDEX('ДАННЫЕ T3'!$F$6:$F$286,MATCH($D$6*1000+$A49,'ДАННЫЕ T3'!$K$6:$K$286,0)),""))</ns0:f>
        <ns0:v>0x00000078</ns0:v>
      </ns0:c>
      <ns0:c r="E49" s="43" t="str">
        <ns0:f>IF($A49&gt;$I$7,"",IFERROR(INDEX('ДАННЫЕ T3'!$G$6:$G$286,MATCH($D$6*1000+$A49,'ДАННЫЕ T3'!$K$6:$K$286,0)),""))</ns0:f>
        <ns0:v>0x03300413</ns0:v>
      </ns0:c>
      <ns0:c r="F49" s="43" t="str">
        <ns0:f>IF($A49&gt;$I$7,"",IFERROR(INDEX('ДАННЫЕ T3'!$H$6:$H$286,MATCH($D$6*1000+$A49,'ДАННЫЕ T3'!$K$6:$K$286,0)),""))</ns0:f>
        <ns0:v>addi s0, zero, 51</ns0:v>
      </ns0:c>
      <ns0:c r="G49" t="str">
        <ns0:f>IF($A49&gt;$I$7,"",IFERROR(INDEX('ДАННЫЕ T3'!$J$6:$J$286,MATCH($D$6*1000+$A49,'ДАННЫЕ T3'!$K$6:$K$286,0)),""))</ns0:f>
        <ns0:v>CORE</ns0:v>
      </ns0:c>
      <ns0:c r="H49" t="str">
        <ns0:f>IF(C49="LED_WRITE",E49,"")</ns0:f>
        <ns0:v/>
      </ns0:c>
      <ns0:c r="I49" t="str">
        <ns0:f>IF($A49&gt;$I$7,"",IFERROR(INDEX('ДАННЫЕ T3'!$O$6:$O$286,MATCH($D$6*1000+$A49,'ДАННЫЕ T3'!$K$6:$K$286,0)),""))</ns0:f>
        <ns0:v>ROM OK</ns0:v>
      </ns0:c>
    </ns0:row>
    <ns0:row r="50" ht="21" customHeight="1">
      <ns0:c r="A50" t="n">
        <ns0:v>20</ns0:v>
      </ns0:c>
      <ns0:c r="B50">
        <ns0:f>IF($A50&gt;$I$7,"",IFERROR(INDEX('ДАННЫЕ T3'!$D$6:$D$286,MATCH($D$6*1000+$A50,'ДАННЫЕ T3'!$K$6:$K$286,0)),""))</ns0:f>
        <ns0:v>81</ns0:v>
      </ns0:c>
      <ns0:c r="C50" t="str">
        <ns0:f>IF($A50&gt;$I$7,"",IFERROR(INDEX('ДАННЫЕ T3'!$E$6:$E$286,MATCH($D$6*1000+$A50,'ДАННЫЕ T3'!$K$6:$K$286,0)),""))</ns0:f>
        <ns0:v>FETCH</ns0:v>
      </ns0:c>
      <ns0:c r="D50" s="43" t="str">
        <ns0:f>IF($A50&gt;$I$7,"",IFERROR(INDEX('ДАННЫЕ T3'!$F$6:$F$286,MATCH($D$6*1000+$A50,'ДАННЫЕ T3'!$K$6:$K$286,0)),""))</ns0:f>
        <ns0:v>0x0000007C</ns0:v>
      </ns0:c>
      <ns0:c r="E50" s="43" t="str">
        <ns0:f>IF($A50&gt;$I$7,"",IFERROR(INDEX('ДАННЫЕ T3'!$G$6:$G$286,MATCH($D$6*1000+$A50,'ДАННЫЕ T3'!$K$6:$K$286,0)),""))</ns0:f>
        <ns0:v>0x048E0A63</ns0:v>
      </ns0:c>
      <ns0:c r="F50" s="43" t="str">
        <ns0:f>IF($A50&gt;$I$7,"",IFERROR(INDEX('ДАННЫЕ T3'!$H$6:$H$286,MATCH($D$6*1000+$A50,'ДАННЫЕ T3'!$K$6:$K$286,0)),""))</ns0:f>
        <ns0:v>beq t3, s0, 0x000000D0</ns0:v>
      </ns0:c>
      <ns0:c r="G50" t="str">
        <ns0:f>IF($A50&gt;$I$7,"",IFERROR(INDEX('ДАННЫЕ T3'!$J$6:$J$286,MATCH($D$6*1000+$A50,'ДАННЫЕ T3'!$K$6:$K$286,0)),""))</ns0:f>
        <ns0:v>CORE</ns0:v>
      </ns0:c>
      <ns0:c r="H50" t="str">
        <ns0:f>IF(C50="LED_WRITE",E50,"")</ns0:f>
        <ns0:v/>
      </ns0:c>
      <ns0:c r="I50" t="str">
        <ns0:f>IF($A50&gt;$I$7,"",IFERROR(INDEX('ДАННЫЕ T3'!$O$6:$O$286,MATCH($D$6*1000+$A50,'ДАННЫЕ T3'!$K$6:$K$286,0)),""))</ns0:f>
        <ns0:v>ROM OK</ns0:v>
      </ns0:c>
    </ns0:row>
    <ns0:row r="51" ht="21" customHeight="1">
      <ns0:c r="A51" t="n">
        <ns0:v>21</ns0:v>
      </ns0:c>
      <ns0:c r="B51">
        <ns0:f>IF($A51&gt;$I$7,"",IFERROR(INDEX('ДАННЫЕ T3'!$D$6:$D$286,MATCH($D$6*1000+$A51,'ДАННЫЕ T3'!$K$6:$K$286,0)),""))</ns0:f>
        <ns0:v>85</ns0:v>
      </ns0:c>
      <ns0:c r="C51" t="str">
        <ns0:f>IF($A51&gt;$I$7,"",IFERROR(INDEX('ДАННЫЕ T3'!$E$6:$E$286,MATCH($D$6*1000+$A51,'ДАННЫЕ T3'!$K$6:$K$286,0)),""))</ns0:f>
        <ns0:v>FETCH</ns0:v>
      </ns0:c>
      <ns0:c r="D51" s="43" t="str">
        <ns0:f>IF($A51&gt;$I$7,"",IFERROR(INDEX('ДАННЫЕ T3'!$F$6:$F$286,MATCH($D$6*1000+$A51,'ДАННЫЕ T3'!$K$6:$K$286,0)),""))</ns0:f>
        <ns0:v>0x00000080</ns0:v>
      </ns0:c>
      <ns0:c r="E51" s="43" t="str">
        <ns0:f>IF($A51&gt;$I$7,"",IFERROR(INDEX('ДАННЫЕ T3'!$G$6:$G$286,MATCH($D$6*1000+$A51,'ДАННЫЕ T3'!$K$6:$K$286,0)),""))</ns0:f>
        <ns0:v>0x03400413</ns0:v>
      </ns0:c>
      <ns0:c r="F51" s="43" t="str">
        <ns0:f>IF($A51&gt;$I$7,"",IFERROR(INDEX('ДАННЫЕ T3'!$H$6:$H$286,MATCH($D$6*1000+$A51,'ДАННЫЕ T3'!$K$6:$K$286,0)),""))</ns0:f>
        <ns0:v>addi s0, zero, 52</ns0:v>
      </ns0:c>
      <ns0:c r="G51" t="str">
        <ns0:f>IF($A51&gt;$I$7,"",IFERROR(INDEX('ДАННЫЕ T3'!$J$6:$J$286,MATCH($D$6*1000+$A51,'ДАННЫЕ T3'!$K$6:$K$286,0)),""))</ns0:f>
        <ns0:v>CORE</ns0:v>
      </ns0:c>
      <ns0:c r="H51" t="str">
        <ns0:f>IF(C51="LED_WRITE",E51,"")</ns0:f>
        <ns0:v/>
      </ns0:c>
      <ns0:c r="I51" t="str">
        <ns0:f>IF($A51&gt;$I$7,"",IFERROR(INDEX('ДАННЫЕ T3'!$O$6:$O$286,MATCH($D$6*1000+$A51,'ДАННЫЕ T3'!$K$6:$K$286,0)),""))</ns0:f>
        <ns0:v>ROM OK</ns0:v>
      </ns0:c>
    </ns0:row>
    <ns0:row r="52" ht="21" customHeight="1">
      <ns0:c r="A52" t="n">
        <ns0:v>22</ns0:v>
      </ns0:c>
      <ns0:c r="B52">
        <ns0:f>IF($A52&gt;$I$7,"",IFERROR(INDEX('ДАННЫЕ T3'!$D$6:$D$286,MATCH($D$6*1000+$A52,'ДАННЫЕ T3'!$K$6:$K$286,0)),""))</ns0:f>
        <ns0:v>89</ns0:v>
      </ns0:c>
      <ns0:c r="C52" t="str">
        <ns0:f>IF($A52&gt;$I$7,"",IFERROR(INDEX('ДАННЫЕ T3'!$E$6:$E$286,MATCH($D$6*1000+$A52,'ДАННЫЕ T3'!$K$6:$K$286,0)),""))</ns0:f>
        <ns0:v>FETCH</ns0:v>
      </ns0:c>
      <ns0:c r="D52" s="43" t="str">
        <ns0:f>IF($A52&gt;$I$7,"",IFERROR(INDEX('ДАННЫЕ T3'!$F$6:$F$286,MATCH($D$6*1000+$A52,'ДАННЫЕ T3'!$K$6:$K$286,0)),""))</ns0:f>
        <ns0:v>0x00000084</ns0:v>
      </ns0:c>
      <ns0:c r="E52" s="43" t="str">
        <ns0:f>IF($A52&gt;$I$7,"",IFERROR(INDEX('ДАННЫЕ T3'!$G$6:$G$286,MATCH($D$6*1000+$A52,'ДАННЫЕ T3'!$K$6:$K$286,0)),""))</ns0:f>
        <ns0:v>0x048E0C63</ns0:v>
      </ns0:c>
      <ns0:c r="F52" s="43" t="str">
        <ns0:f>IF($A52&gt;$I$7,"",IFERROR(INDEX('ДАННЫЕ T3'!$H$6:$H$286,MATCH($D$6*1000+$A52,'ДАННЫЕ T3'!$K$6:$K$286,0)),""))</ns0:f>
        <ns0:v>beq t3, s0, 0x000000DC</ns0:v>
      </ns0:c>
      <ns0:c r="G52" t="str">
        <ns0:f>IF($A52&gt;$I$7,"",IFERROR(INDEX('ДАННЫЕ T3'!$J$6:$J$286,MATCH($D$6*1000+$A52,'ДАННЫЕ T3'!$K$6:$K$286,0)),""))</ns0:f>
        <ns0:v>CORE</ns0:v>
      </ns0:c>
      <ns0:c r="H52" t="str">
        <ns0:f>IF(C52="LED_WRITE",E52,"")</ns0:f>
        <ns0:v/>
      </ns0:c>
      <ns0:c r="I52" t="str">
        <ns0:f>IF($A52&gt;$I$7,"",IFERROR(INDEX('ДАННЫЕ T3'!$O$6:$O$286,MATCH($D$6*1000+$A52,'ДАННЫЕ T3'!$K$6:$K$286,0)),""))</ns0:f>
        <ns0:v>ROM OK</ns0:v>
      </ns0:c>
    </ns0:row>
    <ns0:row r="53" ht="21" customHeight="1">
      <ns0:c r="A53" t="n">
        <ns0:v>23</ns0:v>
      </ns0:c>
      <ns0:c r="B53">
        <ns0:f>IF($A53&gt;$I$7,"",IFERROR(INDEX('ДАННЫЕ T3'!$D$6:$D$286,MATCH($D$6*1000+$A53,'ДАННЫЕ T3'!$K$6:$K$286,0)),""))</ns0:f>
        <ns0:v>93</ns0:v>
      </ns0:c>
      <ns0:c r="C53" t="str">
        <ns0:f>IF($A53&gt;$I$7,"",IFERROR(INDEX('ДАННЫЕ T3'!$E$6:$E$286,MATCH($D$6*1000+$A53,'ДАННЫЕ T3'!$K$6:$K$286,0)),""))</ns0:f>
        <ns0:v>FETCH</ns0:v>
      </ns0:c>
      <ns0:c r="D53" s="43" t="str">
        <ns0:f>IF($A53&gt;$I$7,"",IFERROR(INDEX('ДАННЫЕ T3'!$F$6:$F$286,MATCH($D$6*1000+$A53,'ДАННЫЕ T3'!$K$6:$K$286,0)),""))</ns0:f>
        <ns0:v>0x00000088</ns0:v>
      </ns0:c>
      <ns0:c r="E53" s="43" t="str">
        <ns0:f>IF($A53&gt;$I$7,"",IFERROR(INDEX('ДАННЫЕ T3'!$G$6:$G$286,MATCH($D$6*1000+$A53,'ДАННЫЕ T3'!$K$6:$K$286,0)),""))</ns0:f>
        <ns0:v>0x03500413</ns0:v>
      </ns0:c>
      <ns0:c r="F53" s="43" t="str">
        <ns0:f>IF($A53&gt;$I$7,"",IFERROR(INDEX('ДАННЫЕ T3'!$H$6:$H$286,MATCH($D$6*1000+$A53,'ДАННЫЕ T3'!$K$6:$K$286,0)),""))</ns0:f>
        <ns0:v>addi s0, zero, 53</ns0:v>
      </ns0:c>
      <ns0:c r="G53" t="str">
        <ns0:f>IF($A53&gt;$I$7,"",IFERROR(INDEX('ДАННЫЕ T3'!$J$6:$J$286,MATCH($D$6*1000+$A53,'ДАННЫЕ T3'!$K$6:$K$286,0)),""))</ns0:f>
        <ns0:v>CORE</ns0:v>
      </ns0:c>
      <ns0:c r="H53" t="str">
        <ns0:f>IF(C53="LED_WRITE",E53,"")</ns0:f>
        <ns0:v/>
      </ns0:c>
      <ns0:c r="I53" t="str">
        <ns0:f>IF($A53&gt;$I$7,"",IFERROR(INDEX('ДАННЫЕ T3'!$O$6:$O$286,MATCH($D$6*1000+$A53,'ДАННЫЕ T3'!$K$6:$K$286,0)),""))</ns0:f>
        <ns0:v>ROM OK</ns0:v>
      </ns0:c>
    </ns0:row>
    <ns0:row r="54" ht="21" customHeight="1">
      <ns0:c r="A54" t="n">
        <ns0:v>24</ns0:v>
      </ns0:c>
      <ns0:c r="B54">
        <ns0:f>IF($A54&gt;$I$7,"",IFERROR(INDEX('ДАННЫЕ T3'!$D$6:$D$286,MATCH($D$6*1000+$A54,'ДАННЫЕ T3'!$K$6:$K$286,0)),""))</ns0:f>
        <ns0:v>96</ns0:v>
      </ns0:c>
      <ns0:c r="C54" t="str">
        <ns0:f>IF($A54&gt;$I$7,"",IFERROR(INDEX('ДАННЫЕ T3'!$E$6:$E$286,MATCH($D$6*1000+$A54,'ДАННЫЕ T3'!$K$6:$K$286,0)),""))</ns0:f>
        <ns0:v>FETCH</ns0:v>
      </ns0:c>
      <ns0:c r="D54" s="43" t="str">
        <ns0:f>IF($A54&gt;$I$7,"",IFERROR(INDEX('ДАННЫЕ T3'!$F$6:$F$286,MATCH($D$6*1000+$A54,'ДАННЫЕ T3'!$K$6:$K$286,0)),""))</ns0:f>
        <ns0:v>0x000000DC</ns0:v>
      </ns0:c>
      <ns0:c r="E54" s="43" t="str">
        <ns0:f>IF($A54&gt;$I$7,"",IFERROR(INDEX('ДАННЫЕ T3'!$G$6:$G$286,MATCH($D$6*1000+$A54,'ДАННЫЕ T3'!$K$6:$K$286,0)),""))</ns0:f>
        <ns0:v>0x00800E93</ns0:v>
      </ns0:c>
      <ns0:c r="F54" s="43" t="str">
        <ns0:f>IF($A54&gt;$I$7,"",IFERROR(INDEX('ДАННЫЕ T3'!$H$6:$H$286,MATCH($D$6*1000+$A54,'ДАННЫЕ T3'!$K$6:$K$286,0)),""))</ns0:f>
        <ns0:v>addi t4, zero, 8</ns0:v>
      </ns0:c>
      <ns0:c r="G54" t="str">
        <ns0:f>IF($A54&gt;$I$7,"",IFERROR(INDEX('ДАННЫЕ T3'!$J$6:$J$286,MATCH($D$6*1000+$A54,'ДАННЫЕ T3'!$K$6:$K$286,0)),""))</ns0:f>
        <ns0:v>CORE</ns0:v>
      </ns0:c>
      <ns0:c r="H54" t="str">
        <ns0:f>IF(C54="LED_WRITE",E54,"")</ns0:f>
        <ns0:v/>
      </ns0:c>
      <ns0:c r="I54" t="str">
        <ns0:f>IF($A54&gt;$I$7,"",IFERROR(INDEX('ДАННЫЕ T3'!$O$6:$O$286,MATCH($D$6*1000+$A54,'ДАННЫЕ T3'!$K$6:$K$286,0)),""))</ns0:f>
        <ns0:v>ROM OK</ns0:v>
      </ns0:c>
    </ns0:row>
    <ns0:row r="55" ht="21" customHeight="1">
      <ns0:c r="A55" t="n">
        <ns0:v>25</ns0:v>
      </ns0:c>
      <ns0:c r="B55">
        <ns0:f>IF($A55&gt;$I$7,"",IFERROR(INDEX('ДАННЫЕ T3'!$D$6:$D$286,MATCH($D$6*1000+$A55,'ДАННЫЕ T3'!$K$6:$K$286,0)),""))</ns0:f>
        <ns0:v>100</ns0:v>
      </ns0:c>
      <ns0:c r="C55" t="str">
        <ns0:f>IF($A55&gt;$I$7,"",IFERROR(INDEX('ДАННЫЕ T3'!$E$6:$E$286,MATCH($D$6*1000+$A55,'ДАННЫЕ T3'!$K$6:$K$286,0)),""))</ns0:f>
        <ns0:v>FETCH</ns0:v>
      </ns0:c>
      <ns0:c r="D55" s="43" t="str">
        <ns0:f>IF($A55&gt;$I$7,"",IFERROR(INDEX('ДАННЫЕ T3'!$F$6:$F$286,MATCH($D$6*1000+$A55,'ДАННЫЕ T3'!$K$6:$K$286,0)),""))</ns0:f>
        <ns0:v>0x000000E0</ns0:v>
      </ns0:c>
      <ns0:c r="E55" s="43" t="str">
        <ns0:f>IF($A55&gt;$I$7,"",IFERROR(INDEX('ДАННЫЕ T3'!$G$6:$G$286,MATCH($D$6*1000+$A55,'ДАННЫЕ T3'!$K$6:$K$286,0)),""))</ns0:f>
        <ns0:v>0x03400F13</ns0:v>
      </ns0:c>
      <ns0:c r="F55" s="43" t="str">
        <ns0:f>IF($A55&gt;$I$7,"",IFERROR(INDEX('ДАННЫЕ T3'!$H$6:$H$286,MATCH($D$6*1000+$A55,'ДАННЫЕ T3'!$K$6:$K$286,0)),""))</ns0:f>
        <ns0:v>addi t5, zero, 52</ns0:v>
      </ns0:c>
      <ns0:c r="G55" t="str">
        <ns0:f>IF($A55&gt;$I$7,"",IFERROR(INDEX('ДАННЫЕ T3'!$J$6:$J$286,MATCH($D$6*1000+$A55,'ДАННЫЕ T3'!$K$6:$K$286,0)),""))</ns0:f>
        <ns0:v>CORE</ns0:v>
      </ns0:c>
      <ns0:c r="H55" t="str">
        <ns0:f>IF(C55="LED_WRITE",E55,"")</ns0:f>
        <ns0:v/>
      </ns0:c>
      <ns0:c r="I55" t="str">
        <ns0:f>IF($A55&gt;$I$7,"",IFERROR(INDEX('ДАННЫЕ T3'!$O$6:$O$286,MATCH($D$6*1000+$A55,'ДАННЫЕ T3'!$K$6:$K$286,0)),""))</ns0:f>
        <ns0:v>ROM OK</ns0:v>
      </ns0:c>
    </ns0:row>
    <ns0:row r="56" ht="21" customHeight="1">
      <ns0:c r="A56" t="n">
        <ns0:v>26</ns0:v>
      </ns0:c>
      <ns0:c r="B56">
        <ns0:f>IF($A56&gt;$I$7,"",IFERROR(INDEX('ДАННЫЕ T3'!$D$6:$D$286,MATCH($D$6*1000+$A56,'ДАННЫЕ T3'!$K$6:$K$286,0)),""))</ns0:f>
        <ns0:v>104</ns0:v>
      </ns0:c>
      <ns0:c r="C56" t="str">
        <ns0:f>IF($A56&gt;$I$7,"",IFERROR(INDEX('ДАННЫЕ T3'!$E$6:$E$286,MATCH($D$6*1000+$A56,'ДАННЫЕ T3'!$K$6:$K$286,0)),""))</ns0:f>
        <ns0:v>FETCH</ns0:v>
      </ns0:c>
      <ns0:c r="D56" s="43" t="str">
        <ns0:f>IF($A56&gt;$I$7,"",IFERROR(INDEX('ДАННЫЕ T3'!$F$6:$F$286,MATCH($D$6*1000+$A56,'ДАННЫЕ T3'!$K$6:$K$286,0)),""))</ns0:f>
        <ns0:v>0x000000E4</ns0:v>
      </ns0:c>
      <ns0:c r="E56" s="43" t="str">
        <ns0:f>IF($A56&gt;$I$7,"",IFERROR(INDEX('ДАННЫЕ T3'!$G$6:$G$286,MATCH($D$6*1000+$A56,'ДАННЫЕ T3'!$K$6:$K$286,0)),""))</ns0:f>
        <ns0:v>0x01C0006F</ns0:v>
      </ns0:c>
      <ns0:c r="F56" s="43" t="str">
        <ns0:f>IF($A56&gt;$I$7,"",IFERROR(INDEX('ДАННЫЕ T3'!$H$6:$H$286,MATCH($D$6*1000+$A56,'ДАННЫЕ T3'!$K$6:$K$286,0)),""))</ns0:f>
        <ns0:v>jal zero, 0x00000100</ns0:v>
      </ns0:c>
      <ns0:c r="G56" t="str">
        <ns0:f>IF($A56&gt;$I$7,"",IFERROR(INDEX('ДАННЫЕ T3'!$J$6:$J$286,MATCH($D$6*1000+$A56,'ДАННЫЕ T3'!$K$6:$K$286,0)),""))</ns0:f>
        <ns0:v>CORE</ns0:v>
      </ns0:c>
      <ns0:c r="H56" t="str">
        <ns0:f>IF(C56="LED_WRITE",E56,"")</ns0:f>
        <ns0:v/>
      </ns0:c>
      <ns0:c r="I56" t="str">
        <ns0:f>IF($A56&gt;$I$7,"",IFERROR(INDEX('ДАННЫЕ T3'!$O$6:$O$286,MATCH($D$6*1000+$A56,'ДАННЫЕ T3'!$K$6:$K$286,0)),""))</ns0:f>
        <ns0:v>ROM OK</ns0:v>
      </ns0:c>
    </ns0:row>
    <ns0:row r="57" ht="21" customHeight="1">
      <ns0:c r="A57" t="n">
        <ns0:v>27</ns0:v>
      </ns0:c>
      <ns0:c r="B57">
        <ns0:f>IF($A57&gt;$I$7,"",IFERROR(INDEX('ДАННЫЕ T3'!$D$6:$D$286,MATCH($D$6*1000+$A57,'ДАННЫЕ T3'!$K$6:$K$286,0)),""))</ns0:f>
        <ns0:v>108</ns0:v>
      </ns0:c>
      <ns0:c r="C57" t="str">
        <ns0:f>IF($A57&gt;$I$7,"",IFERROR(INDEX('ДАННЫЕ T3'!$E$6:$E$286,MATCH($D$6*1000+$A57,'ДАННЫЕ T3'!$K$6:$K$286,0)),""))</ns0:f>
        <ns0:v>FETCH</ns0:v>
      </ns0:c>
      <ns0:c r="D57" s="43" t="str">
        <ns0:f>IF($A57&gt;$I$7,"",IFERROR(INDEX('ДАННЫЕ T3'!$F$6:$F$286,MATCH($D$6*1000+$A57,'ДАННЫЕ T3'!$K$6:$K$286,0)),""))</ns0:f>
        <ns0:v>0x00000100</ns0:v>
      </ns0:c>
      <ns0:c r="E57" s="43" t="str">
        <ns0:f>IF($A57&gt;$I$7,"",IFERROR(INDEX('ДАННЫЕ T3'!$G$6:$G$286,MATCH($D$6*1000+$A57,'ДАННЫЕ T3'!$K$6:$K$286,0)),""))</ns0:f>
        <ns0:v>0x01D2A023</ns0:v>
      </ns0:c>
      <ns0:c r="F57" s="43" t="str">
        <ns0:f>IF($A57&gt;$I$7,"",IFERROR(INDEX('ДАННЫЕ T3'!$H$6:$H$286,MATCH($D$6*1000+$A57,'ДАННЫЕ T3'!$K$6:$K$286,0)),""))</ns0:f>
        <ns0:v>sw t4, 0(t0)</ns0:v>
      </ns0:c>
      <ns0:c r="G57" t="str">
        <ns0:f>IF($A57&gt;$I$7,"",IFERROR(INDEX('ДАННЫЕ T3'!$J$6:$J$286,MATCH($D$6*1000+$A57,'ДАННЫЕ T3'!$K$6:$K$286,0)),""))</ns0:f>
        <ns0:v>CORE</ns0:v>
      </ns0:c>
      <ns0:c r="H57" t="str">
        <ns0:f>IF(C57="LED_WRITE",E57,"")</ns0:f>
        <ns0:v/>
      </ns0:c>
      <ns0:c r="I57" t="str">
        <ns0:f>IF($A57&gt;$I$7,"",IFERROR(INDEX('ДАННЫЕ T3'!$O$6:$O$286,MATCH($D$6*1000+$A57,'ДАННЫЕ T3'!$K$6:$K$286,0)),""))</ns0:f>
        <ns0:v>ROM OK</ns0:v>
      </ns0:c>
    </ns0:row>
    <ns0:row r="58" ht="21" customHeight="1">
      <ns0:c r="A58" t="n">
        <ns0:v>28</ns0:v>
      </ns0:c>
      <ns0:c r="B58">
        <ns0:f>IF($A58&gt;$I$7,"",IFERROR(INDEX('ДАННЫЕ T3'!$D$6:$D$286,MATCH($D$6*1000+$A58,'ДАННЫЕ T3'!$K$6:$K$286,0)),""))</ns0:f>
        <ns0:v>112</ns0:v>
      </ns0:c>
      <ns0:c r="C58" t="str">
        <ns0:f>IF($A58&gt;$I$7,"",IFERROR(INDEX('ДАННЫЕ T3'!$E$6:$E$286,MATCH($D$6*1000+$A58,'ДАННЫЕ T3'!$K$6:$K$286,0)),""))</ns0:f>
        <ns0:v>FETCH</ns0:v>
      </ns0:c>
      <ns0:c r="D58" s="43" t="str">
        <ns0:f>IF($A58&gt;$I$7,"",IFERROR(INDEX('ДАННЫЕ T3'!$F$6:$F$286,MATCH($D$6*1000+$A58,'ДАННЫЕ T3'!$K$6:$K$286,0)),""))</ns0:f>
        <ns0:v>0x00000104</ns0:v>
      </ns0:c>
      <ns0:c r="E58" s="43" t="str">
        <ns0:f>IF($A58&gt;$I$7,"",IFERROR(INDEX('ДАННЫЕ T3'!$G$6:$G$286,MATCH($D$6*1000+$A58,'ДАННЫЕ T3'!$K$6:$K$286,0)),""))</ns0:f>
        <ns0:v>0x0002AF83</ns0:v>
      </ns0:c>
      <ns0:c r="F58" s="43" t="str">
        <ns0:f>IF($A58&gt;$I$7,"",IFERROR(INDEX('ДАННЫЕ T3'!$H$6:$H$286,MATCH($D$6*1000+$A58,'ДАННЫЕ T3'!$K$6:$K$286,0)),""))</ns0:f>
        <ns0:v>lw t6, 0(t0)</ns0:v>
      </ns0:c>
      <ns0:c r="G58" t="str">
        <ns0:f>IF($A58&gt;$I$7,"",IFERROR(INDEX('ДАННЫЕ T3'!$J$6:$J$286,MATCH($D$6*1000+$A58,'ДАННЫЕ T3'!$K$6:$K$286,0)),""))</ns0:f>
        <ns0:v>CORE</ns0:v>
      </ns0:c>
      <ns0:c r="H58" t="str">
        <ns0:f>IF(C58="LED_WRITE",E58,"")</ns0:f>
        <ns0:v/>
      </ns0:c>
      <ns0:c r="I58" t="str">
        <ns0:f>IF($A58&gt;$I$7,"",IFERROR(INDEX('ДАННЫЕ T3'!$O$6:$O$286,MATCH($D$6*1000+$A58,'ДАННЫЕ T3'!$K$6:$K$286,0)),""))</ns0:f>
        <ns0:v>ROM OK</ns0:v>
      </ns0:c>
    </ns0:row>
    <ns0:row r="59" ht="21" customHeight="1">
      <ns0:c r="A59" t="n">
        <ns0:v>29</ns0:v>
      </ns0:c>
      <ns0:c r="B59">
        <ns0:f>IF($A59&gt;$I$7,"",IFERROR(INDEX('ДАННЫЕ T3'!$D$6:$D$286,MATCH($D$6*1000+$A59,'ДАННЫЕ T3'!$K$6:$K$286,0)),""))</ns0:f>
        <ns0:v>115</ns0:v>
      </ns0:c>
      <ns0:c r="C59" t="str">
        <ns0:f>IF($A59&gt;$I$7,"",IFERROR(INDEX('ДАННЫЕ T3'!$E$6:$E$286,MATCH($D$6*1000+$A59,'ДАННЫЕ T3'!$K$6:$K$286,0)),""))</ns0:f>
        <ns0:v>LED_WRITE</ns0:v>
      </ns0:c>
      <ns0:c r="D59" s="43" t="str">
        <ns0:f>IF($A59&gt;$I$7,"",IFERROR(INDEX('ДАННЫЕ T3'!$F$6:$F$286,MATCH($D$6*1000+$A59,'ДАННЫЕ T3'!$K$6:$K$286,0)),""))</ns0:f>
        <ns0:v>0x20000000</ns0:v>
      </ns0:c>
      <ns0:c r="E59" s="43" t="str">
        <ns0:f>IF($A59&gt;$I$7,"",IFERROR(INDEX('ДАННЫЕ T3'!$G$6:$G$286,MATCH($D$6*1000+$A59,'ДАННЫЕ T3'!$K$6:$K$286,0)),""))</ns0:f>
        <ns0:v>0x00000008</ns0:v>
      </ns0:c>
      <ns0:c r="F59" s="43" t="str">
        <ns0:f>IF($A59&gt;$I$7,"",IFERROR(INDEX('ДАННЫЕ T3'!$H$6:$H$286,MATCH($D$6*1000+$A59,'ДАННЫЕ T3'!$K$6:$K$286,0)),""))</ns0:f>
        <ns0:v>MMIO GPIO write</ns0:v>
      </ns0:c>
      <ns0:c r="G59" t="str">
        <ns0:f>IF($A59&gt;$I$7,"",IFERROR(INDEX('ДАННЫЕ T3'!$J$6:$J$286,MATCH($D$6*1000+$A59,'ДАННЫЕ T3'!$K$6:$K$286,0)),""))</ns0:f>
        <ns0:v>MMIO</ns0:v>
      </ns0:c>
      <ns0:c r="H59" t="str">
        <ns0:f>IF(C59="LED_WRITE",E59,"")</ns0:f>
        <ns0:v>0x00000008</ns0:v>
      </ns0:c>
      <ns0:c r="I59" t="str">
        <ns0:f>IF($A59&gt;$I$7,"",IFERROR(INDEX('ДАННЫЕ T3'!$O$6:$O$286,MATCH($D$6*1000+$A59,'ДАННЫЕ T3'!$K$6:$K$286,0)),""))</ns0:f>
        <ns0:v>MMIO OK</ns0:v>
      </ns0:c>
    </ns0:row>
  </ns0:sheetData>
  <ns0:mergeCells count="8">
    <ns0:mergeCell ref="A1:N2"/>
    <ns0:mergeCell ref="A3:N3"/>
    <ns0:mergeCell ref="B22:J22"/>
    <ns0:mergeCell ref="A29:N29"/>
    <ns0:mergeCell ref="B27:J27"/>
    <ns0:mergeCell ref="A11:N11"/>
    <ns0:mergeCell ref="D15:J15"/>
    <ns0:mergeCell ref="D17:J18"/>
  </ns0:mergeCells>
  <ns0:conditionalFormatting sqref="D25">
    <ns0:cfRule type="cellIs" priority="1" operator="equal" dxfId="0">
      <ns0:formula>"●"</ns0:formula>
    </ns0:cfRule>
  </ns0:conditionalFormatting>
  <ns0:conditionalFormatting sqref="E25">
    <ns0:cfRule type="cellIs" priority="2" operator="equal" dxfId="0">
      <ns0:formula>"●"</ns0:formula>
    </ns0:cfRule>
  </ns0:conditionalFormatting>
  <ns0:conditionalFormatting sqref="F25">
    <ns0:cfRule type="cellIs" priority="3" operator="equal" dxfId="0">
      <ns0:formula>"●"</ns0:formula>
    </ns0:cfRule>
  </ns0:conditionalFormatting>
  <ns0:conditionalFormatting sqref="G25">
    <ns0:cfRule type="cellIs" priority="4" operator="equal" dxfId="0">
      <ns0:formula>"●"</ns0:formula>
    </ns0:cfRule>
  </ns0:conditionalFormatting>
  <ns0:conditionalFormatting sqref="H25">
    <ns0:cfRule type="cellIs" priority="5" operator="equal" dxfId="0">
      <ns0:formula>"●"</ns0:formula>
    </ns0:cfRule>
  </ns0:conditionalFormatting>
  <ns0:conditionalFormatting sqref="I25">
    <ns0:cfRule type="cellIs" priority="6" operator="equal" dxfId="0">
      <ns0:formula>"●"</ns0:formula>
    </ns0:cfRule>
  </ns0:conditionalFormatting>
  <ns0:conditionalFormatting sqref="A31:I59">
    <ns0:cfRule type="expression" priority="7" dxfId="1">
      <ns0:formula>$A31=$I$6</ns0:formula>
    </ns0:cfRule>
  </ns0:conditionalFormatting>
  <ns0:conditionalFormatting sqref="C31:C59">
    <ns0:cfRule type="expression" priority="8" dxfId="2">
      <ns0:formula>$C31="LED_WRITE"</ns0:formula>
    </ns0:cfRule>
  </ns0:conditionalFormatting>
  <ns0:dataValidations count="2">
    <ns0:dataValidation sqref="D6" showDropDown="0" showInputMessage="1" showErrorMessage="1" allowBlank="0" errorTitle="Вне диапазона" error="Введите число от 1 до 12" promptTitle="Учебное управление" prompt="Число от 1 до 12" type="whole" operator="between">
      <ns0:formula1>1</ns0:formula1>
      <ns0:formula2>12</ns0:formula2>
    </ns0:dataValidation>
    <ns0:dataValidation sqref="I6" showDropDown="0" showInputMessage="1" showErrorMessage="1" allowBlank="0" errorTitle="Вне диапазона" error="Введите число от 1 до 29" promptTitle="Учебное управление" prompt="Число от 1 до 29" type="whole" operator="between">
      <ns0:formula1>1</ns0:formula1>
      <ns0:formula2>29</ns0:formula2>
    </ns0:dataValidation>
  </ns0:dataValidations>
  <ns0:hyperlinks>
    <ns0:hyperlink ref="A4" location="'ИНСТРУКЦИЯ'!A1" display="СТАРТ"/>
    <ns0:hyperlink ref="B4" location="'ПУЛЬТ'!A1" display="НАБЛЮДЕНИЕ"/>
    <ns0:hyperlink ref="C4" location="'СРАВНЕНИЕ'!A1" display="СРАВНЕНИЕ"/>
    <ns0:hyperlink ref="D4" location="'МОДЕЛЬ MMIO'!A1" display="LED / MMIO"/>
    <ns0:hyperlink ref="E4" location="'КОМАНДЫ'!A1" display="КОМАНДЫ"/>
    <ns0:hyperlink ref="F4" location="'ЗАХВАТЫ'!A1" display="12 ТРАСС"/>
    <ns0:hyperlink ref="G4" location="'ДАННЫЕ T3'!A1" display="RAW T3"/>
    <ns0:hyperlink ref="H4" location="'ROM LAB03'!A1" display="ROM"/>
    <ns0:hyperlink ref="I4" location="'СЛОВАРЬ'!A1" display="ТЕРМИНЫ"/>
    <ns0:hyperlink ref="J4" location="'ИСТОЧНИКИ'!A1" display="ПРОИСХОЖДЕНИЕ"/>
    <ns0:hyperlink ref="K4" ns1:id="rId1"/>
    <ns0:hyperlink ref="L4" ns1:id="rId2"/>
  </ns0:hyperlinks>
  <ns0:printOptions horizontalCentered="0" gridLines="0"/>
  <ns0:pageMargins left="0.75" right="0.75" top="1" bottom="1" header="0.5" footer="0.5"/>
  <ns0:pageSetup fitToHeight="0" fitToWidth="1"/>
  <ns0:legacyDrawing ns1:id="anysvml"/>
</ns0:worksheet>
</file>

<file path=xl/worksheets/sheet10.xml><?xml version="1.0" encoding="utf-8"?>
<ns0:worksheet xmlns:ns0="http://schemas.openxmlformats.org/spreadsheetml/2006/main" xmlns:ns1="http://schemas.openxmlformats.org/officeDocument/2006/relationships">
  <ns0:sheetPr>
    <ns0:tabColor rgb="00C47B1A"/>
    <ns0:outlinePr summaryBelow="1" summaryRight="1"/>
    <ns0:pageSetUpPr fitToPage="1"/>
  </ns0:sheetPr>
  <ns0:dimension ref="A1:N46"/>
  <ns0:sheetViews>
    <ns0:sheetView showGridLines="0" zoomScale="90" workbookViewId="0">
      <ns0:pane xSplit="6" ySplit="18" topLeftCell="G19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9"/>
  <ns0:cols>
    <ns0:col width="9" customWidth="1" min="1" max="1"/>
    <ns0:col width="13" customWidth="1" min="2" max="2"/>
    <ns0:col width="19" customWidth="1" min="3" max="3"/>
    <ns0:col width="19" customWidth="1" min="4" max="4"/>
    <ns0:col width="30" customWidth="1" min="5" max="5"/>
    <ns0:col width="11" customWidth="1" min="6" max="6"/>
    <ns0:col width="15" customWidth="1" min="7" max="7"/>
    <ns0:col width="19" customWidth="1" min="8" max="8"/>
    <ns0:col width="20" customWidth="1" min="9" max="9"/>
    <ns0:col width="30" customWidth="1" min="10" max="10"/>
    <ns0:col width="11" customWidth="1" min="11" max="11"/>
    <ns0:col width="15" customWidth="1" min="12" max="12"/>
    <ns0:col width="17" customWidth="1" min="13" max="13"/>
    <ns0:col width="4" customWidth="1" min="14" max="14"/>
  </ns0:cols>
  <ns0:sheetData>
    <ns0:row r="1" ht="26" customHeight="1">
      <ns0:c r="A1" s="1" t="inlineStr">
        <ns0:is>
          <ns0:t>CORE СРАВНЕНИЕ  /  FPGA ↔ FPGA</ns0:t>
        </ns0:is>
      </ns0:c>
    </ns0:row>
    <ns0:row r="2" ht="20" customHeight="1"/>
    <ns0:row r="3" ht="29" customHeight="1">
      <ns0:c r="A3" s="3" t="inlineStr">
        <ns0:is>
          <ns0:t>Нормализация: события от первого единственного FETCH PC=0x00000048 до LED_WRITE. Циклы между запусками НЕ приравниваются.</ns0:t>
        </ns0:is>
      </ns0:c>
    </ns0:row>
    <ns0:row r="4" ht="26" customHeight="1">
      <ns0:c r="A4" s="5" t="inlineStr">
        <ns0:is>
          <ns0:t>СТАРТ</ns0:t>
        </ns0:is>
      </ns0:c>
      <ns0:c r="B4" s="5" t="inlineStr">
        <ns0:is>
          <ns0:t>НАБЛЮДЕНИЕ</ns0:t>
        </ns0:is>
      </ns0:c>
      <ns0:c r="C4" s="4" t="inlineStr">
        <ns0:is>
          <ns0:t>СРАВНЕНИЕ</ns0:t>
        </ns0:is>
      </ns0:c>
      <ns0:c r="D4" s="5" t="inlineStr">
        <ns0:is>
          <ns0:t>LED / MMIO</ns0:t>
        </ns0:is>
      </ns0:c>
      <ns0:c r="E4" s="5" t="inlineStr">
        <ns0:is>
          <ns0:t>КОМАНДЫ</ns0:t>
        </ns0:is>
      </ns0:c>
      <ns0:c r="F4" s="5" t="inlineStr">
        <ns0:is>
          <ns0:t>12 ТРАСС</ns0:t>
        </ns0:is>
      </ns0:c>
      <ns0:c r="G4" s="5" t="inlineStr">
        <ns0:is>
          <ns0:t>RAW T3</ns0:t>
        </ns0:is>
      </ns0:c>
      <ns0:c r="H4" s="5" t="inlineStr">
        <ns0:is>
          <ns0:t>ROM</ns0:t>
        </ns0:is>
      </ns0:c>
      <ns0:c r="I4" s="5" t="inlineStr">
        <ns0:is>
          <ns0:t>ТЕРМИНЫ</ns0:t>
        </ns0:is>
      </ns0:c>
      <ns0:c r="J4" s="5" t="inlineStr">
        <ns0:is>
          <ns0:t>ПРОИСХОЖДЕНИЕ</ns0:t>
        </ns0:is>
      </ns0:c>
      <ns0:c r="K4" s="59" t="inlineStr">
        <ns0:is>
          <ns0:t>БИТЫ 202</ns0:t>
        </ns0:is>
      </ns0:c>
      <ns0:c r="L4" s="59" t="inlineStr">
        <ns0:is>
          <ns0:t>10 КАРТОЧЕК</ns0:t>
        </ns0:is>
      </ns0:c>
    </ns0:row>
    <ns0:row r="6">
      <ns0:c r="B6" s="31" t="inlineStr">
        <ns0:is>
          <ns0:t>Захват A</ns0:t>
        </ns0:is>
      </ns0:c>
      <ns0:c r="C6" s="32" t="n">
        <ns0:v>3</ns0:v>
      </ns0:c>
      <ns0:c r="H6" s="31" t="inlineStr">
        <ns0:is>
          <ns0:t>Захват B</ns0:t>
        </ns0:is>
      </ns0:c>
      <ns0:c r="I6" s="32" t="n">
        <ns0:v>5</ns0:v>
      </ns0:c>
    </ns0:row>
    <ns0:row r="8">
      <ns0:c r="B8" s="31" t="inlineStr">
        <ns0:is>
          <ns0:t>UART</ns0:t>
        </ns0:is>
      </ns0:c>
      <ns0:c r="C8" s="33" t="str">
        <ns0:f>IFERROR(INDEX('ЗАХВАТЫ'!$B$6:$B$17,MATCH($C$6,'ЗАХВАТЫ'!$A$6:$A$17,0)),"")</ns0:f>
        <ns0:v>4</ns0:v>
      </ns0:c>
      <ns0:c r="H8" s="31" t="inlineStr">
        <ns0:is>
          <ns0:t>UART</ns0:t>
        </ns0:is>
      </ns0:c>
      <ns0:c r="I8" s="33" t="str">
        <ns0:f>IFERROR(INDEX('ЗАХВАТЫ'!$B$6:$B$17,MATCH($I$6,'ЗАХВАТЫ'!$A$6:$A$17,0)),"")</ns0:f>
        <ns0:v>4</ns0:v>
      </ns0:c>
    </ns0:row>
    <ns0:row r="9">
      <ns0:c r="B9" s="31" t="inlineStr">
        <ns0:is>
          <ns0:t>RAW FETCH</ns0:t>
        </ns0:is>
      </ns0:c>
      <ns0:c r="C9" s="33">
        <ns0:f>IFERROR(INDEX('ЗАХВАТЫ'!$D$6:$D$17,MATCH($C$6,'ЗАХВАТЫ'!$A$6:$A$17,0)),"")</ns0:f>
        <ns0:v>24</ns0:v>
      </ns0:c>
      <ns0:c r="H9" s="31" t="inlineStr">
        <ns0:is>
          <ns0:t>RAW FETCH</ns0:t>
        </ns0:is>
      </ns0:c>
      <ns0:c r="I9" s="33">
        <ns0:f>IFERROR(INDEX('ЗАХВАТЫ'!$D$6:$D$17,MATCH($I$6,'ЗАХВАТЫ'!$A$6:$A$17,0)),"")</ns0:f>
        <ns0:v>28</ns0:v>
      </ns0:c>
    </ns0:row>
    <ns0:row r="10">
      <ns0:c r="B10" s="31" t="inlineStr">
        <ns0:is>
          <ns0:t>Префикс</ns0:t>
        </ns0:is>
      </ns0:c>
      <ns0:c r="C10" s="33">
        <ns0:f>IFERROR(INDEX('ЗАХВАТЫ'!$G$6:$G$17,MATCH($C$6,'ЗАХВАТЫ'!$A$6:$A$17,0)),"")</ns0:f>
        <ns0:v>2</ns0:v>
      </ns0:c>
      <ns0:c r="H10" s="31" t="inlineStr">
        <ns0:is>
          <ns0:t>Префикс</ns0:t>
        </ns0:is>
      </ns0:c>
      <ns0:c r="I10" s="33">
        <ns0:f>IFERROR(INDEX('ЗАХВАТЫ'!$G$6:$G$17,MATCH($I$6,'ЗАХВАТЫ'!$A$6:$A$17,0)),"")</ns0:f>
        <ns0:v>6</ns0:v>
      </ns0:c>
    </ns0:row>
    <ns0:row r="11">
      <ns0:c r="B11" s="31" t="inlineStr">
        <ns0:is>
          <ns0:t>CORE событий</ns0:t>
        </ns0:is>
      </ns0:c>
      <ns0:c r="C11" s="33">
        <ns0:f>IFERROR(INDEX('ЗАХВАТЫ'!$I$6:$I$17,MATCH($C$6,'ЗАХВАТЫ'!$A$6:$A$17,0)),"")</ns0:f>
        <ns0:v>23</ns0:v>
      </ns0:c>
      <ns0:c r="H11" s="31" t="inlineStr">
        <ns0:is>
          <ns0:t>CORE событий</ns0:t>
        </ns0:is>
      </ns0:c>
      <ns0:c r="I11" s="33">
        <ns0:f>IFERROR(INDEX('ЗАХВАТЫ'!$I$6:$I$17,MATCH($I$6,'ЗАХВАТЫ'!$A$6:$A$17,0)),"")</ns0:f>
        <ns0:v>23</ns0:v>
      </ns0:c>
    </ns0:row>
    <ns0:row r="13">
      <ns0:c r="B13" s="44" t="str">
        <ns0:f>IF(C8&lt;&gt;I8,"РАЗНЫЕ КОМАНДЫ — нельзя ожидать полного совпадения",IF(C11&lt;&gt;I11,"MISMATCH: размер CORE различается",IF(COUNTIF(L19:L41,"DIFF")=0,"MATCH: совпадают все CORE-сигнатуры","MISMATCH: найдено расхождение")))</ns0:f>
        <ns0:v>MATCH: совпадают все CORE-сигнатуры</ns0:v>
      </ns0:c>
    </ns0:row>
    <ns0:row r="14"/>
    <ns0:row r="16" ht="34" customHeight="1">
      <ns0:c r="A16" s="6" t="inlineStr">
        <ns0:is>
          <ns0:t>КОМАНДА 4: 24 FETCH (захват 03) ≠ 28 FETCH (захват 05), НО CORE = 23 СОБЫТИЯ</ns0:t>
        </ns0:is>
      </ns0:c>
    </ns0:row>
    <ns0:row r="18" ht="35" customHeight="1">
      <ns0:c r="A18" s="13" t="inlineStr">
        <ns0:is>
          <ns0:t>№ CORE</ns0:t>
        </ns0:is>
      </ns0:c>
      <ns0:c r="B18" s="13" t="inlineStr">
        <ns0:is>
          <ns0:t>Тип A</ns0:t>
        </ns0:is>
      </ns0:c>
      <ns0:c r="C18" s="13" t="inlineStr">
        <ns0:is>
          <ns0:t>Адрес A</ns0:t>
        </ns0:is>
      </ns0:c>
      <ns0:c r="D18" s="13" t="inlineStr">
        <ns0:is>
          <ns0:t>Данные A</ns0:t>
        </ns0:is>
      </ns0:c>
      <ns0:c r="E18" s="13" t="inlineStr">
        <ns0:is>
          <ns0:t>ASM A</ns0:t>
        </ns0:is>
      </ns0:c>
      <ns0:c r="F18" s="13" t="inlineStr">
        <ns0:is>
          <ns0:t>Цикл A</ns0:t>
        </ns0:is>
      </ns0:c>
      <ns0:c r="G18" s="13" t="inlineStr">
        <ns0:is>
          <ns0:t>Тип B</ns0:t>
        </ns0:is>
      </ns0:c>
      <ns0:c r="H18" s="13" t="inlineStr">
        <ns0:is>
          <ns0:t>Адрес B</ns0:t>
        </ns0:is>
      </ns0:c>
      <ns0:c r="I18" s="13" t="inlineStr">
        <ns0:is>
          <ns0:t>Данные B</ns0:t>
        </ns0:is>
      </ns0:c>
      <ns0:c r="J18" s="13" t="inlineStr">
        <ns0:is>
          <ns0:t>ASM B</ns0:t>
        </ns0:is>
      </ns0:c>
      <ns0:c r="K18" s="13" t="inlineStr">
        <ns0:is>
          <ns0:t>Цикл B</ns0:t>
        </ns0:is>
      </ns0:c>
      <ns0:c r="L18" s="13" t="inlineStr">
        <ns0:is>
          <ns0:t>Сверка</ns0:t>
        </ns0:is>
      </ns0:c>
    </ns0:row>
    <ns0:row r="19">
      <ns0:c r="A19" t="n">
        <ns0:v>1</ns0:v>
      </ns0:c>
      <ns0:c r="B19" t="str">
        <ns0:f>IF($A19&gt;$C$11,"",IFERROR(INDEX('ДАННЫЕ T3'!$E$6:$E$286,MATCH($C$6*1000+$A19+$C$10,'ДАННЫЕ T3'!$K$6:$K$286,0)),""))</ns0:f>
        <ns0:v>FETCH</ns0:v>
      </ns0:c>
      <ns0:c r="C19" t="str">
        <ns0:f>IF($A19&gt;$C$11,"",IFERROR(INDEX('ДАННЫЕ T3'!$F$6:$F$286,MATCH($C$6*1000+$A19+$C$10,'ДАННЫЕ T3'!$K$6:$K$286,0)),""))</ns0:f>
        <ns0:v>0x00000048</ns0:v>
      </ns0:c>
      <ns0:c r="D19" t="str">
        <ns0:f>IF($A19&gt;$C$11,"",IFERROR(INDEX('ДАННЫЕ T3'!$G$6:$G$286,MATCH($C$6*1000+$A19+$C$10,'ДАННЫЕ T3'!$K$6:$K$286,0)),""))</ns0:f>
        <ns0:v>0x05400413</ns0:v>
      </ns0:c>
      <ns0:c r="E19" t="str">
        <ns0:f>IF($A19&gt;$C$11,"",IFERROR(INDEX('ДАННЫЕ T3'!$H$6:$H$286,MATCH($C$6*1000+$A19+$C$10,'ДАННЫЕ T3'!$K$6:$K$286,0)),""))</ns0:f>
        <ns0:v>addi s0, zero, 84</ns0:v>
      </ns0:c>
      <ns0:c r="F19">
        <ns0:f>IF($A19&gt;$C$11,"",IFERROR(INDEX('ДАННЫЕ T3'!$D$6:$D$286,MATCH($C$6*1000+$A19+$C$10,'ДАННЫЕ T3'!$K$6:$K$286,0)),""))</ns0:f>
        <ns0:v>13</ns0:v>
      </ns0:c>
      <ns0:c r="G19" t="str">
        <ns0:f>IF($A19&gt;$I$11,"",IFERROR(INDEX('ДАННЫЕ T3'!$E$6:$E$286,MATCH($I$6*1000+$A19+$I$10,'ДАННЫЕ T3'!$K$6:$K$286,0)),""))</ns0:f>
        <ns0:v>FETCH</ns0:v>
      </ns0:c>
      <ns0:c r="H19" t="str">
        <ns0:f>IF($A19&gt;$I$11,"",IFERROR(INDEX('ДАННЫЕ T3'!$F$6:$F$286,MATCH($I$6*1000+$A19+$I$10,'ДАННЫЕ T3'!$K$6:$K$286,0)),""))</ns0:f>
        <ns0:v>0x00000048</ns0:v>
      </ns0:c>
      <ns0:c r="I19" t="str">
        <ns0:f>IF($A19&gt;$I$11,"",IFERROR(INDEX('ДАННЫЕ T3'!$G$6:$G$286,MATCH($I$6*1000+$A19+$I$10,'ДАННЫЕ T3'!$K$6:$K$286,0)),""))</ns0:f>
        <ns0:v>0x05400413</ns0:v>
      </ns0:c>
      <ns0:c r="J19" t="str">
        <ns0:f>IF($A19&gt;$I$11,"",IFERROR(INDEX('ДАННЫЕ T3'!$H$6:$H$286,MATCH($I$6*1000+$A19+$I$10,'ДАННЫЕ T3'!$K$6:$K$286,0)),""))</ns0:f>
        <ns0:v>addi s0, zero, 84</ns0:v>
      </ns0:c>
      <ns0:c r="K19">
        <ns0:f>IF($A19&gt;$I$11,"",IFERROR(INDEX('ДАННЫЕ T3'!$D$6:$D$286,MATCH($I$6*1000+$A19+$I$10,'ДАННЫЕ T3'!$K$6:$K$286,0)),""))</ns0:f>
        <ns0:v>26</ns0:v>
      </ns0:c>
      <ns0:c r="L19" t="str">
        <ns0:f>IF(OR(B19="",G19=""),"",IF(AND(B19=G19,C19=H19,D19=I19),"MATCH","DIFF"))</ns0:f>
        <ns0:v>MATCH</ns0:v>
      </ns0:c>
    </ns0:row>
    <ns0:row r="20">
      <ns0:c r="A20" t="n">
        <ns0:v>2</ns0:v>
      </ns0:c>
      <ns0:c r="B20" t="str">
        <ns0:f>IF($A20&gt;$C$11,"",IFERROR(INDEX('ДАННЫЕ T3'!$E$6:$E$286,MATCH($C$6*1000+$A20+$C$10,'ДАННЫЕ T3'!$K$6:$K$286,0)),""))</ns0:f>
        <ns0:v>FETCH</ns0:v>
      </ns0:c>
      <ns0:c r="C20" t="str">
        <ns0:f>IF($A20&gt;$C$11,"",IFERROR(INDEX('ДАННЫЕ T3'!$F$6:$F$286,MATCH($C$6*1000+$A20+$C$10,'ДАННЫЕ T3'!$K$6:$K$286,0)),""))</ns0:f>
        <ns0:v>0x0000004C</ns0:v>
      </ns0:c>
      <ns0:c r="D20" t="str">
        <ns0:f>IF($A20&gt;$C$11,"",IFERROR(INDEX('ДАННЫЕ T3'!$G$6:$G$286,MATCH($C$6*1000+$A20+$C$10,'ДАННЫЕ T3'!$K$6:$K$286,0)),""))</ns0:f>
        <ns0:v>0x1A8E0063</ns0:v>
      </ns0:c>
      <ns0:c r="E20" t="str">
        <ns0:f>IF($A20&gt;$C$11,"",IFERROR(INDEX('ДАННЫЕ T3'!$H$6:$H$286,MATCH($C$6*1000+$A20+$C$10,'ДАННЫЕ T3'!$K$6:$K$286,0)),""))</ns0:f>
        <ns0:v>beq t3, s0, 0x000001EC</ns0:v>
      </ns0:c>
      <ns0:c r="F20">
        <ns0:f>IF($A20&gt;$C$11,"",IFERROR(INDEX('ДАННЫЕ T3'!$D$6:$D$286,MATCH($C$6*1000+$A20+$C$10,'ДАННЫЕ T3'!$K$6:$K$286,0)),""))</ns0:f>
        <ns0:v>20</ns0:v>
      </ns0:c>
      <ns0:c r="G20" t="str">
        <ns0:f>IF($A20&gt;$I$11,"",IFERROR(INDEX('ДАННЫЕ T3'!$E$6:$E$286,MATCH($I$6*1000+$A20+$I$10,'ДАННЫЕ T3'!$K$6:$K$286,0)),""))</ns0:f>
        <ns0:v>FETCH</ns0:v>
      </ns0:c>
      <ns0:c r="H20" t="str">
        <ns0:f>IF($A20&gt;$I$11,"",IFERROR(INDEX('ДАННЫЕ T3'!$F$6:$F$286,MATCH($I$6*1000+$A20+$I$10,'ДАННЫЕ T3'!$K$6:$K$286,0)),""))</ns0:f>
        <ns0:v>0x0000004C</ns0:v>
      </ns0:c>
      <ns0:c r="I20" t="str">
        <ns0:f>IF($A20&gt;$I$11,"",IFERROR(INDEX('ДАННЫЕ T3'!$G$6:$G$286,MATCH($I$6*1000+$A20+$I$10,'ДАННЫЕ T3'!$K$6:$K$286,0)),""))</ns0:f>
        <ns0:v>0x1A8E0063</ns0:v>
      </ns0:c>
      <ns0:c r="J20" t="str">
        <ns0:f>IF($A20&gt;$I$11,"",IFERROR(INDEX('ДАННЫЕ T3'!$H$6:$H$286,MATCH($I$6*1000+$A20+$I$10,'ДАННЫЕ T3'!$K$6:$K$286,0)),""))</ns0:f>
        <ns0:v>beq t3, s0, 0x000001EC</ns0:v>
      </ns0:c>
      <ns0:c r="K20">
        <ns0:f>IF($A20&gt;$I$11,"",IFERROR(INDEX('ДАННЫЕ T3'!$D$6:$D$286,MATCH($I$6*1000+$A20+$I$10,'ДАННЫЕ T3'!$K$6:$K$286,0)),""))</ns0:f>
        <ns0:v>33</ns0:v>
      </ns0:c>
      <ns0:c r="L20" t="str">
        <ns0:f>IF(OR(B20="",G20=""),"",IF(AND(B20=G20,C20=H20,D20=I20),"MATCH","DIFF"))</ns0:f>
        <ns0:v>MATCH</ns0:v>
      </ns0:c>
    </ns0:row>
    <ns0:row r="21">
      <ns0:c r="A21" t="n">
        <ns0:v>3</ns0:v>
      </ns0:c>
      <ns0:c r="B21" t="str">
        <ns0:f>IF($A21&gt;$C$11,"",IFERROR(INDEX('ДАННЫЕ T3'!$E$6:$E$286,MATCH($C$6*1000+$A21+$C$10,'ДАННЫЕ T3'!$K$6:$K$286,0)),""))</ns0:f>
        <ns0:v>FETCH</ns0:v>
      </ns0:c>
      <ns0:c r="C21" t="str">
        <ns0:f>IF($A21&gt;$C$11,"",IFERROR(INDEX('ДАННЫЕ T3'!$F$6:$F$286,MATCH($C$6*1000+$A21+$C$10,'ДАННЫЕ T3'!$K$6:$K$286,0)),""))</ns0:f>
        <ns0:v>0x00000050</ns0:v>
      </ns0:c>
      <ns0:c r="D21" t="str">
        <ns0:f>IF($A21&gt;$C$11,"",IFERROR(INDEX('ДАННЫЕ T3'!$G$6:$G$286,MATCH($C$6*1000+$A21+$C$10,'ДАННЫЕ T3'!$K$6:$K$286,0)),""))</ns0:f>
        <ns0:v>0x04300413</ns0:v>
      </ns0:c>
      <ns0:c r="E21" t="str">
        <ns0:f>IF($A21&gt;$C$11,"",IFERROR(INDEX('ДАННЫЕ T3'!$H$6:$H$286,MATCH($C$6*1000+$A21+$C$10,'ДАННЫЕ T3'!$K$6:$K$286,0)),""))</ns0:f>
        <ns0:v>addi s0, zero, 67</ns0:v>
      </ns0:c>
      <ns0:c r="F21">
        <ns0:f>IF($A21&gt;$C$11,"",IFERROR(INDEX('ДАННЫЕ T3'!$D$6:$D$286,MATCH($C$6*1000+$A21+$C$10,'ДАННЫЕ T3'!$K$6:$K$286,0)),""))</ns0:f>
        <ns0:v>24</ns0:v>
      </ns0:c>
      <ns0:c r="G21" t="str">
        <ns0:f>IF($A21&gt;$I$11,"",IFERROR(INDEX('ДАННЫЕ T3'!$E$6:$E$286,MATCH($I$6*1000+$A21+$I$10,'ДАННЫЕ T3'!$K$6:$K$286,0)),""))</ns0:f>
        <ns0:v>FETCH</ns0:v>
      </ns0:c>
      <ns0:c r="H21" t="str">
        <ns0:f>IF($A21&gt;$I$11,"",IFERROR(INDEX('ДАННЫЕ T3'!$F$6:$F$286,MATCH($I$6*1000+$A21+$I$10,'ДАННЫЕ T3'!$K$6:$K$286,0)),""))</ns0:f>
        <ns0:v>0x00000050</ns0:v>
      </ns0:c>
      <ns0:c r="I21" t="str">
        <ns0:f>IF($A21&gt;$I$11,"",IFERROR(INDEX('ДАННЫЕ T3'!$G$6:$G$286,MATCH($I$6*1000+$A21+$I$10,'ДАННЫЕ T3'!$K$6:$K$286,0)),""))</ns0:f>
        <ns0:v>0x04300413</ns0:v>
      </ns0:c>
      <ns0:c r="J21" t="str">
        <ns0:f>IF($A21&gt;$I$11,"",IFERROR(INDEX('ДАННЫЕ T3'!$H$6:$H$286,MATCH($I$6*1000+$A21+$I$10,'ДАННЫЕ T3'!$K$6:$K$286,0)),""))</ns0:f>
        <ns0:v>addi s0, zero, 67</ns0:v>
      </ns0:c>
      <ns0:c r="K21">
        <ns0:f>IF($A21&gt;$I$11,"",IFERROR(INDEX('ДАННЫЕ T3'!$D$6:$D$286,MATCH($I$6*1000+$A21+$I$10,'ДАННЫЕ T3'!$K$6:$K$286,0)),""))</ns0:f>
        <ns0:v>37</ns0:v>
      </ns0:c>
      <ns0:c r="L21" t="str">
        <ns0:f>IF(OR(B21="",G21=""),"",IF(AND(B21=G21,C21=H21,D21=I21),"MATCH","DIFF"))</ns0:f>
        <ns0:v>MATCH</ns0:v>
      </ns0:c>
    </ns0:row>
    <ns0:row r="22">
      <ns0:c r="A22" t="n">
        <ns0:v>4</ns0:v>
      </ns0:c>
      <ns0:c r="B22" t="str">
        <ns0:f>IF($A22&gt;$C$11,"",IFERROR(INDEX('ДАННЫЕ T3'!$E$6:$E$286,MATCH($C$6*1000+$A22+$C$10,'ДАННЫЕ T3'!$K$6:$K$286,0)),""))</ns0:f>
        <ns0:v>FETCH</ns0:v>
      </ns0:c>
      <ns0:c r="C22" t="str">
        <ns0:f>IF($A22&gt;$C$11,"",IFERROR(INDEX('ДАННЫЕ T3'!$F$6:$F$286,MATCH($C$6*1000+$A22+$C$10,'ДАННЫЕ T3'!$K$6:$K$286,0)),""))</ns0:f>
        <ns0:v>0x00000054</ns0:v>
      </ns0:c>
      <ns0:c r="D22" t="str">
        <ns0:f>IF($A22&gt;$C$11,"",IFERROR(INDEX('ДАННЫЕ T3'!$G$6:$G$286,MATCH($C$6*1000+$A22+$C$10,'ДАННЫЕ T3'!$K$6:$K$286,0)),""))</ns0:f>
        <ns0:v>0x188E0063</ns0:v>
      </ns0:c>
      <ns0:c r="E22" t="str">
        <ns0:f>IF($A22&gt;$C$11,"",IFERROR(INDEX('ДАННЫЕ T3'!$H$6:$H$286,MATCH($C$6*1000+$A22+$C$10,'ДАННЫЕ T3'!$K$6:$K$286,0)),""))</ns0:f>
        <ns0:v>beq t3, s0, 0x000001D4</ns0:v>
      </ns0:c>
      <ns0:c r="F22">
        <ns0:f>IF($A22&gt;$C$11,"",IFERROR(INDEX('ДАННЫЕ T3'!$D$6:$D$286,MATCH($C$6*1000+$A22+$C$10,'ДАННЫЕ T3'!$K$6:$K$286,0)),""))</ns0:f>
        <ns0:v>28</ns0:v>
      </ns0:c>
      <ns0:c r="G22" t="str">
        <ns0:f>IF($A22&gt;$I$11,"",IFERROR(INDEX('ДАННЫЕ T3'!$E$6:$E$286,MATCH($I$6*1000+$A22+$I$10,'ДАННЫЕ T3'!$K$6:$K$286,0)),""))</ns0:f>
        <ns0:v>FETCH</ns0:v>
      </ns0:c>
      <ns0:c r="H22" t="str">
        <ns0:f>IF($A22&gt;$I$11,"",IFERROR(INDEX('ДАННЫЕ T3'!$F$6:$F$286,MATCH($I$6*1000+$A22+$I$10,'ДАННЫЕ T3'!$K$6:$K$286,0)),""))</ns0:f>
        <ns0:v>0x00000054</ns0:v>
      </ns0:c>
      <ns0:c r="I22" t="str">
        <ns0:f>IF($A22&gt;$I$11,"",IFERROR(INDEX('ДАННЫЕ T3'!$G$6:$G$286,MATCH($I$6*1000+$A22+$I$10,'ДАННЫЕ T3'!$K$6:$K$286,0)),""))</ns0:f>
        <ns0:v>0x188E0063</ns0:v>
      </ns0:c>
      <ns0:c r="J22" t="str">
        <ns0:f>IF($A22&gt;$I$11,"",IFERROR(INDEX('ДАННЫЕ T3'!$H$6:$H$286,MATCH($I$6*1000+$A22+$I$10,'ДАННЫЕ T3'!$K$6:$K$286,0)),""))</ns0:f>
        <ns0:v>beq t3, s0, 0x000001D4</ns0:v>
      </ns0:c>
      <ns0:c r="K22">
        <ns0:f>IF($A22&gt;$I$11,"",IFERROR(INDEX('ДАННЫЕ T3'!$D$6:$D$286,MATCH($I$6*1000+$A22+$I$10,'ДАННЫЕ T3'!$K$6:$K$286,0)),""))</ns0:f>
        <ns0:v>41</ns0:v>
      </ns0:c>
      <ns0:c r="L22" t="str">
        <ns0:f>IF(OR(B22="",G22=""),"",IF(AND(B22=G22,C22=H22,D22=I22),"MATCH","DIFF"))</ns0:f>
        <ns0:v>MATCH</ns0:v>
      </ns0:c>
    </ns0:row>
    <ns0:row r="23">
      <ns0:c r="A23" t="n">
        <ns0:v>5</ns0:v>
      </ns0:c>
      <ns0:c r="B23" t="str">
        <ns0:f>IF($A23&gt;$C$11,"",IFERROR(INDEX('ДАННЫЕ T3'!$E$6:$E$286,MATCH($C$6*1000+$A23+$C$10,'ДАННЫЕ T3'!$K$6:$K$286,0)),""))</ns0:f>
        <ns0:v>FETCH</ns0:v>
      </ns0:c>
      <ns0:c r="C23" t="str">
        <ns0:f>IF($A23&gt;$C$11,"",IFERROR(INDEX('ДАННЫЕ T3'!$F$6:$F$286,MATCH($C$6*1000+$A23+$C$10,'ДАННЫЕ T3'!$K$6:$K$286,0)),""))</ns0:f>
        <ns0:v>0x00000058</ns0:v>
      </ns0:c>
      <ns0:c r="D23" t="str">
        <ns0:f>IF($A23&gt;$C$11,"",IFERROR(INDEX('ДАННЫЕ T3'!$G$6:$G$286,MATCH($C$6*1000+$A23+$C$10,'ДАННЫЕ T3'!$K$6:$K$286,0)),""))</ns0:f>
        <ns0:v>0x03F00413</ns0:v>
      </ns0:c>
      <ns0:c r="E23" t="str">
        <ns0:f>IF($A23&gt;$C$11,"",IFERROR(INDEX('ДАННЫЕ T3'!$H$6:$H$286,MATCH($C$6*1000+$A23+$C$10,'ДАННЫЕ T3'!$K$6:$K$286,0)),""))</ns0:f>
        <ns0:v>addi s0, zero, 63</ns0:v>
      </ns0:c>
      <ns0:c r="F23">
        <ns0:f>IF($A23&gt;$C$11,"",IFERROR(INDEX('ДАННЫЕ T3'!$D$6:$D$286,MATCH($C$6*1000+$A23+$C$10,'ДАННЫЕ T3'!$K$6:$K$286,0)),""))</ns0:f>
        <ns0:v>32</ns0:v>
      </ns0:c>
      <ns0:c r="G23" t="str">
        <ns0:f>IF($A23&gt;$I$11,"",IFERROR(INDEX('ДАННЫЕ T3'!$E$6:$E$286,MATCH($I$6*1000+$A23+$I$10,'ДАННЫЕ T3'!$K$6:$K$286,0)),""))</ns0:f>
        <ns0:v>FETCH</ns0:v>
      </ns0:c>
      <ns0:c r="H23" t="str">
        <ns0:f>IF($A23&gt;$I$11,"",IFERROR(INDEX('ДАННЫЕ T3'!$F$6:$F$286,MATCH($I$6*1000+$A23+$I$10,'ДАННЫЕ T3'!$K$6:$K$286,0)),""))</ns0:f>
        <ns0:v>0x00000058</ns0:v>
      </ns0:c>
      <ns0:c r="I23" t="str">
        <ns0:f>IF($A23&gt;$I$11,"",IFERROR(INDEX('ДАННЫЕ T3'!$G$6:$G$286,MATCH($I$6*1000+$A23+$I$10,'ДАННЫЕ T3'!$K$6:$K$286,0)),""))</ns0:f>
        <ns0:v>0x03F00413</ns0:v>
      </ns0:c>
      <ns0:c r="J23" t="str">
        <ns0:f>IF($A23&gt;$I$11,"",IFERROR(INDEX('ДАННЫЕ T3'!$H$6:$H$286,MATCH($I$6*1000+$A23+$I$10,'ДАННЫЕ T3'!$K$6:$K$286,0)),""))</ns0:f>
        <ns0:v>addi s0, zero, 63</ns0:v>
      </ns0:c>
      <ns0:c r="K23">
        <ns0:f>IF($A23&gt;$I$11,"",IFERROR(INDEX('ДАННЫЕ T3'!$D$6:$D$286,MATCH($I$6*1000+$A23+$I$10,'ДАННЫЕ T3'!$K$6:$K$286,0)),""))</ns0:f>
        <ns0:v>45</ns0:v>
      </ns0:c>
      <ns0:c r="L23" t="str">
        <ns0:f>IF(OR(B23="",G23=""),"",IF(AND(B23=G23,C23=H23,D23=I23),"MATCH","DIFF"))</ns0:f>
        <ns0:v>MATCH</ns0:v>
      </ns0:c>
    </ns0:row>
    <ns0:row r="24">
      <ns0:c r="A24" t="n">
        <ns0:v>6</ns0:v>
      </ns0:c>
      <ns0:c r="B24" t="str">
        <ns0:f>IF($A24&gt;$C$11,"",IFERROR(INDEX('ДАННЫЕ T3'!$E$6:$E$286,MATCH($C$6*1000+$A24+$C$10,'ДАННЫЕ T3'!$K$6:$K$286,0)),""))</ns0:f>
        <ns0:v>FETCH</ns0:v>
      </ns0:c>
      <ns0:c r="C24" t="str">
        <ns0:f>IF($A24&gt;$C$11,"",IFERROR(INDEX('ДАННЫЕ T3'!$F$6:$F$286,MATCH($C$6*1000+$A24+$C$10,'ДАННЫЕ T3'!$K$6:$K$286,0)),""))</ns0:f>
        <ns0:v>0x0000005C</ns0:v>
      </ns0:c>
      <ns0:c r="D24" t="str">
        <ns0:f>IF($A24&gt;$C$11,"",IFERROR(INDEX('ДАННЫЕ T3'!$G$6:$G$286,MATCH($C$6*1000+$A24+$C$10,'ДАННЫЕ T3'!$K$6:$K$286,0)),""))</ns0:f>
        <ns0:v>0x0A8E0A63</ns0:v>
      </ns0:c>
      <ns0:c r="E24" t="str">
        <ns0:f>IF($A24&gt;$C$11,"",IFERROR(INDEX('ДАННЫЕ T3'!$H$6:$H$286,MATCH($C$6*1000+$A24+$C$10,'ДАННЫЕ T3'!$K$6:$K$286,0)),""))</ns0:f>
        <ns0:v>beq t3, s0, 0x00000110</ns0:v>
      </ns0:c>
      <ns0:c r="F24">
        <ns0:f>IF($A24&gt;$C$11,"",IFERROR(INDEX('ДАННЫЕ T3'!$D$6:$D$286,MATCH($C$6*1000+$A24+$C$10,'ДАННЫЕ T3'!$K$6:$K$286,0)),""))</ns0:f>
        <ns0:v>36</ns0:v>
      </ns0:c>
      <ns0:c r="G24" t="str">
        <ns0:f>IF($A24&gt;$I$11,"",IFERROR(INDEX('ДАННЫЕ T3'!$E$6:$E$286,MATCH($I$6*1000+$A24+$I$10,'ДАННЫЕ T3'!$K$6:$K$286,0)),""))</ns0:f>
        <ns0:v>FETCH</ns0:v>
      </ns0:c>
      <ns0:c r="H24" t="str">
        <ns0:f>IF($A24&gt;$I$11,"",IFERROR(INDEX('ДАННЫЕ T3'!$F$6:$F$286,MATCH($I$6*1000+$A24+$I$10,'ДАННЫЕ T3'!$K$6:$K$286,0)),""))</ns0:f>
        <ns0:v>0x0000005C</ns0:v>
      </ns0:c>
      <ns0:c r="I24" t="str">
        <ns0:f>IF($A24&gt;$I$11,"",IFERROR(INDEX('ДАННЫЕ T3'!$G$6:$G$286,MATCH($I$6*1000+$A24+$I$10,'ДАННЫЕ T3'!$K$6:$K$286,0)),""))</ns0:f>
        <ns0:v>0x0A8E0A63</ns0:v>
      </ns0:c>
      <ns0:c r="J24" t="str">
        <ns0:f>IF($A24&gt;$I$11,"",IFERROR(INDEX('ДАННЫЕ T3'!$H$6:$H$286,MATCH($I$6*1000+$A24+$I$10,'ДАННЫЕ T3'!$K$6:$K$286,0)),""))</ns0:f>
        <ns0:v>beq t3, s0, 0x00000110</ns0:v>
      </ns0:c>
      <ns0:c r="K24">
        <ns0:f>IF($A24&gt;$I$11,"",IFERROR(INDEX('ДАННЫЕ T3'!$D$6:$D$286,MATCH($I$6*1000+$A24+$I$10,'ДАННЫЕ T3'!$K$6:$K$286,0)),""))</ns0:f>
        <ns0:v>49</ns0:v>
      </ns0:c>
      <ns0:c r="L24" t="str">
        <ns0:f>IF(OR(B24="",G24=""),"",IF(AND(B24=G24,C24=H24,D24=I24),"MATCH","DIFF"))</ns0:f>
        <ns0:v>MATCH</ns0:v>
      </ns0:c>
    </ns0:row>
    <ns0:row r="25">
      <ns0:c r="A25" t="n">
        <ns0:v>7</ns0:v>
      </ns0:c>
      <ns0:c r="B25" t="str">
        <ns0:f>IF($A25&gt;$C$11,"",IFERROR(INDEX('ДАННЫЕ T3'!$E$6:$E$286,MATCH($C$6*1000+$A25+$C$10,'ДАННЫЕ T3'!$K$6:$K$286,0)),""))</ns0:f>
        <ns0:v>FETCH</ns0:v>
      </ns0:c>
      <ns0:c r="C25" t="str">
        <ns0:f>IF($A25&gt;$C$11,"",IFERROR(INDEX('ДАННЫЕ T3'!$F$6:$F$286,MATCH($C$6*1000+$A25+$C$10,'ДАННЫЕ T3'!$K$6:$K$286,0)),""))</ns0:f>
        <ns0:v>0x00000060</ns0:v>
      </ns0:c>
      <ns0:c r="D25" t="str">
        <ns0:f>IF($A25&gt;$C$11,"",IFERROR(INDEX('ДАННЫЕ T3'!$G$6:$G$286,MATCH($C$6*1000+$A25+$C$10,'ДАННЫЕ T3'!$K$6:$K$286,0)),""))</ns0:f>
        <ns0:v>0x03000413</ns0:v>
      </ns0:c>
      <ns0:c r="E25" t="str">
        <ns0:f>IF($A25&gt;$C$11,"",IFERROR(INDEX('ДАННЫЕ T3'!$H$6:$H$286,MATCH($C$6*1000+$A25+$C$10,'ДАННЫЕ T3'!$K$6:$K$286,0)),""))</ns0:f>
        <ns0:v>addi s0, zero, 48</ns0:v>
      </ns0:c>
      <ns0:c r="F25">
        <ns0:f>IF($A25&gt;$C$11,"",IFERROR(INDEX('ДАННЫЕ T3'!$D$6:$D$286,MATCH($C$6*1000+$A25+$C$10,'ДАННЫЕ T3'!$K$6:$K$286,0)),""))</ns0:f>
        <ns0:v>40</ns0:v>
      </ns0:c>
      <ns0:c r="G25" t="str">
        <ns0:f>IF($A25&gt;$I$11,"",IFERROR(INDEX('ДАННЫЕ T3'!$E$6:$E$286,MATCH($I$6*1000+$A25+$I$10,'ДАННЫЕ T3'!$K$6:$K$286,0)),""))</ns0:f>
        <ns0:v>FETCH</ns0:v>
      </ns0:c>
      <ns0:c r="H25" t="str">
        <ns0:f>IF($A25&gt;$I$11,"",IFERROR(INDEX('ДАННЫЕ T3'!$F$6:$F$286,MATCH($I$6*1000+$A25+$I$10,'ДАННЫЕ T3'!$K$6:$K$286,0)),""))</ns0:f>
        <ns0:v>0x00000060</ns0:v>
      </ns0:c>
      <ns0:c r="I25" t="str">
        <ns0:f>IF($A25&gt;$I$11,"",IFERROR(INDEX('ДАННЫЕ T3'!$G$6:$G$286,MATCH($I$6*1000+$A25+$I$10,'ДАННЫЕ T3'!$K$6:$K$286,0)),""))</ns0:f>
        <ns0:v>0x03000413</ns0:v>
      </ns0:c>
      <ns0:c r="J25" t="str">
        <ns0:f>IF($A25&gt;$I$11,"",IFERROR(INDEX('ДАННЫЕ T3'!$H$6:$H$286,MATCH($I$6*1000+$A25+$I$10,'ДАННЫЕ T3'!$K$6:$K$286,0)),""))</ns0:f>
        <ns0:v>addi s0, zero, 48</ns0:v>
      </ns0:c>
      <ns0:c r="K25">
        <ns0:f>IF($A25&gt;$I$11,"",IFERROR(INDEX('ДАННЫЕ T3'!$D$6:$D$286,MATCH($I$6*1000+$A25+$I$10,'ДАННЫЕ T3'!$K$6:$K$286,0)),""))</ns0:f>
        <ns0:v>53</ns0:v>
      </ns0:c>
      <ns0:c r="L25" t="str">
        <ns0:f>IF(OR(B25="",G25=""),"",IF(AND(B25=G25,C25=H25,D25=I25),"MATCH","DIFF"))</ns0:f>
        <ns0:v>MATCH</ns0:v>
      </ns0:c>
    </ns0:row>
    <ns0:row r="26">
      <ns0:c r="A26" t="n">
        <ns0:v>8</ns0:v>
      </ns0:c>
      <ns0:c r="B26" t="str">
        <ns0:f>IF($A26&gt;$C$11,"",IFERROR(INDEX('ДАННЫЕ T3'!$E$6:$E$286,MATCH($C$6*1000+$A26+$C$10,'ДАННЫЕ T3'!$K$6:$K$286,0)),""))</ns0:f>
        <ns0:v>FETCH</ns0:v>
      </ns0:c>
      <ns0:c r="C26" t="str">
        <ns0:f>IF($A26&gt;$C$11,"",IFERROR(INDEX('ДАННЫЕ T3'!$F$6:$F$286,MATCH($C$6*1000+$A26+$C$10,'ДАННЫЕ T3'!$K$6:$K$286,0)),""))</ns0:f>
        <ns0:v>0x00000064</ns0:v>
      </ns0:c>
      <ns0:c r="D26" t="str">
        <ns0:f>IF($A26&gt;$C$11,"",IFERROR(INDEX('ДАННЫЕ T3'!$G$6:$G$286,MATCH($C$6*1000+$A26+$C$10,'ДАННЫЕ T3'!$K$6:$K$286,0)),""))</ns0:f>
        <ns0:v>0x048E0463</ns0:v>
      </ns0:c>
      <ns0:c r="E26" t="str">
        <ns0:f>IF($A26&gt;$C$11,"",IFERROR(INDEX('ДАННЫЕ T3'!$H$6:$H$286,MATCH($C$6*1000+$A26+$C$10,'ДАННЫЕ T3'!$K$6:$K$286,0)),""))</ns0:f>
        <ns0:v>beq t3, s0, 0x000000AC</ns0:v>
      </ns0:c>
      <ns0:c r="F26">
        <ns0:f>IF($A26&gt;$C$11,"",IFERROR(INDEX('ДАННЫЕ T3'!$D$6:$D$286,MATCH($C$6*1000+$A26+$C$10,'ДАННЫЕ T3'!$K$6:$K$286,0)),""))</ns0:f>
        <ns0:v>44</ns0:v>
      </ns0:c>
      <ns0:c r="G26" t="str">
        <ns0:f>IF($A26&gt;$I$11,"",IFERROR(INDEX('ДАННЫЕ T3'!$E$6:$E$286,MATCH($I$6*1000+$A26+$I$10,'ДАННЫЕ T3'!$K$6:$K$286,0)),""))</ns0:f>
        <ns0:v>FETCH</ns0:v>
      </ns0:c>
      <ns0:c r="H26" t="str">
        <ns0:f>IF($A26&gt;$I$11,"",IFERROR(INDEX('ДАННЫЕ T3'!$F$6:$F$286,MATCH($I$6*1000+$A26+$I$10,'ДАННЫЕ T3'!$K$6:$K$286,0)),""))</ns0:f>
        <ns0:v>0x00000064</ns0:v>
      </ns0:c>
      <ns0:c r="I26" t="str">
        <ns0:f>IF($A26&gt;$I$11,"",IFERROR(INDEX('ДАННЫЕ T3'!$G$6:$G$286,MATCH($I$6*1000+$A26+$I$10,'ДАННЫЕ T3'!$K$6:$K$286,0)),""))</ns0:f>
        <ns0:v>0x048E0463</ns0:v>
      </ns0:c>
      <ns0:c r="J26" t="str">
        <ns0:f>IF($A26&gt;$I$11,"",IFERROR(INDEX('ДАННЫЕ T3'!$H$6:$H$286,MATCH($I$6*1000+$A26+$I$10,'ДАННЫЕ T3'!$K$6:$K$286,0)),""))</ns0:f>
        <ns0:v>beq t3, s0, 0x000000AC</ns0:v>
      </ns0:c>
      <ns0:c r="K26">
        <ns0:f>IF($A26&gt;$I$11,"",IFERROR(INDEX('ДАННЫЕ T3'!$D$6:$D$286,MATCH($I$6*1000+$A26+$I$10,'ДАННЫЕ T3'!$K$6:$K$286,0)),""))</ns0:f>
        <ns0:v>57</ns0:v>
      </ns0:c>
      <ns0:c r="L26" t="str">
        <ns0:f>IF(OR(B26="",G26=""),"",IF(AND(B26=G26,C26=H26,D26=I26),"MATCH","DIFF"))</ns0:f>
        <ns0:v>MATCH</ns0:v>
      </ns0:c>
    </ns0:row>
    <ns0:row r="27">
      <ns0:c r="A27" t="n">
        <ns0:v>9</ns0:v>
      </ns0:c>
      <ns0:c r="B27" t="str">
        <ns0:f>IF($A27&gt;$C$11,"",IFERROR(INDEX('ДАННЫЕ T3'!$E$6:$E$286,MATCH($C$6*1000+$A27+$C$10,'ДАННЫЕ T3'!$K$6:$K$286,0)),""))</ns0:f>
        <ns0:v>FETCH</ns0:v>
      </ns0:c>
      <ns0:c r="C27" t="str">
        <ns0:f>IF($A27&gt;$C$11,"",IFERROR(INDEX('ДАННЫЕ T3'!$F$6:$F$286,MATCH($C$6*1000+$A27+$C$10,'ДАННЫЕ T3'!$K$6:$K$286,0)),""))</ns0:f>
        <ns0:v>0x00000068</ns0:v>
      </ns0:c>
      <ns0:c r="D27" t="str">
        <ns0:f>IF($A27&gt;$C$11,"",IFERROR(INDEX('ДАННЫЕ T3'!$G$6:$G$286,MATCH($C$6*1000+$A27+$C$10,'ДАННЫЕ T3'!$K$6:$K$286,0)),""))</ns0:f>
        <ns0:v>0x03100413</ns0:v>
      </ns0:c>
      <ns0:c r="E27" t="str">
        <ns0:f>IF($A27&gt;$C$11,"",IFERROR(INDEX('ДАННЫЕ T3'!$H$6:$H$286,MATCH($C$6*1000+$A27+$C$10,'ДАННЫЕ T3'!$K$6:$K$286,0)),""))</ns0:f>
        <ns0:v>addi s0, zero, 49</ns0:v>
      </ns0:c>
      <ns0:c r="F27">
        <ns0:f>IF($A27&gt;$C$11,"",IFERROR(INDEX('ДАННЫЕ T3'!$D$6:$D$286,MATCH($C$6*1000+$A27+$C$10,'ДАННЫЕ T3'!$K$6:$K$286,0)),""))</ns0:f>
        <ns0:v>48</ns0:v>
      </ns0:c>
      <ns0:c r="G27" t="str">
        <ns0:f>IF($A27&gt;$I$11,"",IFERROR(INDEX('ДАННЫЕ T3'!$E$6:$E$286,MATCH($I$6*1000+$A27+$I$10,'ДАННЫЕ T3'!$K$6:$K$286,0)),""))</ns0:f>
        <ns0:v>FETCH</ns0:v>
      </ns0:c>
      <ns0:c r="H27" t="str">
        <ns0:f>IF($A27&gt;$I$11,"",IFERROR(INDEX('ДАННЫЕ T3'!$F$6:$F$286,MATCH($I$6*1000+$A27+$I$10,'ДАННЫЕ T3'!$K$6:$K$286,0)),""))</ns0:f>
        <ns0:v>0x00000068</ns0:v>
      </ns0:c>
      <ns0:c r="I27" t="str">
        <ns0:f>IF($A27&gt;$I$11,"",IFERROR(INDEX('ДАННЫЕ T3'!$G$6:$G$286,MATCH($I$6*1000+$A27+$I$10,'ДАННЫЕ T3'!$K$6:$K$286,0)),""))</ns0:f>
        <ns0:v>0x03100413</ns0:v>
      </ns0:c>
      <ns0:c r="J27" t="str">
        <ns0:f>IF($A27&gt;$I$11,"",IFERROR(INDEX('ДАННЫЕ T3'!$H$6:$H$286,MATCH($I$6*1000+$A27+$I$10,'ДАННЫЕ T3'!$K$6:$K$286,0)),""))</ns0:f>
        <ns0:v>addi s0, zero, 49</ns0:v>
      </ns0:c>
      <ns0:c r="K27">
        <ns0:f>IF($A27&gt;$I$11,"",IFERROR(INDEX('ДАННЫЕ T3'!$D$6:$D$286,MATCH($I$6*1000+$A27+$I$10,'ДАННЫЕ T3'!$K$6:$K$286,0)),""))</ns0:f>
        <ns0:v>61</ns0:v>
      </ns0:c>
      <ns0:c r="L27" t="str">
        <ns0:f>IF(OR(B27="",G27=""),"",IF(AND(B27=G27,C27=H27,D27=I27),"MATCH","DIFF"))</ns0:f>
        <ns0:v>MATCH</ns0:v>
      </ns0:c>
    </ns0:row>
    <ns0:row r="28">
      <ns0:c r="A28" t="n">
        <ns0:v>10</ns0:v>
      </ns0:c>
      <ns0:c r="B28" t="str">
        <ns0:f>IF($A28&gt;$C$11,"",IFERROR(INDEX('ДАННЫЕ T3'!$E$6:$E$286,MATCH($C$6*1000+$A28+$C$10,'ДАННЫЕ T3'!$K$6:$K$286,0)),""))</ns0:f>
        <ns0:v>FETCH</ns0:v>
      </ns0:c>
      <ns0:c r="C28" t="str">
        <ns0:f>IF($A28&gt;$C$11,"",IFERROR(INDEX('ДАННЫЕ T3'!$F$6:$F$286,MATCH($C$6*1000+$A28+$C$10,'ДАННЫЕ T3'!$K$6:$K$286,0)),""))</ns0:f>
        <ns0:v>0x0000006C</ns0:v>
      </ns0:c>
      <ns0:c r="D28" t="str">
        <ns0:f>IF($A28&gt;$C$11,"",IFERROR(INDEX('ДАННЫЕ T3'!$G$6:$G$286,MATCH($C$6*1000+$A28+$C$10,'ДАННЫЕ T3'!$K$6:$K$286,0)),""))</ns0:f>
        <ns0:v>0x048E0663</ns0:v>
      </ns0:c>
      <ns0:c r="E28" t="str">
        <ns0:f>IF($A28&gt;$C$11,"",IFERROR(INDEX('ДАННЫЕ T3'!$H$6:$H$286,MATCH($C$6*1000+$A28+$C$10,'ДАННЫЕ T3'!$K$6:$K$286,0)),""))</ns0:f>
        <ns0:v>beq t3, s0, 0x000000B8</ns0:v>
      </ns0:c>
      <ns0:c r="F28">
        <ns0:f>IF($A28&gt;$C$11,"",IFERROR(INDEX('ДАННЫЕ T3'!$D$6:$D$286,MATCH($C$6*1000+$A28+$C$10,'ДАННЫЕ T3'!$K$6:$K$286,0)),""))</ns0:f>
        <ns0:v>52</ns0:v>
      </ns0:c>
      <ns0:c r="G28" t="str">
        <ns0:f>IF($A28&gt;$I$11,"",IFERROR(INDEX('ДАННЫЕ T3'!$E$6:$E$286,MATCH($I$6*1000+$A28+$I$10,'ДАННЫЕ T3'!$K$6:$K$286,0)),""))</ns0:f>
        <ns0:v>FETCH</ns0:v>
      </ns0:c>
      <ns0:c r="H28" t="str">
        <ns0:f>IF($A28&gt;$I$11,"",IFERROR(INDEX('ДАННЫЕ T3'!$F$6:$F$286,MATCH($I$6*1000+$A28+$I$10,'ДАННЫЕ T3'!$K$6:$K$286,0)),""))</ns0:f>
        <ns0:v>0x0000006C</ns0:v>
      </ns0:c>
      <ns0:c r="I28" t="str">
        <ns0:f>IF($A28&gt;$I$11,"",IFERROR(INDEX('ДАННЫЕ T3'!$G$6:$G$286,MATCH($I$6*1000+$A28+$I$10,'ДАННЫЕ T3'!$K$6:$K$286,0)),""))</ns0:f>
        <ns0:v>0x048E0663</ns0:v>
      </ns0:c>
      <ns0:c r="J28" t="str">
        <ns0:f>IF($A28&gt;$I$11,"",IFERROR(INDEX('ДАННЫЕ T3'!$H$6:$H$286,MATCH($I$6*1000+$A28+$I$10,'ДАННЫЕ T3'!$K$6:$K$286,0)),""))</ns0:f>
        <ns0:v>beq t3, s0, 0x000000B8</ns0:v>
      </ns0:c>
      <ns0:c r="K28">
        <ns0:f>IF($A28&gt;$I$11,"",IFERROR(INDEX('ДАННЫЕ T3'!$D$6:$D$286,MATCH($I$6*1000+$A28+$I$10,'ДАННЫЕ T3'!$K$6:$K$286,0)),""))</ns0:f>
        <ns0:v>65</ns0:v>
      </ns0:c>
      <ns0:c r="L28" t="str">
        <ns0:f>IF(OR(B28="",G28=""),"",IF(AND(B28=G28,C28=H28,D28=I28),"MATCH","DIFF"))</ns0:f>
        <ns0:v>MATCH</ns0:v>
      </ns0:c>
    </ns0:row>
    <ns0:row r="29">
      <ns0:c r="A29" t="n">
        <ns0:v>11</ns0:v>
      </ns0:c>
      <ns0:c r="B29" t="str">
        <ns0:f>IF($A29&gt;$C$11,"",IFERROR(INDEX('ДАННЫЕ T3'!$E$6:$E$286,MATCH($C$6*1000+$A29+$C$10,'ДАННЫЕ T3'!$K$6:$K$286,0)),""))</ns0:f>
        <ns0:v>FETCH</ns0:v>
      </ns0:c>
      <ns0:c r="C29" t="str">
        <ns0:f>IF($A29&gt;$C$11,"",IFERROR(INDEX('ДАННЫЕ T3'!$F$6:$F$286,MATCH($C$6*1000+$A29+$C$10,'ДАННЫЕ T3'!$K$6:$K$286,0)),""))</ns0:f>
        <ns0:v>0x00000070</ns0:v>
      </ns0:c>
      <ns0:c r="D29" t="str">
        <ns0:f>IF($A29&gt;$C$11,"",IFERROR(INDEX('ДАННЫЕ T3'!$G$6:$G$286,MATCH($C$6*1000+$A29+$C$10,'ДАННЫЕ T3'!$K$6:$K$286,0)),""))</ns0:f>
        <ns0:v>0x03200413</ns0:v>
      </ns0:c>
      <ns0:c r="E29" t="str">
        <ns0:f>IF($A29&gt;$C$11,"",IFERROR(INDEX('ДАННЫЕ T3'!$H$6:$H$286,MATCH($C$6*1000+$A29+$C$10,'ДАННЫЕ T3'!$K$6:$K$286,0)),""))</ns0:f>
        <ns0:v>addi s0, zero, 50</ns0:v>
      </ns0:c>
      <ns0:c r="F29">
        <ns0:f>IF($A29&gt;$C$11,"",IFERROR(INDEX('ДАННЫЕ T3'!$D$6:$D$286,MATCH($C$6*1000+$A29+$C$10,'ДАННЫЕ T3'!$K$6:$K$286,0)),""))</ns0:f>
        <ns0:v>56</ns0:v>
      </ns0:c>
      <ns0:c r="G29" t="str">
        <ns0:f>IF($A29&gt;$I$11,"",IFERROR(INDEX('ДАННЫЕ T3'!$E$6:$E$286,MATCH($I$6*1000+$A29+$I$10,'ДАННЫЕ T3'!$K$6:$K$286,0)),""))</ns0:f>
        <ns0:v>FETCH</ns0:v>
      </ns0:c>
      <ns0:c r="H29" t="str">
        <ns0:f>IF($A29&gt;$I$11,"",IFERROR(INDEX('ДАННЫЕ T3'!$F$6:$F$286,MATCH($I$6*1000+$A29+$I$10,'ДАННЫЕ T3'!$K$6:$K$286,0)),""))</ns0:f>
        <ns0:v>0x00000070</ns0:v>
      </ns0:c>
      <ns0:c r="I29" t="str">
        <ns0:f>IF($A29&gt;$I$11,"",IFERROR(INDEX('ДАННЫЕ T3'!$G$6:$G$286,MATCH($I$6*1000+$A29+$I$10,'ДАННЫЕ T3'!$K$6:$K$286,0)),""))</ns0:f>
        <ns0:v>0x03200413</ns0:v>
      </ns0:c>
      <ns0:c r="J29" t="str">
        <ns0:f>IF($A29&gt;$I$11,"",IFERROR(INDEX('ДАННЫЕ T3'!$H$6:$H$286,MATCH($I$6*1000+$A29+$I$10,'ДАННЫЕ T3'!$K$6:$K$286,0)),""))</ns0:f>
        <ns0:v>addi s0, zero, 50</ns0:v>
      </ns0:c>
      <ns0:c r="K29">
        <ns0:f>IF($A29&gt;$I$11,"",IFERROR(INDEX('ДАННЫЕ T3'!$D$6:$D$286,MATCH($I$6*1000+$A29+$I$10,'ДАННЫЕ T3'!$K$6:$K$286,0)),""))</ns0:f>
        <ns0:v>69</ns0:v>
      </ns0:c>
      <ns0:c r="L29" t="str">
        <ns0:f>IF(OR(B29="",G29=""),"",IF(AND(B29=G29,C29=H29,D29=I29),"MATCH","DIFF"))</ns0:f>
        <ns0:v>MATCH</ns0:v>
      </ns0:c>
    </ns0:row>
    <ns0:row r="30">
      <ns0:c r="A30" t="n">
        <ns0:v>12</ns0:v>
      </ns0:c>
      <ns0:c r="B30" t="str">
        <ns0:f>IF($A30&gt;$C$11,"",IFERROR(INDEX('ДАННЫЕ T3'!$E$6:$E$286,MATCH($C$6*1000+$A30+$C$10,'ДАННЫЕ T3'!$K$6:$K$286,0)),""))</ns0:f>
        <ns0:v>FETCH</ns0:v>
      </ns0:c>
      <ns0:c r="C30" t="str">
        <ns0:f>IF($A30&gt;$C$11,"",IFERROR(INDEX('ДАННЫЕ T3'!$F$6:$F$286,MATCH($C$6*1000+$A30+$C$10,'ДАННЫЕ T3'!$K$6:$K$286,0)),""))</ns0:f>
        <ns0:v>0x00000074</ns0:v>
      </ns0:c>
      <ns0:c r="D30" t="str">
        <ns0:f>IF($A30&gt;$C$11,"",IFERROR(INDEX('ДАННЫЕ T3'!$G$6:$G$286,MATCH($C$6*1000+$A30+$C$10,'ДАННЫЕ T3'!$K$6:$K$286,0)),""))</ns0:f>
        <ns0:v>0x048E0863</ns0:v>
      </ns0:c>
      <ns0:c r="E30" t="str">
        <ns0:f>IF($A30&gt;$C$11,"",IFERROR(INDEX('ДАННЫЕ T3'!$H$6:$H$286,MATCH($C$6*1000+$A30+$C$10,'ДАННЫЕ T3'!$K$6:$K$286,0)),""))</ns0:f>
        <ns0:v>beq t3, s0, 0x000000C4</ns0:v>
      </ns0:c>
      <ns0:c r="F30">
        <ns0:f>IF($A30&gt;$C$11,"",IFERROR(INDEX('ДАННЫЕ T3'!$D$6:$D$286,MATCH($C$6*1000+$A30+$C$10,'ДАННЫЕ T3'!$K$6:$K$286,0)),""))</ns0:f>
        <ns0:v>60</ns0:v>
      </ns0:c>
      <ns0:c r="G30" t="str">
        <ns0:f>IF($A30&gt;$I$11,"",IFERROR(INDEX('ДАННЫЕ T3'!$E$6:$E$286,MATCH($I$6*1000+$A30+$I$10,'ДАННЫЕ T3'!$K$6:$K$286,0)),""))</ns0:f>
        <ns0:v>FETCH</ns0:v>
      </ns0:c>
      <ns0:c r="H30" t="str">
        <ns0:f>IF($A30&gt;$I$11,"",IFERROR(INDEX('ДАННЫЕ T3'!$F$6:$F$286,MATCH($I$6*1000+$A30+$I$10,'ДАННЫЕ T3'!$K$6:$K$286,0)),""))</ns0:f>
        <ns0:v>0x00000074</ns0:v>
      </ns0:c>
      <ns0:c r="I30" t="str">
        <ns0:f>IF($A30&gt;$I$11,"",IFERROR(INDEX('ДАННЫЕ T3'!$G$6:$G$286,MATCH($I$6*1000+$A30+$I$10,'ДАННЫЕ T3'!$K$6:$K$286,0)),""))</ns0:f>
        <ns0:v>0x048E0863</ns0:v>
      </ns0:c>
      <ns0:c r="J30" t="str">
        <ns0:f>IF($A30&gt;$I$11,"",IFERROR(INDEX('ДАННЫЕ T3'!$H$6:$H$286,MATCH($I$6*1000+$A30+$I$10,'ДАННЫЕ T3'!$K$6:$K$286,0)),""))</ns0:f>
        <ns0:v>beq t3, s0, 0x000000C4</ns0:v>
      </ns0:c>
      <ns0:c r="K30">
        <ns0:f>IF($A30&gt;$I$11,"",IFERROR(INDEX('ДАННЫЕ T3'!$D$6:$D$286,MATCH($I$6*1000+$A30+$I$10,'ДАННЫЕ T3'!$K$6:$K$286,0)),""))</ns0:f>
        <ns0:v>73</ns0:v>
      </ns0:c>
      <ns0:c r="L30" t="str">
        <ns0:f>IF(OR(B30="",G30=""),"",IF(AND(B30=G30,C30=H30,D30=I30),"MATCH","DIFF"))</ns0:f>
        <ns0:v>MATCH</ns0:v>
      </ns0:c>
    </ns0:row>
    <ns0:row r="31">
      <ns0:c r="A31" t="n">
        <ns0:v>13</ns0:v>
      </ns0:c>
      <ns0:c r="B31" t="str">
        <ns0:f>IF($A31&gt;$C$11,"",IFERROR(INDEX('ДАННЫЕ T3'!$E$6:$E$286,MATCH($C$6*1000+$A31+$C$10,'ДАННЫЕ T3'!$K$6:$K$286,0)),""))</ns0:f>
        <ns0:v>FETCH</ns0:v>
      </ns0:c>
      <ns0:c r="C31" t="str">
        <ns0:f>IF($A31&gt;$C$11,"",IFERROR(INDEX('ДАННЫЕ T3'!$F$6:$F$286,MATCH($C$6*1000+$A31+$C$10,'ДАННЫЕ T3'!$K$6:$K$286,0)),""))</ns0:f>
        <ns0:v>0x00000078</ns0:v>
      </ns0:c>
      <ns0:c r="D31" t="str">
        <ns0:f>IF($A31&gt;$C$11,"",IFERROR(INDEX('ДАННЫЕ T3'!$G$6:$G$286,MATCH($C$6*1000+$A31+$C$10,'ДАННЫЕ T3'!$K$6:$K$286,0)),""))</ns0:f>
        <ns0:v>0x03300413</ns0:v>
      </ns0:c>
      <ns0:c r="E31" t="str">
        <ns0:f>IF($A31&gt;$C$11,"",IFERROR(INDEX('ДАННЫЕ T3'!$H$6:$H$286,MATCH($C$6*1000+$A31+$C$10,'ДАННЫЕ T3'!$K$6:$K$286,0)),""))</ns0:f>
        <ns0:v>addi s0, zero, 51</ns0:v>
      </ns0:c>
      <ns0:c r="F31">
        <ns0:f>IF($A31&gt;$C$11,"",IFERROR(INDEX('ДАННЫЕ T3'!$D$6:$D$286,MATCH($C$6*1000+$A31+$C$10,'ДАННЫЕ T3'!$K$6:$K$286,0)),""))</ns0:f>
        <ns0:v>64</ns0:v>
      </ns0:c>
      <ns0:c r="G31" t="str">
        <ns0:f>IF($A31&gt;$I$11,"",IFERROR(INDEX('ДАННЫЕ T3'!$E$6:$E$286,MATCH($I$6*1000+$A31+$I$10,'ДАННЫЕ T3'!$K$6:$K$286,0)),""))</ns0:f>
        <ns0:v>FETCH</ns0:v>
      </ns0:c>
      <ns0:c r="H31" t="str">
        <ns0:f>IF($A31&gt;$I$11,"",IFERROR(INDEX('ДАННЫЕ T3'!$F$6:$F$286,MATCH($I$6*1000+$A31+$I$10,'ДАННЫЕ T3'!$K$6:$K$286,0)),""))</ns0:f>
        <ns0:v>0x00000078</ns0:v>
      </ns0:c>
      <ns0:c r="I31" t="str">
        <ns0:f>IF($A31&gt;$I$11,"",IFERROR(INDEX('ДАННЫЕ T3'!$G$6:$G$286,MATCH($I$6*1000+$A31+$I$10,'ДАННЫЕ T3'!$K$6:$K$286,0)),""))</ns0:f>
        <ns0:v>0x03300413</ns0:v>
      </ns0:c>
      <ns0:c r="J31" t="str">
        <ns0:f>IF($A31&gt;$I$11,"",IFERROR(INDEX('ДАННЫЕ T3'!$H$6:$H$286,MATCH($I$6*1000+$A31+$I$10,'ДАННЫЕ T3'!$K$6:$K$286,0)),""))</ns0:f>
        <ns0:v>addi s0, zero, 51</ns0:v>
      </ns0:c>
      <ns0:c r="K31">
        <ns0:f>IF($A31&gt;$I$11,"",IFERROR(INDEX('ДАННЫЕ T3'!$D$6:$D$286,MATCH($I$6*1000+$A31+$I$10,'ДАННЫЕ T3'!$K$6:$K$286,0)),""))</ns0:f>
        <ns0:v>77</ns0:v>
      </ns0:c>
      <ns0:c r="L31" t="str">
        <ns0:f>IF(OR(B31="",G31=""),"",IF(AND(B31=G31,C31=H31,D31=I31),"MATCH","DIFF"))</ns0:f>
        <ns0:v>MATCH</ns0:v>
      </ns0:c>
    </ns0:row>
    <ns0:row r="32">
      <ns0:c r="A32" t="n">
        <ns0:v>14</ns0:v>
      </ns0:c>
      <ns0:c r="B32" t="str">
        <ns0:f>IF($A32&gt;$C$11,"",IFERROR(INDEX('ДАННЫЕ T3'!$E$6:$E$286,MATCH($C$6*1000+$A32+$C$10,'ДАННЫЕ T3'!$K$6:$K$286,0)),""))</ns0:f>
        <ns0:v>FETCH</ns0:v>
      </ns0:c>
      <ns0:c r="C32" t="str">
        <ns0:f>IF($A32&gt;$C$11,"",IFERROR(INDEX('ДАННЫЕ T3'!$F$6:$F$286,MATCH($C$6*1000+$A32+$C$10,'ДАННЫЕ T3'!$K$6:$K$286,0)),""))</ns0:f>
        <ns0:v>0x0000007C</ns0:v>
      </ns0:c>
      <ns0:c r="D32" t="str">
        <ns0:f>IF($A32&gt;$C$11,"",IFERROR(INDEX('ДАННЫЕ T3'!$G$6:$G$286,MATCH($C$6*1000+$A32+$C$10,'ДАННЫЕ T3'!$K$6:$K$286,0)),""))</ns0:f>
        <ns0:v>0x048E0A63</ns0:v>
      </ns0:c>
      <ns0:c r="E32" t="str">
        <ns0:f>IF($A32&gt;$C$11,"",IFERROR(INDEX('ДАННЫЕ T3'!$H$6:$H$286,MATCH($C$6*1000+$A32+$C$10,'ДАННЫЕ T3'!$K$6:$K$286,0)),""))</ns0:f>
        <ns0:v>beq t3, s0, 0x000000D0</ns0:v>
      </ns0:c>
      <ns0:c r="F32">
        <ns0:f>IF($A32&gt;$C$11,"",IFERROR(INDEX('ДАННЫЕ T3'!$D$6:$D$286,MATCH($C$6*1000+$A32+$C$10,'ДАННЫЕ T3'!$K$6:$K$286,0)),""))</ns0:f>
        <ns0:v>68</ns0:v>
      </ns0:c>
      <ns0:c r="G32" t="str">
        <ns0:f>IF($A32&gt;$I$11,"",IFERROR(INDEX('ДАННЫЕ T3'!$E$6:$E$286,MATCH($I$6*1000+$A32+$I$10,'ДАННЫЕ T3'!$K$6:$K$286,0)),""))</ns0:f>
        <ns0:v>FETCH</ns0:v>
      </ns0:c>
      <ns0:c r="H32" t="str">
        <ns0:f>IF($A32&gt;$I$11,"",IFERROR(INDEX('ДАННЫЕ T3'!$F$6:$F$286,MATCH($I$6*1000+$A32+$I$10,'ДАННЫЕ T3'!$K$6:$K$286,0)),""))</ns0:f>
        <ns0:v>0x0000007C</ns0:v>
      </ns0:c>
      <ns0:c r="I32" t="str">
        <ns0:f>IF($A32&gt;$I$11,"",IFERROR(INDEX('ДАННЫЕ T3'!$G$6:$G$286,MATCH($I$6*1000+$A32+$I$10,'ДАННЫЕ T3'!$K$6:$K$286,0)),""))</ns0:f>
        <ns0:v>0x048E0A63</ns0:v>
      </ns0:c>
      <ns0:c r="J32" t="str">
        <ns0:f>IF($A32&gt;$I$11,"",IFERROR(INDEX('ДАННЫЕ T3'!$H$6:$H$286,MATCH($I$6*1000+$A32+$I$10,'ДАННЫЕ T3'!$K$6:$K$286,0)),""))</ns0:f>
        <ns0:v>beq t3, s0, 0x000000D0</ns0:v>
      </ns0:c>
      <ns0:c r="K32">
        <ns0:f>IF($A32&gt;$I$11,"",IFERROR(INDEX('ДАННЫЕ T3'!$D$6:$D$286,MATCH($I$6*1000+$A32+$I$10,'ДАННЫЕ T3'!$K$6:$K$286,0)),""))</ns0:f>
        <ns0:v>81</ns0:v>
      </ns0:c>
      <ns0:c r="L32" t="str">
        <ns0:f>IF(OR(B32="",G32=""),"",IF(AND(B32=G32,C32=H32,D32=I32),"MATCH","DIFF"))</ns0:f>
        <ns0:v>MATCH</ns0:v>
      </ns0:c>
    </ns0:row>
    <ns0:row r="33">
      <ns0:c r="A33" t="n">
        <ns0:v>15</ns0:v>
      </ns0:c>
      <ns0:c r="B33" t="str">
        <ns0:f>IF($A33&gt;$C$11,"",IFERROR(INDEX('ДАННЫЕ T3'!$E$6:$E$286,MATCH($C$6*1000+$A33+$C$10,'ДАННЫЕ T3'!$K$6:$K$286,0)),""))</ns0:f>
        <ns0:v>FETCH</ns0:v>
      </ns0:c>
      <ns0:c r="C33" t="str">
        <ns0:f>IF($A33&gt;$C$11,"",IFERROR(INDEX('ДАННЫЕ T3'!$F$6:$F$286,MATCH($C$6*1000+$A33+$C$10,'ДАННЫЕ T3'!$K$6:$K$286,0)),""))</ns0:f>
        <ns0:v>0x00000080</ns0:v>
      </ns0:c>
      <ns0:c r="D33" t="str">
        <ns0:f>IF($A33&gt;$C$11,"",IFERROR(INDEX('ДАННЫЕ T3'!$G$6:$G$286,MATCH($C$6*1000+$A33+$C$10,'ДАННЫЕ T3'!$K$6:$K$286,0)),""))</ns0:f>
        <ns0:v>0x03400413</ns0:v>
      </ns0:c>
      <ns0:c r="E33" t="str">
        <ns0:f>IF($A33&gt;$C$11,"",IFERROR(INDEX('ДАННЫЕ T3'!$H$6:$H$286,MATCH($C$6*1000+$A33+$C$10,'ДАННЫЕ T3'!$K$6:$K$286,0)),""))</ns0:f>
        <ns0:v>addi s0, zero, 52</ns0:v>
      </ns0:c>
      <ns0:c r="F33">
        <ns0:f>IF($A33&gt;$C$11,"",IFERROR(INDEX('ДАННЫЕ T3'!$D$6:$D$286,MATCH($C$6*1000+$A33+$C$10,'ДАННЫЕ T3'!$K$6:$K$286,0)),""))</ns0:f>
        <ns0:v>72</ns0:v>
      </ns0:c>
      <ns0:c r="G33" t="str">
        <ns0:f>IF($A33&gt;$I$11,"",IFERROR(INDEX('ДАННЫЕ T3'!$E$6:$E$286,MATCH($I$6*1000+$A33+$I$10,'ДАННЫЕ T3'!$K$6:$K$286,0)),""))</ns0:f>
        <ns0:v>FETCH</ns0:v>
      </ns0:c>
      <ns0:c r="H33" t="str">
        <ns0:f>IF($A33&gt;$I$11,"",IFERROR(INDEX('ДАННЫЕ T3'!$F$6:$F$286,MATCH($I$6*1000+$A33+$I$10,'ДАННЫЕ T3'!$K$6:$K$286,0)),""))</ns0:f>
        <ns0:v>0x00000080</ns0:v>
      </ns0:c>
      <ns0:c r="I33" t="str">
        <ns0:f>IF($A33&gt;$I$11,"",IFERROR(INDEX('ДАННЫЕ T3'!$G$6:$G$286,MATCH($I$6*1000+$A33+$I$10,'ДАННЫЕ T3'!$K$6:$K$286,0)),""))</ns0:f>
        <ns0:v>0x03400413</ns0:v>
      </ns0:c>
      <ns0:c r="J33" t="str">
        <ns0:f>IF($A33&gt;$I$11,"",IFERROR(INDEX('ДАННЫЕ T3'!$H$6:$H$286,MATCH($I$6*1000+$A33+$I$10,'ДАННЫЕ T3'!$K$6:$K$286,0)),""))</ns0:f>
        <ns0:v>addi s0, zero, 52</ns0:v>
      </ns0:c>
      <ns0:c r="K33">
        <ns0:f>IF($A33&gt;$I$11,"",IFERROR(INDEX('ДАННЫЕ T3'!$D$6:$D$286,MATCH($I$6*1000+$A33+$I$10,'ДАННЫЕ T3'!$K$6:$K$286,0)),""))</ns0:f>
        <ns0:v>85</ns0:v>
      </ns0:c>
      <ns0:c r="L33" t="str">
        <ns0:f>IF(OR(B33="",G33=""),"",IF(AND(B33=G33,C33=H33,D33=I33),"MATCH","DIFF"))</ns0:f>
        <ns0:v>MATCH</ns0:v>
      </ns0:c>
    </ns0:row>
    <ns0:row r="34">
      <ns0:c r="A34" t="n">
        <ns0:v>16</ns0:v>
      </ns0:c>
      <ns0:c r="B34" t="str">
        <ns0:f>IF($A34&gt;$C$11,"",IFERROR(INDEX('ДАННЫЕ T3'!$E$6:$E$286,MATCH($C$6*1000+$A34+$C$10,'ДАННЫЕ T3'!$K$6:$K$286,0)),""))</ns0:f>
        <ns0:v>FETCH</ns0:v>
      </ns0:c>
      <ns0:c r="C34" t="str">
        <ns0:f>IF($A34&gt;$C$11,"",IFERROR(INDEX('ДАННЫЕ T3'!$F$6:$F$286,MATCH($C$6*1000+$A34+$C$10,'ДАННЫЕ T3'!$K$6:$K$286,0)),""))</ns0:f>
        <ns0:v>0x00000084</ns0:v>
      </ns0:c>
      <ns0:c r="D34" t="str">
        <ns0:f>IF($A34&gt;$C$11,"",IFERROR(INDEX('ДАННЫЕ T3'!$G$6:$G$286,MATCH($C$6*1000+$A34+$C$10,'ДАННЫЕ T3'!$K$6:$K$286,0)),""))</ns0:f>
        <ns0:v>0x048E0C63</ns0:v>
      </ns0:c>
      <ns0:c r="E34" t="str">
        <ns0:f>IF($A34&gt;$C$11,"",IFERROR(INDEX('ДАННЫЕ T3'!$H$6:$H$286,MATCH($C$6*1000+$A34+$C$10,'ДАННЫЕ T3'!$K$6:$K$286,0)),""))</ns0:f>
        <ns0:v>beq t3, s0, 0x000000DC</ns0:v>
      </ns0:c>
      <ns0:c r="F34">
        <ns0:f>IF($A34&gt;$C$11,"",IFERROR(INDEX('ДАННЫЕ T3'!$D$6:$D$286,MATCH($C$6*1000+$A34+$C$10,'ДАННЫЕ T3'!$K$6:$K$286,0)),""))</ns0:f>
        <ns0:v>76</ns0:v>
      </ns0:c>
      <ns0:c r="G34" t="str">
        <ns0:f>IF($A34&gt;$I$11,"",IFERROR(INDEX('ДАННЫЕ T3'!$E$6:$E$286,MATCH($I$6*1000+$A34+$I$10,'ДАННЫЕ T3'!$K$6:$K$286,0)),""))</ns0:f>
        <ns0:v>FETCH</ns0:v>
      </ns0:c>
      <ns0:c r="H34" t="str">
        <ns0:f>IF($A34&gt;$I$11,"",IFERROR(INDEX('ДАННЫЕ T3'!$F$6:$F$286,MATCH($I$6*1000+$A34+$I$10,'ДАННЫЕ T3'!$K$6:$K$286,0)),""))</ns0:f>
        <ns0:v>0x00000084</ns0:v>
      </ns0:c>
      <ns0:c r="I34" t="str">
        <ns0:f>IF($A34&gt;$I$11,"",IFERROR(INDEX('ДАННЫЕ T3'!$G$6:$G$286,MATCH($I$6*1000+$A34+$I$10,'ДАННЫЕ T3'!$K$6:$K$286,0)),""))</ns0:f>
        <ns0:v>0x048E0C63</ns0:v>
      </ns0:c>
      <ns0:c r="J34" t="str">
        <ns0:f>IF($A34&gt;$I$11,"",IFERROR(INDEX('ДАННЫЕ T3'!$H$6:$H$286,MATCH($I$6*1000+$A34+$I$10,'ДАННЫЕ T3'!$K$6:$K$286,0)),""))</ns0:f>
        <ns0:v>beq t3, s0, 0x000000DC</ns0:v>
      </ns0:c>
      <ns0:c r="K34">
        <ns0:f>IF($A34&gt;$I$11,"",IFERROR(INDEX('ДАННЫЕ T3'!$D$6:$D$286,MATCH($I$6*1000+$A34+$I$10,'ДАННЫЕ T3'!$K$6:$K$286,0)),""))</ns0:f>
        <ns0:v>89</ns0:v>
      </ns0:c>
      <ns0:c r="L34" t="str">
        <ns0:f>IF(OR(B34="",G34=""),"",IF(AND(B34=G34,C34=H34,D34=I34),"MATCH","DIFF"))</ns0:f>
        <ns0:v>MATCH</ns0:v>
      </ns0:c>
    </ns0:row>
    <ns0:row r="35">
      <ns0:c r="A35" t="n">
        <ns0:v>17</ns0:v>
      </ns0:c>
      <ns0:c r="B35" t="str">
        <ns0:f>IF($A35&gt;$C$11,"",IFERROR(INDEX('ДАННЫЕ T3'!$E$6:$E$286,MATCH($C$6*1000+$A35+$C$10,'ДАННЫЕ T3'!$K$6:$K$286,0)),""))</ns0:f>
        <ns0:v>FETCH</ns0:v>
      </ns0:c>
      <ns0:c r="C35" t="str">
        <ns0:f>IF($A35&gt;$C$11,"",IFERROR(INDEX('ДАННЫЕ T3'!$F$6:$F$286,MATCH($C$6*1000+$A35+$C$10,'ДАННЫЕ T3'!$K$6:$K$286,0)),""))</ns0:f>
        <ns0:v>0x00000088</ns0:v>
      </ns0:c>
      <ns0:c r="D35" t="str">
        <ns0:f>IF($A35&gt;$C$11,"",IFERROR(INDEX('ДАННЫЕ T3'!$G$6:$G$286,MATCH($C$6*1000+$A35+$C$10,'ДАННЫЕ T3'!$K$6:$K$286,0)),""))</ns0:f>
        <ns0:v>0x03500413</ns0:v>
      </ns0:c>
      <ns0:c r="E35" t="str">
        <ns0:f>IF($A35&gt;$C$11,"",IFERROR(INDEX('ДАННЫЕ T3'!$H$6:$H$286,MATCH($C$6*1000+$A35+$C$10,'ДАННЫЕ T3'!$K$6:$K$286,0)),""))</ns0:f>
        <ns0:v>addi s0, zero, 53</ns0:v>
      </ns0:c>
      <ns0:c r="F35">
        <ns0:f>IF($A35&gt;$C$11,"",IFERROR(INDEX('ДАННЫЕ T3'!$D$6:$D$286,MATCH($C$6*1000+$A35+$C$10,'ДАННЫЕ T3'!$K$6:$K$286,0)),""))</ns0:f>
        <ns0:v>80</ns0:v>
      </ns0:c>
      <ns0:c r="G35" t="str">
        <ns0:f>IF($A35&gt;$I$11,"",IFERROR(INDEX('ДАННЫЕ T3'!$E$6:$E$286,MATCH($I$6*1000+$A35+$I$10,'ДАННЫЕ T3'!$K$6:$K$286,0)),""))</ns0:f>
        <ns0:v>FETCH</ns0:v>
      </ns0:c>
      <ns0:c r="H35" t="str">
        <ns0:f>IF($A35&gt;$I$11,"",IFERROR(INDEX('ДАННЫЕ T3'!$F$6:$F$286,MATCH($I$6*1000+$A35+$I$10,'ДАННЫЕ T3'!$K$6:$K$286,0)),""))</ns0:f>
        <ns0:v>0x00000088</ns0:v>
      </ns0:c>
      <ns0:c r="I35" t="str">
        <ns0:f>IF($A35&gt;$I$11,"",IFERROR(INDEX('ДАННЫЕ T3'!$G$6:$G$286,MATCH($I$6*1000+$A35+$I$10,'ДАННЫЕ T3'!$K$6:$K$286,0)),""))</ns0:f>
        <ns0:v>0x03500413</ns0:v>
      </ns0:c>
      <ns0:c r="J35" t="str">
        <ns0:f>IF($A35&gt;$I$11,"",IFERROR(INDEX('ДАННЫЕ T3'!$H$6:$H$286,MATCH($I$6*1000+$A35+$I$10,'ДАННЫЕ T3'!$K$6:$K$286,0)),""))</ns0:f>
        <ns0:v>addi s0, zero, 53</ns0:v>
      </ns0:c>
      <ns0:c r="K35">
        <ns0:f>IF($A35&gt;$I$11,"",IFERROR(INDEX('ДАННЫЕ T3'!$D$6:$D$286,MATCH($I$6*1000+$A35+$I$10,'ДАННЫЕ T3'!$K$6:$K$286,0)),""))</ns0:f>
        <ns0:v>93</ns0:v>
      </ns0:c>
      <ns0:c r="L35" t="str">
        <ns0:f>IF(OR(B35="",G35=""),"",IF(AND(B35=G35,C35=H35,D35=I35),"MATCH","DIFF"))</ns0:f>
        <ns0:v>MATCH</ns0:v>
      </ns0:c>
    </ns0:row>
    <ns0:row r="36">
      <ns0:c r="A36" t="n">
        <ns0:v>18</ns0:v>
      </ns0:c>
      <ns0:c r="B36" t="str">
        <ns0:f>IF($A36&gt;$C$11,"",IFERROR(INDEX('ДАННЫЕ T3'!$E$6:$E$286,MATCH($C$6*1000+$A36+$C$10,'ДАННЫЕ T3'!$K$6:$K$286,0)),""))</ns0:f>
        <ns0:v>FETCH</ns0:v>
      </ns0:c>
      <ns0:c r="C36" t="str">
        <ns0:f>IF($A36&gt;$C$11,"",IFERROR(INDEX('ДАННЫЕ T3'!$F$6:$F$286,MATCH($C$6*1000+$A36+$C$10,'ДАННЫЕ T3'!$K$6:$K$286,0)),""))</ns0:f>
        <ns0:v>0x000000DC</ns0:v>
      </ns0:c>
      <ns0:c r="D36" t="str">
        <ns0:f>IF($A36&gt;$C$11,"",IFERROR(INDEX('ДАННЫЕ T3'!$G$6:$G$286,MATCH($C$6*1000+$A36+$C$10,'ДАННЫЕ T3'!$K$6:$K$286,0)),""))</ns0:f>
        <ns0:v>0x00800E93</ns0:v>
      </ns0:c>
      <ns0:c r="E36" t="str">
        <ns0:f>IF($A36&gt;$C$11,"",IFERROR(INDEX('ДАННЫЕ T3'!$H$6:$H$286,MATCH($C$6*1000+$A36+$C$10,'ДАННЫЕ T3'!$K$6:$K$286,0)),""))</ns0:f>
        <ns0:v>addi t4, zero, 8</ns0:v>
      </ns0:c>
      <ns0:c r="F36">
        <ns0:f>IF($A36&gt;$C$11,"",IFERROR(INDEX('ДАННЫЕ T3'!$D$6:$D$286,MATCH($C$6*1000+$A36+$C$10,'ДАННЫЕ T3'!$K$6:$K$286,0)),""))</ns0:f>
        <ns0:v>83</ns0:v>
      </ns0:c>
      <ns0:c r="G36" t="str">
        <ns0:f>IF($A36&gt;$I$11,"",IFERROR(INDEX('ДАННЫЕ T3'!$E$6:$E$286,MATCH($I$6*1000+$A36+$I$10,'ДАННЫЕ T3'!$K$6:$K$286,0)),""))</ns0:f>
        <ns0:v>FETCH</ns0:v>
      </ns0:c>
      <ns0:c r="H36" t="str">
        <ns0:f>IF($A36&gt;$I$11,"",IFERROR(INDEX('ДАННЫЕ T3'!$F$6:$F$286,MATCH($I$6*1000+$A36+$I$10,'ДАННЫЕ T3'!$K$6:$K$286,0)),""))</ns0:f>
        <ns0:v>0x000000DC</ns0:v>
      </ns0:c>
      <ns0:c r="I36" t="str">
        <ns0:f>IF($A36&gt;$I$11,"",IFERROR(INDEX('ДАННЫЕ T3'!$G$6:$G$286,MATCH($I$6*1000+$A36+$I$10,'ДАННЫЕ T3'!$K$6:$K$286,0)),""))</ns0:f>
        <ns0:v>0x00800E93</ns0:v>
      </ns0:c>
      <ns0:c r="J36" t="str">
        <ns0:f>IF($A36&gt;$I$11,"",IFERROR(INDEX('ДАННЫЕ T3'!$H$6:$H$286,MATCH($I$6*1000+$A36+$I$10,'ДАННЫЕ T3'!$K$6:$K$286,0)),""))</ns0:f>
        <ns0:v>addi t4, zero, 8</ns0:v>
      </ns0:c>
      <ns0:c r="K36">
        <ns0:f>IF($A36&gt;$I$11,"",IFERROR(INDEX('ДАННЫЕ T3'!$D$6:$D$286,MATCH($I$6*1000+$A36+$I$10,'ДАННЫЕ T3'!$K$6:$K$286,0)),""))</ns0:f>
        <ns0:v>96</ns0:v>
      </ns0:c>
      <ns0:c r="L36" t="str">
        <ns0:f>IF(OR(B36="",G36=""),"",IF(AND(B36=G36,C36=H36,D36=I36),"MATCH","DIFF"))</ns0:f>
        <ns0:v>MATCH</ns0:v>
      </ns0:c>
    </ns0:row>
    <ns0:row r="37">
      <ns0:c r="A37" t="n">
        <ns0:v>19</ns0:v>
      </ns0:c>
      <ns0:c r="B37" t="str">
        <ns0:f>IF($A37&gt;$C$11,"",IFERROR(INDEX('ДАННЫЕ T3'!$E$6:$E$286,MATCH($C$6*1000+$A37+$C$10,'ДАННЫЕ T3'!$K$6:$K$286,0)),""))</ns0:f>
        <ns0:v>FETCH</ns0:v>
      </ns0:c>
      <ns0:c r="C37" t="str">
        <ns0:f>IF($A37&gt;$C$11,"",IFERROR(INDEX('ДАННЫЕ T3'!$F$6:$F$286,MATCH($C$6*1000+$A37+$C$10,'ДАННЫЕ T3'!$K$6:$K$286,0)),""))</ns0:f>
        <ns0:v>0x000000E0</ns0:v>
      </ns0:c>
      <ns0:c r="D37" t="str">
        <ns0:f>IF($A37&gt;$C$11,"",IFERROR(INDEX('ДАННЫЕ T3'!$G$6:$G$286,MATCH($C$6*1000+$A37+$C$10,'ДАННЫЕ T3'!$K$6:$K$286,0)),""))</ns0:f>
        <ns0:v>0x03400F13</ns0:v>
      </ns0:c>
      <ns0:c r="E37" t="str">
        <ns0:f>IF($A37&gt;$C$11,"",IFERROR(INDEX('ДАННЫЕ T3'!$H$6:$H$286,MATCH($C$6*1000+$A37+$C$10,'ДАННЫЕ T3'!$K$6:$K$286,0)),""))</ns0:f>
        <ns0:v>addi t5, zero, 52</ns0:v>
      </ns0:c>
      <ns0:c r="F37">
        <ns0:f>IF($A37&gt;$C$11,"",IFERROR(INDEX('ДАННЫЕ T3'!$D$6:$D$286,MATCH($C$6*1000+$A37+$C$10,'ДАННЫЕ T3'!$K$6:$K$286,0)),""))</ns0:f>
        <ns0:v>87</ns0:v>
      </ns0:c>
      <ns0:c r="G37" t="str">
        <ns0:f>IF($A37&gt;$I$11,"",IFERROR(INDEX('ДАННЫЕ T3'!$E$6:$E$286,MATCH($I$6*1000+$A37+$I$10,'ДАННЫЕ T3'!$K$6:$K$286,0)),""))</ns0:f>
        <ns0:v>FETCH</ns0:v>
      </ns0:c>
      <ns0:c r="H37" t="str">
        <ns0:f>IF($A37&gt;$I$11,"",IFERROR(INDEX('ДАННЫЕ T3'!$F$6:$F$286,MATCH($I$6*1000+$A37+$I$10,'ДАННЫЕ T3'!$K$6:$K$286,0)),""))</ns0:f>
        <ns0:v>0x000000E0</ns0:v>
      </ns0:c>
      <ns0:c r="I37" t="str">
        <ns0:f>IF($A37&gt;$I$11,"",IFERROR(INDEX('ДАННЫЕ T3'!$G$6:$G$286,MATCH($I$6*1000+$A37+$I$10,'ДАННЫЕ T3'!$K$6:$K$286,0)),""))</ns0:f>
        <ns0:v>0x03400F13</ns0:v>
      </ns0:c>
      <ns0:c r="J37" t="str">
        <ns0:f>IF($A37&gt;$I$11,"",IFERROR(INDEX('ДАННЫЕ T3'!$H$6:$H$286,MATCH($I$6*1000+$A37+$I$10,'ДАННЫЕ T3'!$K$6:$K$286,0)),""))</ns0:f>
        <ns0:v>addi t5, zero, 52</ns0:v>
      </ns0:c>
      <ns0:c r="K37">
        <ns0:f>IF($A37&gt;$I$11,"",IFERROR(INDEX('ДАННЫЕ T3'!$D$6:$D$286,MATCH($I$6*1000+$A37+$I$10,'ДАННЫЕ T3'!$K$6:$K$286,0)),""))</ns0:f>
        <ns0:v>100</ns0:v>
      </ns0:c>
      <ns0:c r="L37" t="str">
        <ns0:f>IF(OR(B37="",G37=""),"",IF(AND(B37=G37,C37=H37,D37=I37),"MATCH","DIFF"))</ns0:f>
        <ns0:v>MATCH</ns0:v>
      </ns0:c>
    </ns0:row>
    <ns0:row r="38">
      <ns0:c r="A38" t="n">
        <ns0:v>20</ns0:v>
      </ns0:c>
      <ns0:c r="B38" t="str">
        <ns0:f>IF($A38&gt;$C$11,"",IFERROR(INDEX('ДАННЫЕ T3'!$E$6:$E$286,MATCH($C$6*1000+$A38+$C$10,'ДАННЫЕ T3'!$K$6:$K$286,0)),""))</ns0:f>
        <ns0:v>FETCH</ns0:v>
      </ns0:c>
      <ns0:c r="C38" t="str">
        <ns0:f>IF($A38&gt;$C$11,"",IFERROR(INDEX('ДАННЫЕ T3'!$F$6:$F$286,MATCH($C$6*1000+$A38+$C$10,'ДАННЫЕ T3'!$K$6:$K$286,0)),""))</ns0:f>
        <ns0:v>0x000000E4</ns0:v>
      </ns0:c>
      <ns0:c r="D38" t="str">
        <ns0:f>IF($A38&gt;$C$11,"",IFERROR(INDEX('ДАННЫЕ T3'!$G$6:$G$286,MATCH($C$6*1000+$A38+$C$10,'ДАННЫЕ T3'!$K$6:$K$286,0)),""))</ns0:f>
        <ns0:v>0x01C0006F</ns0:v>
      </ns0:c>
      <ns0:c r="E38" t="str">
        <ns0:f>IF($A38&gt;$C$11,"",IFERROR(INDEX('ДАННЫЕ T3'!$H$6:$H$286,MATCH($C$6*1000+$A38+$C$10,'ДАННЫЕ T3'!$K$6:$K$286,0)),""))</ns0:f>
        <ns0:v>jal zero, 0x00000100</ns0:v>
      </ns0:c>
      <ns0:c r="F38">
        <ns0:f>IF($A38&gt;$C$11,"",IFERROR(INDEX('ДАННЫЕ T3'!$D$6:$D$286,MATCH($C$6*1000+$A38+$C$10,'ДАННЫЕ T3'!$K$6:$K$286,0)),""))</ns0:f>
        <ns0:v>91</ns0:v>
      </ns0:c>
      <ns0:c r="G38" t="str">
        <ns0:f>IF($A38&gt;$I$11,"",IFERROR(INDEX('ДАННЫЕ T3'!$E$6:$E$286,MATCH($I$6*1000+$A38+$I$10,'ДАННЫЕ T3'!$K$6:$K$286,0)),""))</ns0:f>
        <ns0:v>FETCH</ns0:v>
      </ns0:c>
      <ns0:c r="H38" t="str">
        <ns0:f>IF($A38&gt;$I$11,"",IFERROR(INDEX('ДАННЫЕ T3'!$F$6:$F$286,MATCH($I$6*1000+$A38+$I$10,'ДАННЫЕ T3'!$K$6:$K$286,0)),""))</ns0:f>
        <ns0:v>0x000000E4</ns0:v>
      </ns0:c>
      <ns0:c r="I38" t="str">
        <ns0:f>IF($A38&gt;$I$11,"",IFERROR(INDEX('ДАННЫЕ T3'!$G$6:$G$286,MATCH($I$6*1000+$A38+$I$10,'ДАННЫЕ T3'!$K$6:$K$286,0)),""))</ns0:f>
        <ns0:v>0x01C0006F</ns0:v>
      </ns0:c>
      <ns0:c r="J38" t="str">
        <ns0:f>IF($A38&gt;$I$11,"",IFERROR(INDEX('ДАННЫЕ T3'!$H$6:$H$286,MATCH($I$6*1000+$A38+$I$10,'ДАННЫЕ T3'!$K$6:$K$286,0)),""))</ns0:f>
        <ns0:v>jal zero, 0x00000100</ns0:v>
      </ns0:c>
      <ns0:c r="K38">
        <ns0:f>IF($A38&gt;$I$11,"",IFERROR(INDEX('ДАННЫЕ T3'!$D$6:$D$286,MATCH($I$6*1000+$A38+$I$10,'ДАННЫЕ T3'!$K$6:$K$286,0)),""))</ns0:f>
        <ns0:v>104</ns0:v>
      </ns0:c>
      <ns0:c r="L38" t="str">
        <ns0:f>IF(OR(B38="",G38=""),"",IF(AND(B38=G38,C38=H38,D38=I38),"MATCH","DIFF"))</ns0:f>
        <ns0:v>MATCH</ns0:v>
      </ns0:c>
    </ns0:row>
    <ns0:row r="39">
      <ns0:c r="A39" t="n">
        <ns0:v>21</ns0:v>
      </ns0:c>
      <ns0:c r="B39" t="str">
        <ns0:f>IF($A39&gt;$C$11,"",IFERROR(INDEX('ДАННЫЕ T3'!$E$6:$E$286,MATCH($C$6*1000+$A39+$C$10,'ДАННЫЕ T3'!$K$6:$K$286,0)),""))</ns0:f>
        <ns0:v>FETCH</ns0:v>
      </ns0:c>
      <ns0:c r="C39" t="str">
        <ns0:f>IF($A39&gt;$C$11,"",IFERROR(INDEX('ДАННЫЕ T3'!$F$6:$F$286,MATCH($C$6*1000+$A39+$C$10,'ДАННЫЕ T3'!$K$6:$K$286,0)),""))</ns0:f>
        <ns0:v>0x00000100</ns0:v>
      </ns0:c>
      <ns0:c r="D39" t="str">
        <ns0:f>IF($A39&gt;$C$11,"",IFERROR(INDEX('ДАННЫЕ T3'!$G$6:$G$286,MATCH($C$6*1000+$A39+$C$10,'ДАННЫЕ T3'!$K$6:$K$286,0)),""))</ns0:f>
        <ns0:v>0x01D2A023</ns0:v>
      </ns0:c>
      <ns0:c r="E39" t="str">
        <ns0:f>IF($A39&gt;$C$11,"",IFERROR(INDEX('ДАННЫЕ T3'!$H$6:$H$286,MATCH($C$6*1000+$A39+$C$10,'ДАННЫЕ T3'!$K$6:$K$286,0)),""))</ns0:f>
        <ns0:v>sw t4, 0(t0)</ns0:v>
      </ns0:c>
      <ns0:c r="F39">
        <ns0:f>IF($A39&gt;$C$11,"",IFERROR(INDEX('ДАННЫЕ T3'!$D$6:$D$286,MATCH($C$6*1000+$A39+$C$10,'ДАННЫЕ T3'!$K$6:$K$286,0)),""))</ns0:f>
        <ns0:v>95</ns0:v>
      </ns0:c>
      <ns0:c r="G39" t="str">
        <ns0:f>IF($A39&gt;$I$11,"",IFERROR(INDEX('ДАННЫЕ T3'!$E$6:$E$286,MATCH($I$6*1000+$A39+$I$10,'ДАННЫЕ T3'!$K$6:$K$286,0)),""))</ns0:f>
        <ns0:v>FETCH</ns0:v>
      </ns0:c>
      <ns0:c r="H39" t="str">
        <ns0:f>IF($A39&gt;$I$11,"",IFERROR(INDEX('ДАННЫЕ T3'!$F$6:$F$286,MATCH($I$6*1000+$A39+$I$10,'ДАННЫЕ T3'!$K$6:$K$286,0)),""))</ns0:f>
        <ns0:v>0x00000100</ns0:v>
      </ns0:c>
      <ns0:c r="I39" t="str">
        <ns0:f>IF($A39&gt;$I$11,"",IFERROR(INDEX('ДАННЫЕ T3'!$G$6:$G$286,MATCH($I$6*1000+$A39+$I$10,'ДАННЫЕ T3'!$K$6:$K$286,0)),""))</ns0:f>
        <ns0:v>0x01D2A023</ns0:v>
      </ns0:c>
      <ns0:c r="J39" t="str">
        <ns0:f>IF($A39&gt;$I$11,"",IFERROR(INDEX('ДАННЫЕ T3'!$H$6:$H$286,MATCH($I$6*1000+$A39+$I$10,'ДАННЫЕ T3'!$K$6:$K$286,0)),""))</ns0:f>
        <ns0:v>sw t4, 0(t0)</ns0:v>
      </ns0:c>
      <ns0:c r="K39">
        <ns0:f>IF($A39&gt;$I$11,"",IFERROR(INDEX('ДАННЫЕ T3'!$D$6:$D$286,MATCH($I$6*1000+$A39+$I$10,'ДАННЫЕ T3'!$K$6:$K$286,0)),""))</ns0:f>
        <ns0:v>108</ns0:v>
      </ns0:c>
      <ns0:c r="L39" t="str">
        <ns0:f>IF(OR(B39="",G39=""),"",IF(AND(B39=G39,C39=H39,D39=I39),"MATCH","DIFF"))</ns0:f>
        <ns0:v>MATCH</ns0:v>
      </ns0:c>
    </ns0:row>
    <ns0:row r="40">
      <ns0:c r="A40" t="n">
        <ns0:v>22</ns0:v>
      </ns0:c>
      <ns0:c r="B40" t="str">
        <ns0:f>IF($A40&gt;$C$11,"",IFERROR(INDEX('ДАННЫЕ T3'!$E$6:$E$286,MATCH($C$6*1000+$A40+$C$10,'ДАННЫЕ T3'!$K$6:$K$286,0)),""))</ns0:f>
        <ns0:v>FETCH</ns0:v>
      </ns0:c>
      <ns0:c r="C40" t="str">
        <ns0:f>IF($A40&gt;$C$11,"",IFERROR(INDEX('ДАННЫЕ T3'!$F$6:$F$286,MATCH($C$6*1000+$A40+$C$10,'ДАННЫЕ T3'!$K$6:$K$286,0)),""))</ns0:f>
        <ns0:v>0x00000104</ns0:v>
      </ns0:c>
      <ns0:c r="D40" t="str">
        <ns0:f>IF($A40&gt;$C$11,"",IFERROR(INDEX('ДАННЫЕ T3'!$G$6:$G$286,MATCH($C$6*1000+$A40+$C$10,'ДАННЫЕ T3'!$K$6:$K$286,0)),""))</ns0:f>
        <ns0:v>0x0002AF83</ns0:v>
      </ns0:c>
      <ns0:c r="E40" t="str">
        <ns0:f>IF($A40&gt;$C$11,"",IFERROR(INDEX('ДАННЫЕ T3'!$H$6:$H$286,MATCH($C$6*1000+$A40+$C$10,'ДАННЫЕ T3'!$K$6:$K$286,0)),""))</ns0:f>
        <ns0:v>lw t6, 0(t0)</ns0:v>
      </ns0:c>
      <ns0:c r="F40">
        <ns0:f>IF($A40&gt;$C$11,"",IFERROR(INDEX('ДАННЫЕ T3'!$D$6:$D$286,MATCH($C$6*1000+$A40+$C$10,'ДАННЫЕ T3'!$K$6:$K$286,0)),""))</ns0:f>
        <ns0:v>99</ns0:v>
      </ns0:c>
      <ns0:c r="G40" t="str">
        <ns0:f>IF($A40&gt;$I$11,"",IFERROR(INDEX('ДАННЫЕ T3'!$E$6:$E$286,MATCH($I$6*1000+$A40+$I$10,'ДАННЫЕ T3'!$K$6:$K$286,0)),""))</ns0:f>
        <ns0:v>FETCH</ns0:v>
      </ns0:c>
      <ns0:c r="H40" t="str">
        <ns0:f>IF($A40&gt;$I$11,"",IFERROR(INDEX('ДАННЫЕ T3'!$F$6:$F$286,MATCH($I$6*1000+$A40+$I$10,'ДАННЫЕ T3'!$K$6:$K$286,0)),""))</ns0:f>
        <ns0:v>0x00000104</ns0:v>
      </ns0:c>
      <ns0:c r="I40" t="str">
        <ns0:f>IF($A40&gt;$I$11,"",IFERROR(INDEX('ДАННЫЕ T3'!$G$6:$G$286,MATCH($I$6*1000+$A40+$I$10,'ДАННЫЕ T3'!$K$6:$K$286,0)),""))</ns0:f>
        <ns0:v>0x0002AF83</ns0:v>
      </ns0:c>
      <ns0:c r="J40" t="str">
        <ns0:f>IF($A40&gt;$I$11,"",IFERROR(INDEX('ДАННЫЕ T3'!$H$6:$H$286,MATCH($I$6*1000+$A40+$I$10,'ДАННЫЕ T3'!$K$6:$K$286,0)),""))</ns0:f>
        <ns0:v>lw t6, 0(t0)</ns0:v>
      </ns0:c>
      <ns0:c r="K40">
        <ns0:f>IF($A40&gt;$I$11,"",IFERROR(INDEX('ДАННЫЕ T3'!$D$6:$D$286,MATCH($I$6*1000+$A40+$I$10,'ДАННЫЕ T3'!$K$6:$K$286,0)),""))</ns0:f>
        <ns0:v>112</ns0:v>
      </ns0:c>
      <ns0:c r="L40" t="str">
        <ns0:f>IF(OR(B40="",G40=""),"",IF(AND(B40=G40,C40=H40,D40=I40),"MATCH","DIFF"))</ns0:f>
        <ns0:v>MATCH</ns0:v>
      </ns0:c>
    </ns0:row>
    <ns0:row r="41">
      <ns0:c r="A41" t="n">
        <ns0:v>23</ns0:v>
      </ns0:c>
      <ns0:c r="B41" t="str">
        <ns0:f>IF($A41&gt;$C$11,"",IFERROR(INDEX('ДАННЫЕ T3'!$E$6:$E$286,MATCH($C$6*1000+$A41+$C$10,'ДАННЫЕ T3'!$K$6:$K$286,0)),""))</ns0:f>
        <ns0:v>LED_WRITE</ns0:v>
      </ns0:c>
      <ns0:c r="C41" t="str">
        <ns0:f>IF($A41&gt;$C$11,"",IFERROR(INDEX('ДАННЫЕ T3'!$F$6:$F$286,MATCH($C$6*1000+$A41+$C$10,'ДАННЫЕ T3'!$K$6:$K$286,0)),""))</ns0:f>
        <ns0:v>0x20000000</ns0:v>
      </ns0:c>
      <ns0:c r="D41" t="str">
        <ns0:f>IF($A41&gt;$C$11,"",IFERROR(INDEX('ДАННЫЕ T3'!$G$6:$G$286,MATCH($C$6*1000+$A41+$C$10,'ДАННЫЕ T3'!$K$6:$K$286,0)),""))</ns0:f>
        <ns0:v>0x00000008</ns0:v>
      </ns0:c>
      <ns0:c r="E41" t="str">
        <ns0:f>IF($A41&gt;$C$11,"",IFERROR(INDEX('ДАННЫЕ T3'!$H$6:$H$286,MATCH($C$6*1000+$A41+$C$10,'ДАННЫЕ T3'!$K$6:$K$286,0)),""))</ns0:f>
        <ns0:v>MMIO GPIO write</ns0:v>
      </ns0:c>
      <ns0:c r="F41">
        <ns0:f>IF($A41&gt;$C$11,"",IFERROR(INDEX('ДАННЫЕ T3'!$D$6:$D$286,MATCH($C$6*1000+$A41+$C$10,'ДАННЫЕ T3'!$K$6:$K$286,0)),""))</ns0:f>
        <ns0:v>102</ns0:v>
      </ns0:c>
      <ns0:c r="G41" t="str">
        <ns0:f>IF($A41&gt;$I$11,"",IFERROR(INDEX('ДАННЫЕ T3'!$E$6:$E$286,MATCH($I$6*1000+$A41+$I$10,'ДАННЫЕ T3'!$K$6:$K$286,0)),""))</ns0:f>
        <ns0:v>LED_WRITE</ns0:v>
      </ns0:c>
      <ns0:c r="H41" t="str">
        <ns0:f>IF($A41&gt;$I$11,"",IFERROR(INDEX('ДАННЫЕ T3'!$F$6:$F$286,MATCH($I$6*1000+$A41+$I$10,'ДАННЫЕ T3'!$K$6:$K$286,0)),""))</ns0:f>
        <ns0:v>0x20000000</ns0:v>
      </ns0:c>
      <ns0:c r="I41" t="str">
        <ns0:f>IF($A41&gt;$I$11,"",IFERROR(INDEX('ДАННЫЕ T3'!$G$6:$G$286,MATCH($I$6*1000+$A41+$I$10,'ДАННЫЕ T3'!$K$6:$K$286,0)),""))</ns0:f>
        <ns0:v>0x00000008</ns0:v>
      </ns0:c>
      <ns0:c r="J41" t="str">
        <ns0:f>IF($A41&gt;$I$11,"",IFERROR(INDEX('ДАННЫЕ T3'!$H$6:$H$286,MATCH($I$6*1000+$A41+$I$10,'ДАННЫЕ T3'!$K$6:$K$286,0)),""))</ns0:f>
        <ns0:v>MMIO GPIO write</ns0:v>
      </ns0:c>
      <ns0:c r="K41">
        <ns0:f>IF($A41&gt;$I$11,"",IFERROR(INDEX('ДАННЫЕ T3'!$D$6:$D$286,MATCH($I$6*1000+$A41+$I$10,'ДАННЫЕ T3'!$K$6:$K$286,0)),""))</ns0:f>
        <ns0:v>115</ns0:v>
      </ns0:c>
      <ns0:c r="L41" t="str">
        <ns0:f>IF(OR(B41="",G41=""),"",IF(AND(B41=G41,C41=H41,D41=I41),"MATCH","DIFF"))</ns0:f>
        <ns0:v>MATCH</ns0:v>
      </ns0:c>
    </ns0:row>
    <ns0:row r="44">
      <ns0:c r="B44" s="45" t="inlineStr">
        <ns0:is>
          <ns0:t>Сравниваются ТОЛЬКО (тип события, адрес, значение) и только после PC=0x048. Относительные циклы показаны для наблюдения, но не входят в сигнатуру и не являются проверкой cycle-by-cycle. Для разных команд CORE закономерно может различаться.</ns0:t>
        </ns0:is>
      </ns0:c>
    </ns0:row>
    <ns0:row r="45"/>
    <ns0:row r="46"/>
  </ns0:sheetData>
  <ns0:mergeCells count="5">
    <ns0:mergeCell ref="A1:N2"/>
    <ns0:mergeCell ref="A3:N3"/>
    <ns0:mergeCell ref="B13:L14"/>
    <ns0:mergeCell ref="A16:N16"/>
    <ns0:mergeCell ref="B44:L46"/>
  </ns0:mergeCells>
  <ns0:conditionalFormatting sqref="L19:L41">
    <ns0:cfRule type="cellIs" priority="1" operator="equal" dxfId="3">
      <ns0:formula>"MATCH"</ns0:formula>
    </ns0:cfRule>
    <ns0:cfRule type="cellIs" priority="2" operator="equal" dxfId="4">
      <ns0:formula>"DIFF"</ns0:formula>
    </ns0:cfRule>
  </ns0:conditionalFormatting>
  <ns0:dataValidations count="2">
    <ns0:dataValidation sqref="C6" showDropDown="0" showInputMessage="1" showErrorMessage="1" allowBlank="0" errorTitle="Вне диапазона" error="Введите число от 1 до 12" promptTitle="Учебное управление" prompt="Число от 1 до 12" type="whole" operator="between">
      <ns0:formula1>1</ns0:formula1>
      <ns0:formula2>12</ns0:formula2>
    </ns0:dataValidation>
    <ns0:dataValidation sqref="I6" showDropDown="0" showInputMessage="1" showErrorMessage="1" allowBlank="0" errorTitle="Вне диапазона" error="Введите число от 1 до 12" promptTitle="Учебное управление" prompt="Число от 1 до 12" type="whole" operator="between">
      <ns0:formula1>1</ns0:formula1>
      <ns0:formula2>12</ns0:formula2>
    </ns0:dataValidation>
  </ns0:dataValidations>
  <ns0:hyperlinks>
    <ns0:hyperlink ref="A4" location="'ИНСТРУКЦИЯ'!A1" display="СТАРТ"/>
    <ns0:hyperlink ref="B4" location="'ПУЛЬТ'!A1" display="НАБЛЮДЕНИЕ"/>
    <ns0:hyperlink ref="C4" location="'СРАВНЕНИЕ'!A1" display="СРАВНЕНИЕ"/>
    <ns0:hyperlink ref="D4" location="'МОДЕЛЬ MMIO'!A1" display="LED / MMIO"/>
    <ns0:hyperlink ref="E4" location="'КОМАНДЫ'!A1" display="КОМАНДЫ"/>
    <ns0:hyperlink ref="F4" location="'ЗАХВАТЫ'!A1" display="12 ТРАСС"/>
    <ns0:hyperlink ref="G4" location="'ДАННЫЕ T3'!A1" display="RAW T3"/>
    <ns0:hyperlink ref="H4" location="'ROM LAB03'!A1" display="ROM"/>
    <ns0:hyperlink ref="I4" location="'СЛОВАРЬ'!A1" display="ТЕРМИНЫ"/>
    <ns0:hyperlink ref="J4" location="'ИСТОЧНИКИ'!A1" display="ПРОИСХОЖДЕНИЕ"/>
    <ns0:hyperlink ref="K4" ns1:id="rId1"/>
    <ns0:hyperlink ref="L4" ns1:id="rId2"/>
  </ns0:hyperlinks>
  <ns0:printOptions horizontalCentered="0" gridLines="0"/>
  <ns0:pageMargins left="0.75" right="0.75" top="1" bottom="1" header="0.5" footer="0.5"/>
  <ns0:pageSetup fitToHeight="0" fitToWidth="1"/>
</ns0:worksheet>
</file>

<file path=xl/worksheets/sheet11.xml><?xml version="1.0" encoding="utf-8"?>
<ns0:worksheet xmlns:ns0="http://schemas.openxmlformats.org/spreadsheetml/2006/main" xmlns:ns1="http://schemas.openxmlformats.org/officeDocument/2006/relationships">
  <ns0:sheetPr>
    <ns0:tabColor rgb="00C47B1A"/>
    <ns0:outlinePr summaryBelow="1" summaryRight="1"/>
    <ns0:pageSetUpPr fitToPage="1"/>
  </ns0:sheetPr>
  <ns0:dimension ref="A1:N33"/>
  <ns0:sheetViews>
    <ns0:sheetView showGridLines="0" zoomScale="90" workbookViewId="0">
      <ns0:selection activeCell="A1" sqref="A1"/>
    </ns0:sheetView>
  </ns0:sheetViews>
  <ns0:sheetFormatPr baseColWidth="8" defaultRowHeight="19"/>
  <ns0:cols>
    <ns0:col width="5" customWidth="1" min="1" max="1"/>
    <ns0:col width="18" customWidth="1" min="2" max="2"/>
    <ns0:col width="18" customWidth="1" min="3" max="3"/>
    <ns0:col width="18" customWidth="1" min="4" max="4"/>
    <ns0:col width="18" customWidth="1" min="5" max="5"/>
    <ns0:col width="18" customWidth="1" min="6" max="6"/>
    <ns0:col width="18" customWidth="1" min="7" max="7"/>
    <ns0:col width="18" customWidth="1" min="8" max="8"/>
    <ns0:col width="18" customWidth="1" min="9" max="9"/>
    <ns0:col width="18" customWidth="1" min="10" max="10"/>
    <ns0:col width="15" customWidth="1" min="11" max="11"/>
    <ns0:col width="13" customWidth="1" min="12" max="12"/>
    <ns0:col width="12" customWidth="1" min="13" max="13"/>
    <ns0:col width="12" customWidth="1" min="14" max="14"/>
  </ns0:cols>
  <ns0:sheetData>
    <ns0:row r="1" ht="26" customHeight="1">
      <ns0:c r="A1" s="1" t="inlineStr">
        <ns0:is>
          <ns0:t>МОДЕЛЬ LED / MMIO</ns0:t>
        </ns0:is>
      </ns0:c>
    </ns0:row>
    <ns0:row r="2" ht="20" customHeight="1"/>
    <ns0:row r="3" ht="29" customHeight="1">
      <ns0:c r="A3" s="3" t="inlineStr">
        <ns0:is>
          <ns0:t>Изменяем входные данные UART; машинный код sw сохраняется. Это расчётная модель, НЕ новая запись T3 с платы.</ns0:t>
        </ns0:is>
      </ns0:c>
    </ns0:row>
    <ns0:row r="4" ht="26" customHeight="1">
      <ns0:c r="A4" s="5" t="inlineStr">
        <ns0:is>
          <ns0:t>СТАРТ</ns0:t>
        </ns0:is>
      </ns0:c>
      <ns0:c r="B4" s="5" t="inlineStr">
        <ns0:is>
          <ns0:t>НАБЛЮДЕНИЕ</ns0:t>
        </ns0:is>
      </ns0:c>
      <ns0:c r="C4" s="5" t="inlineStr">
        <ns0:is>
          <ns0:t>СРАВНЕНИЕ</ns0:t>
        </ns0:is>
      </ns0:c>
      <ns0:c r="D4" s="4" t="inlineStr">
        <ns0:is>
          <ns0:t>LED / MMIO</ns0:t>
        </ns0:is>
      </ns0:c>
      <ns0:c r="E4" s="5" t="inlineStr">
        <ns0:is>
          <ns0:t>КОМАНДЫ</ns0:t>
        </ns0:is>
      </ns0:c>
      <ns0:c r="F4" s="5" t="inlineStr">
        <ns0:is>
          <ns0:t>12 ТРАСС</ns0:t>
        </ns0:is>
      </ns0:c>
      <ns0:c r="G4" s="5" t="inlineStr">
        <ns0:is>
          <ns0:t>RAW T3</ns0:t>
        </ns0:is>
      </ns0:c>
      <ns0:c r="H4" s="5" t="inlineStr">
        <ns0:is>
          <ns0:t>ROM</ns0:t>
        </ns0:is>
      </ns0:c>
      <ns0:c r="I4" s="5" t="inlineStr">
        <ns0:is>
          <ns0:t>ТЕРМИНЫ</ns0:t>
        </ns0:is>
      </ns0:c>
      <ns0:c r="J4" s="5" t="inlineStr">
        <ns0:is>
          <ns0:t>ПРОИСХОЖДЕНИЕ</ns0:t>
        </ns0:is>
      </ns0:c>
      <ns0:c r="K4" s="59" t="inlineStr">
        <ns0:is>
          <ns0:t>БИТЫ 202</ns0:t>
        </ns0:is>
      </ns0:c>
      <ns0:c r="L4" s="59" t="inlineStr">
        <ns0:is>
          <ns0:t>10 КАРТОЧЕК</ns0:t>
        </ns0:is>
      </ns0:c>
    </ns0:row>
    <ns0:row r="6" ht="25" customHeight="1">
      <ns0:c r="A6" s="6" t="inlineStr">
        <ns0:is>
          <ns0:t>ИНТЕРАКТИВНЫЙ СЦЕНАРИЙ — МОЖНО ВЫБРАТЬ 0…6</ns0:t>
        </ns0:is>
      </ns0:c>
    </ns0:row>
    <ns0:row r="8">
      <ns0:c r="B8" s="31" t="inlineStr">
        <ns0:is>
          <ns0:t>Команда UART</ns0:t>
        </ns0:is>
      </ns0:c>
      <ns0:c r="D8" s="46" t="n">
        <ns0:v>4</ns0:v>
      </ns0:c>
    </ns0:row>
    <ns0:row r="9">
      <ns0:c r="F9" s="47" t="inlineStr">
        <ns0:is>
          <ns0:t>ОДИН МАШИННЫЙ КОД  →  РАЗНЫЕ ДАННЫЕ</ns0:t>
        </ns0:is>
      </ns0:c>
    </ns0:row>
    <ns0:row r="10">
      <ns0:c r="B10" s="31" t="inlineStr">
        <ns0:is>
          <ns0:t>ASCII код (dec)</ns0:t>
        </ns0:is>
      </ns0:c>
      <ns0:c r="D10" s="33">
        <ns0:f>48+D8</ns0:f>
        <ns0:v>52</ns0:v>
      </ns0:c>
    </ns0:row>
    <ns0:row r="11">
      <ns0:c r="B11" s="31" t="inlineStr">
        <ns0:is>
          <ns0:t>ASCII-символ</ns0:t>
        </ns0:is>
      </ns0:c>
      <ns0:c r="D11" s="33" t="str">
        <ns0:f>CHAR(48+D8)</ns0:f>
        <ns0:v>4</ns0:v>
      </ns0:c>
    </ns0:row>
    <ns0:row r="12">
      <ns0:c r="B12" s="31" t="inlineStr">
        <ns0:is>
          <ns0:t>t4 = маска (dec)</ns0:t>
        </ns0:is>
      </ns0:c>
      <ns0:c r="D12" s="33">
        <ns0:f>IF(D8=0,0,2^(D8-1))</ns0:f>
        <ns0:v>8</ns0:v>
      </ns0:c>
      <ns0:c r="F12" s="48" t="inlineStr">
        <ns0:is>
          <ns0:t>L1</ns0:t>
        </ns0:is>
      </ns0:c>
      <ns0:c r="G12" s="48" t="inlineStr">
        <ns0:is>
          <ns0:t>L2</ns0:t>
        </ns0:is>
      </ns0:c>
      <ns0:c r="H12" s="48" t="inlineStr">
        <ns0:is>
          <ns0:t>L3</ns0:t>
        </ns0:is>
      </ns0:c>
      <ns0:c r="I12" s="48" t="inlineStr">
        <ns0:is>
          <ns0:t>L4</ns0:t>
        </ns0:is>
      </ns0:c>
      <ns0:c r="J12" s="48" t="inlineStr">
        <ns0:is>
          <ns0:t>L5</ns0:t>
        </ns0:is>
      </ns0:c>
      <ns0:c r="K12" s="48" t="inlineStr">
        <ns0:is>
          <ns0:t>L6</ns0:t>
        </ns0:is>
      </ns0:c>
    </ns0:row>
    <ns0:row r="13">
      <ns0:c r="B13" s="31" t="inlineStr">
        <ns0:is>
          <ns0:t>t4 = маска (hex)</ns0:t>
        </ns0:is>
      </ns0:c>
      <ns0:c r="D13" s="33" t="str">
        <ns0:f>"0x"&amp;DEC2HEX(D12,8)</ns0:f>
        <ns0:v>0x00000008</ns0:v>
      </ns0:c>
      <ns0:c r="F13" s="49" t="str">
        <ns0:f>IF(MOD(INT($D$12/2^0),2)=1,"●","○")</ns0:f>
        <ns0:v>○</ns0:v>
      </ns0:c>
      <ns0:c r="G13" s="49" t="str">
        <ns0:f>IF(MOD(INT($D$12/2^1),2)=1,"●","○")</ns0:f>
        <ns0:v>○</ns0:v>
      </ns0:c>
      <ns0:c r="H13" s="49" t="str">
        <ns0:f>IF(MOD(INT($D$12/2^2),2)=1,"●","○")</ns0:f>
        <ns0:v>○</ns0:v>
      </ns0:c>
      <ns0:c r="I13" s="49" t="str">
        <ns0:f>IF(MOD(INT($D$12/2^3),2)=1,"●","○")</ns0:f>
        <ns0:v>●</ns0:v>
      </ns0:c>
      <ns0:c r="J13" s="49" t="str">
        <ns0:f>IF(MOD(INT($D$12/2^4),2)=1,"●","○")</ns0:f>
        <ns0:v>○</ns0:v>
      </ns0:c>
      <ns0:c r="K13" s="49" t="str">
        <ns0:f>IF(MOD(INT($D$12/2^5),2)=1,"●","○")</ns0:f>
        <ns0:v>○</ns0:v>
      </ns0:c>
    </ns0:row>
    <ns0:row r="14">
      <ns0:c r="B14" s="31" t="inlineStr">
        <ns0:is>
          <ns0:t>t0 = база MMIO</ns0:t>
        </ns0:is>
      </ns0:c>
      <ns0:c r="D14" s="33" t="inlineStr">
        <ns0:is>
          <ns0:t>0x20000000</ns0:t>
        </ns0:is>
      </ns0:c>
    </ns0:row>
    <ns0:row r="15">
      <ns0:c r="B15" s="31" t="inlineStr">
        <ns0:is>
          <ns0:t>Машинное слово sw</ns0:t>
        </ns0:is>
      </ns0:c>
      <ns0:c r="D15" s="50" t="inlineStr">
        <ns0:is>
          <ns0:t>0x01D2A023</ns0:t>
        </ns0:is>
      </ns0:c>
      <ns0:c r="F15" s="51" t="inlineStr">
        <ns0:is>
          <ns0:t>Формальная связь: UART-цифра → значение регистра t4 → sw t4, 0(t0) → запись MEM32[0x20000000] → логическая маска GPIO. В реальном опыте переход к записи нужно подтвердить отдельным LED_WRITE в T3.</ns0:t>
        </ns0:is>
      </ns0:c>
    </ns0:row>
    <ns0:row r="16">
      <ns0:c r="B16" s="31" t="inlineStr">
        <ns0:is>
          <ns0:t>Дизассемблирование</ns0:t>
        </ns0:is>
      </ns0:c>
      <ns0:c r="D16" s="50" t="inlineStr">
        <ns0:is>
          <ns0:t>sw t4, 0(t0)</ns0:t>
        </ns0:is>
      </ns0:c>
    </ns0:row>
    <ns0:row r="17">
      <ns0:c r="B17" s="31" t="inlineStr">
        <ns0:is>
          <ns0:t>LED_WRITE (модель)</ns0:t>
        </ns0:is>
      </ns0:c>
      <ns0:c r="D17" s="33" t="str">
        <ns0:f>D13</ns0:f>
        <ns0:v>0x00000008</ns0:v>
      </ns0:c>
    </ns0:row>
    <ns0:row r="18"/>
    <ns0:row r="21" ht="25" customHeight="1">
      <ns0:c r="A21" s="6" t="inlineStr">
        <ns0:is>
          <ns0:t>ОБЪЯСНЕНИЕ ПО ШАГАМ</ns0:t>
        </ns0:is>
      </ns0:c>
    </ns0:row>
    <ns0:row r="23" ht="40" customHeight="1">
      <ns0:c r="B23" s="52" t="inlineStr">
        <ns0:is>
          <ns0:t>Команда</ns0:t>
        </ns0:is>
      </ns0:c>
      <ns0:c r="E23" s="10" t="inlineStr">
        <ns0:is>
          <ns0:t>ASCII цифра с COM/UART, не код инструкции RISC-V.</ns0:t>
        </ns0:is>
      </ns0:c>
    </ns0:row>
    <ns0:row r="24" ht="40" customHeight="1">
      <ns0:c r="B24" s="52" t="inlineStr">
        <ns0:is>
          <ns0:t>Выбор варианта</ns0:t>
        </ns0:is>
      </ns0:c>
      <ns0:c r="E24" s="10" t="inlineStr">
        <ns0:is>
          <ns0:t>Прошивка формирует t4: 0 либо один установленный бит для L1…L6.</ns0:t>
        </ns0:is>
      </ns0:c>
    </ns0:row>
    <ns0:row r="25" ht="40" customHeight="1">
      <ns0:c r="B25" s="52" t="inlineStr">
        <ns0:is>
          <ns0:t>Адрес</ns0:t>
        </ns0:is>
      </ns0:c>
      <ns0:c r="E25" s="10" t="inlineStr">
        <ns0:is>
          <ns0:t>В начале программы lui устанавливает t0 = 0x20000000.</ns0:t>
        </ns0:is>
      </ns0:c>
    </ns0:row>
    <ns0:row r="26" ht="40" customHeight="1">
      <ns0:c r="B26" s="52" t="inlineStr">
        <ns0:is>
          <ns0:t>Store word</ns0:t>
        </ns0:is>
      </ns0:c>
      <ns0:c r="E26" s="10" t="inlineStr">
        <ns0:is>
          <ns0:t>sw t4,0(t0) записывает слово из t4 по адресу t0+0.</ns0:t>
        </ns0:is>
      </ns0:c>
    </ns0:row>
    <ns0:row r="27" ht="40" customHeight="1">
      <ns0:c r="B27" s="52" t="inlineStr">
        <ns0:is>
          <ns0:t>Трассировщик</ns0:t>
        </ns0:is>
      </ns0:c>
      <ns0:c r="E27" s="10" t="inlineStr">
        <ns0:is>
          <ns0:t>Наблюдаемый LED_WRITE подтверждает принятую шинную запись; FETCH со sw этого не доказывает.</ns0:t>
        </ns0:is>
      </ns0:c>
    </ns0:row>
    <ns0:row r="28" ht="40" customHeight="1">
      <ns0:c r="B28" s="52" t="inlineStr">
        <ns0:is>
          <ns0:t>Аппаратура</ns0:t>
        </ns0:is>
      </ns0:c>
      <ns0:c r="E28" s="10" t="inlineStr">
        <ns0:is>
          <ns0:t>Физическое свечение проверяется глазами отдельно; модель не измеряет оптическое состояние.</ns0:t>
        </ns0:is>
      </ns0:c>
    </ns0:row>
    <ns0:row r="31">
      <ns0:c r="B31" s="11" t="inlineStr">
        <ns0:is>
          <ns0:t>ОГРАНИЧЕНИЕ: изменение команды на 5 действительно даёт рассчитанную маску 0x00000010, но НЕ создаёт аппаратный T3-захват для L5. В архиве представлены только команды 0 и 4. Другие значения — прогноз модели, основанный на программе.</ns0:t>
        </ns0:is>
      </ns0:c>
    </ns0:row>
    <ns0:row r="32"/>
    <ns0:row r="33"/>
  </ns0:sheetData>
  <ns0:mergeCells count="19">
    <ns0:mergeCell ref="B23:D23"/>
    <ns0:mergeCell ref="E28:M28"/>
    <ns0:mergeCell ref="B28:D28"/>
    <ns0:mergeCell ref="A6:N6"/>
    <ns0:mergeCell ref="F9:M10"/>
    <ns0:mergeCell ref="E27:M27"/>
    <ns0:mergeCell ref="E26:M26"/>
    <ns0:mergeCell ref="B24:D24"/>
    <ns0:mergeCell ref="A3:N3"/>
    <ns0:mergeCell ref="E25:M25"/>
    <ns0:mergeCell ref="A21:N21"/>
    <ns0:mergeCell ref="B26:D26"/>
    <ns0:mergeCell ref="B25:D25"/>
    <ns0:mergeCell ref="A1:N2"/>
    <ns0:mergeCell ref="E24:M24"/>
    <ns0:mergeCell ref="E23:M23"/>
    <ns0:mergeCell ref="F15:M18"/>
    <ns0:mergeCell ref="B27:D27"/>
    <ns0:mergeCell ref="B31:M33"/>
  </ns0:mergeCells>
  <ns0:conditionalFormatting sqref="F13">
    <ns0:cfRule type="cellIs" priority="1" operator="equal" dxfId="5">
      <ns0:formula>"●"</ns0:formula>
    </ns0:cfRule>
  </ns0:conditionalFormatting>
  <ns0:conditionalFormatting sqref="G13">
    <ns0:cfRule type="cellIs" priority="2" operator="equal" dxfId="5">
      <ns0:formula>"●"</ns0:formula>
    </ns0:cfRule>
  </ns0:conditionalFormatting>
  <ns0:conditionalFormatting sqref="H13">
    <ns0:cfRule type="cellIs" priority="3" operator="equal" dxfId="5">
      <ns0:formula>"●"</ns0:formula>
    </ns0:cfRule>
  </ns0:conditionalFormatting>
  <ns0:conditionalFormatting sqref="I13">
    <ns0:cfRule type="cellIs" priority="4" operator="equal" dxfId="5">
      <ns0:formula>"●"</ns0:formula>
    </ns0:cfRule>
  </ns0:conditionalFormatting>
  <ns0:conditionalFormatting sqref="J13">
    <ns0:cfRule type="cellIs" priority="5" operator="equal" dxfId="5">
      <ns0:formula>"●"</ns0:formula>
    </ns0:cfRule>
  </ns0:conditionalFormatting>
  <ns0:conditionalFormatting sqref="K13">
    <ns0:cfRule type="cellIs" priority="6" operator="equal" dxfId="5">
      <ns0:formula>"●"</ns0:formula>
    </ns0:cfRule>
  </ns0:conditionalFormatting>
  <ns0:dataValidations count="1">
    <ns0:dataValidation sqref="D8" showDropDown="0" showInputMessage="1" showErrorMessage="1" allowBlank="0" errorTitle="Вне диапазона" error="Введите число от 0 до 6" promptTitle="Учебное управление" prompt="Число от 0 до 6" type="whole" operator="between">
      <ns0:formula1>0</ns0:formula1>
      <ns0:formula2>6</ns0:formula2>
    </ns0:dataValidation>
  </ns0:dataValidations>
  <ns0:hyperlinks>
    <ns0:hyperlink ref="A4" location="'ИНСТРУКЦИЯ'!A1" display="СТАРТ"/>
    <ns0:hyperlink ref="B4" location="'ПУЛЬТ'!A1" display="НАБЛЮДЕНИЕ"/>
    <ns0:hyperlink ref="C4" location="'СРАВНЕНИЕ'!A1" display="СРАВНЕНИЕ"/>
    <ns0:hyperlink ref="D4" location="'МОДЕЛЬ MMIO'!A1" display="LED / MMIO"/>
    <ns0:hyperlink ref="E4" location="'КОМАНДЫ'!A1" display="КОМАНДЫ"/>
    <ns0:hyperlink ref="F4" location="'ЗАХВАТЫ'!A1" display="12 ТРАСС"/>
    <ns0:hyperlink ref="G4" location="'ДАННЫЕ T3'!A1" display="RAW T3"/>
    <ns0:hyperlink ref="H4" location="'ROM LAB03'!A1" display="ROM"/>
    <ns0:hyperlink ref="I4" location="'СЛОВАРЬ'!A1" display="ТЕРМИНЫ"/>
    <ns0:hyperlink ref="J4" location="'ИСТОЧНИКИ'!A1" display="ПРОИСХОЖДЕНИЕ"/>
    <ns0:hyperlink ref="K4" ns1:id="rId1"/>
    <ns0:hyperlink ref="L4" ns1:id="rId2"/>
  </ns0:hyperlinks>
  <ns0:printOptions horizontalCentered="0" gridLines="0"/>
  <ns0:pageMargins left="0.75" right="0.75" top="1" bottom="1" header="0.5" footer="0.5"/>
  <ns0:pageSetup fitToHeight="0" fitToWidth="1"/>
  <ns0:legacyDrawing ns1:id="anysvml"/>
</ns0:worksheet>
</file>

<file path=xl/worksheets/sheet12.xml><?xml version="1.0" encoding="utf-8"?>
<ns0:worksheet xmlns:ns0="http://schemas.openxmlformats.org/spreadsheetml/2006/main" xmlns:ns1="http://schemas.openxmlformats.org/officeDocument/2006/relationships">
  <ns0:sheetPr>
    <ns0:tabColor rgb="006744A8"/>
    <ns0:outlinePr summaryBelow="1" summaryRight="1"/>
    <ns0:pageSetUpPr fitToPage="1"/>
  </ns0:sheetPr>
  <ns0:dimension ref="A1:N30"/>
  <ns0:sheetViews>
    <ns0:sheetView showGridLines="0" zoomScale="90" workbookViewId="0">
      <ns0:pane xSplit="2" ySplit="6" topLeftCell="C7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9"/>
  <ns0:cols>
    <ns0:col width="7" customWidth="1" min="1" max="1"/>
    <ns0:col width="29" customWidth="1" min="2" max="2"/>
    <ns0:col width="60" customWidth="1" min="3" max="3"/>
    <ns0:col width="55" customWidth="1" min="4" max="4"/>
    <ns0:col width="20" customWidth="1" min="5" max="5"/>
    <ns0:col width="14" customWidth="1" min="6" max="6"/>
    <ns0:col width="14" customWidth="1" min="7" max="7"/>
    <ns0:col width="14" customWidth="1" min="8" max="8"/>
    <ns0:col width="14" customWidth="1" min="9" max="9"/>
    <ns0:col width="14" customWidth="1" min="10" max="10"/>
    <ns0:col width="14" customWidth="1" min="11" max="11"/>
    <ns0:col width="14" customWidth="1" min="12" max="12"/>
    <ns0:col width="14" customWidth="1" min="13" max="13"/>
    <ns0:col width="14" customWidth="1" min="14" max="14"/>
  </ns0:cols>
  <ns0:sheetData>
    <ns0:row r="1" ht="26" customHeight="1">
      <ns0:c r="A1" s="1" t="inlineStr">
        <ns0:is>
          <ns0:t>ТЕРМИНЫ  /  LAB-03</ns0:t>
        </ns0:is>
      </ns0:c>
    </ns0:row>
    <ns0:row r="2" ht="20" customHeight="1"/>
    <ns0:row r="3" ht="29" customHeight="1">
      <ns0:c r="A3" s="3" t="inlineStr">
        <ns0:is>
          <ns0:t>Только понятия, необходимые для наших экспериментов с PicoRV32, UART и трассировщиком</ns0:t>
        </ns0:is>
      </ns0:c>
    </ns0:row>
    <ns0:row r="4" ht="26" customHeight="1">
      <ns0:c r="A4" s="5" t="inlineStr">
        <ns0:is>
          <ns0:t>СТАРТ</ns0:t>
        </ns0:is>
      </ns0:c>
      <ns0:c r="B4" s="5" t="inlineStr">
        <ns0:is>
          <ns0:t>НАБЛЮДЕНИЕ</ns0:t>
        </ns0:is>
      </ns0:c>
      <ns0:c r="C4" s="5" t="inlineStr">
        <ns0:is>
          <ns0:t>СРАВНЕНИЕ</ns0:t>
        </ns0:is>
      </ns0:c>
      <ns0:c r="D4" s="5" t="inlineStr">
        <ns0:is>
          <ns0:t>LED / MMIO</ns0:t>
        </ns0:is>
      </ns0:c>
      <ns0:c r="E4" s="5" t="inlineStr">
        <ns0:is>
          <ns0:t>КОМАНДЫ</ns0:t>
        </ns0:is>
      </ns0:c>
      <ns0:c r="F4" s="5" t="inlineStr">
        <ns0:is>
          <ns0:t>12 ТРАСС</ns0:t>
        </ns0:is>
      </ns0:c>
      <ns0:c r="G4" s="5" t="inlineStr">
        <ns0:is>
          <ns0:t>RAW T3</ns0:t>
        </ns0:is>
      </ns0:c>
      <ns0:c r="H4" s="5" t="inlineStr">
        <ns0:is>
          <ns0:t>ROM</ns0:t>
        </ns0:is>
      </ns0:c>
      <ns0:c r="I4" s="4" t="inlineStr">
        <ns0:is>
          <ns0:t>ТЕРМИНЫ</ns0:t>
        </ns0:is>
      </ns0:c>
      <ns0:c r="J4" s="5" t="inlineStr">
        <ns0:is>
          <ns0:t>ПРОИСХОЖДЕНИЕ</ns0:t>
        </ns0:is>
      </ns0:c>
      <ns0:c r="K4" s="59" t="inlineStr">
        <ns0:is>
          <ns0:t>БИТЫ 202</ns0:t>
        </ns0:is>
      </ns0:c>
      <ns0:c r="L4" s="59" t="inlineStr">
        <ns0:is>
          <ns0:t>10 КАРТОЧЕК</ns0:t>
        </ns0:is>
      </ns0:c>
    </ns0:row>
    <ns0:row r="6" ht="35" customHeight="1">
      <ns0:c r="A6" s="13" t="inlineStr">
        <ns0:is>
          <ns0:t>№</ns0:t>
        </ns0:is>
      </ns0:c>
      <ns0:c r="B6" s="13" t="inlineStr">
        <ns0:is>
          <ns0:t>Термин</ns0:t>
        </ns0:is>
      </ns0:c>
      <ns0:c r="C6" s="13" t="inlineStr">
        <ns0:is>
          <ns0:t>Значение</ns0:t>
        </ns0:is>
      </ns0:c>
      <ns0:c r="D6" s="13" t="inlineStr">
        <ns0:is>
          <ns0:t>Пример / ограничение</ns0:t>
        </ns0:is>
      </ns0:c>
    </ns0:row>
    <ns0:row r="7" ht="41" customHeight="1">
      <ns0:c r="A7" t="n">
        <ns0:v>1</ns0:v>
      </ns0:c>
      <ns0:c r="B7" s="53" t="inlineStr">
        <ns0:is>
          <ns0:t>PicoRV32</ns0:t>
        </ns0:is>
      </ns0:c>
      <ns0:c r="C7" s="9" t="inlineStr">
        <ns0:is>
          <ns0:t>Небольшое процессорное ядро, реализующее RISC-V; в этой работе — аппаратное RTL-описание на FPGA.</ns0:t>
        </ns0:is>
      </ns0:c>
      <ns0:c r="D7" s="9" t="inlineStr">
        <ns0:is>
          <ns0:t>Наблюдаем шинные обращения, а не внутренний retirement.</ns0:t>
        </ns0:is>
      </ns0:c>
    </ns0:row>
    <ns0:row r="8" ht="41" customHeight="1">
      <ns0:c r="A8" t="n">
        <ns0:v>2</ns0:v>
      </ns0:c>
      <ns0:c r="B8" s="53" t="inlineStr">
        <ns0:is>
          <ns0:t>RV32I</ns0:t>
        </ns0:is>
      </ns0:c>
      <ns0:c r="C8" s="9" t="inlineStr">
        <ns0:is>
          <ns0:t>Базовая 32-битная целочисленная система команд RISC-V.</ns0:t>
        </ns0:is>
      </ns0:c>
      <ns0:c r="D8" s="9" t="inlineStr">
        <ns0:is>
          <ns0:t>Показаны только мнемоники нашего ROM и T3.</ns0:t>
        </ns0:is>
      </ns0:c>
    </ns0:row>
    <ns0:row r="9" ht="41" customHeight="1">
      <ns0:c r="A9" t="n">
        <ns0:v>3</ns0:v>
      </ns0:c>
      <ns0:c r="B9" s="53" t="inlineStr">
        <ns0:is>
          <ns0:t>ISA</ns0:t>
        </ns0:is>
      </ns0:c>
      <ns0:c r="C9" s="9" t="inlineStr">
        <ns0:is>
          <ns0:t>Instruction Set Architecture — архитектурный интерфейс команд процессора.</ns0:t>
        </ns0:is>
      </ns0:c>
      <ns0:c r="D9" s="9" t="inlineStr">
        <ns0:is>
          <ns0:t>Не путать ISA с деталями микроархитектуры.</ns0:t>
        </ns0:is>
      </ns0:c>
    </ns0:row>
    <ns0:row r="10" ht="41" customHeight="1">
      <ns0:c r="A10" t="n">
        <ns0:v>4</ns0:v>
      </ns0:c>
      <ns0:c r="B10" s="53" t="inlineStr">
        <ns0:is>
          <ns0:t>FETCH</ns0:t>
        </ns0:is>
      </ns0:c>
      <ns0:c r="C10" s="9" t="inlineStr">
        <ns0:is>
          <ns0:t>Подтверждённая выборка машинного слова инструкции из ROM.</ns0:t>
        </ns0:is>
      </ns0:c>
      <ns0:c r="D10" s="9" t="inlineStr">
        <ns0:is>
          <ns0:t>FETCH ≠ исполненная / завершённая инструкция.</ns0:t>
        </ns0:is>
      </ns0:c>
    </ns0:row>
    <ns0:row r="11" ht="41" customHeight="1">
      <ns0:c r="A11" t="n">
        <ns0:v>5</ns0:v>
      </ns0:c>
      <ns0:c r="B11" s="53" t="inlineStr">
        <ns0:is>
          <ns0:t>PC</ns0:t>
        </ns0:is>
      </ns0:c>
      <ns0:c r="C11" s="9" t="inlineStr">
        <ns0:is>
          <ns0:t>Program Counter — адрес инструкции.</ns0:t>
        </ns0:is>
      </ns0:c>
      <ns0:c r="D11" s="9" t="inlineStr">
        <ns0:is>
          <ns0:t>В строке LED_WRITE поле «адрес» — адрес MMIO, НЕ PC.</ns0:t>
        </ns0:is>
      </ns0:c>
    </ns0:row>
    <ns0:row r="12" ht="41" customHeight="1">
      <ns0:c r="A12" t="n">
        <ns0:v>6</ns0:v>
      </ns0:c>
      <ns0:c r="B12" s="53" t="inlineStr">
        <ns0:is>
          <ns0:t>ROM</ns0:t>
        </ns0:is>
      </ns0:c>
      <ns0:c r="C12" s="9" t="inlineStr">
        <ns0:is>
          <ns0:t>Read-Only Memory — память машинного кода данного проекта.</ns0:t>
        </ns0:is>
      </ns0:c>
      <ns0:c r="D12" s="9" t="inlineStr">
        <ns0:is>
          <ns0:t>Наличие слова в ROM не означает, что оно было выбрано.</ns0:t>
        </ns0:is>
      </ns0:c>
    </ns0:row>
    <ns0:row r="13" ht="41" customHeight="1">
      <ns0:c r="A13" t="n">
        <ns0:v>7</ns0:v>
      </ns0:c>
      <ns0:c r="B13" s="53" t="inlineStr">
        <ns0:is>
          <ns0:t>Instruction word</ns0:t>
        </ns0:is>
      </ns0:c>
      <ns0:c r="C13" s="9" t="inlineStr">
        <ns0:is>
          <ns0:t>32-битное слово с кодом RV32I-инструкции.</ns0:t>
        </ns0:is>
      </ns0:c>
      <ns0:c r="D13" s="9" t="inlineStr">
        <ns0:is>
          <ns0:t>0x01D2A023 = sw t4,0(t0), не LED-маска.</ns0:t>
        </ns0:is>
      </ns0:c>
    </ns0:row>
    <ns0:row r="14" ht="41" customHeight="1">
      <ns0:c r="A14" t="n">
        <ns0:v>8</ns0:v>
      </ns0:c>
      <ns0:c r="B14" s="53" t="inlineStr">
        <ns0:is>
          <ns0:t>Mnemonic</ns0:t>
        </ns0:is>
      </ns0:c>
      <ns0:c r="C14" s="9" t="inlineStr">
        <ns0:is>
          <ns0:t>Текстовое краткое имя машинной операции.</ns0:t>
        </ns0:is>
      </ns0:c>
      <ns0:c r="D14" s="9" t="inlineStr">
        <ns0:is>
          <ns0:t>sw, lw, beq, addi и т. д.</ns0:t>
        </ns0:is>
      </ns0:c>
    </ns0:row>
    <ns0:row r="15" ht="41" customHeight="1">
      <ns0:c r="A15" t="n">
        <ns0:v>9</ns0:v>
      </ns0:c>
      <ns0:c r="B15" s="53" t="inlineStr">
        <ns0:is>
          <ns0:t>Operand</ns0:t>
        </ns0:is>
      </ns0:c>
      <ns0:c r="C15" s="9" t="inlineStr">
        <ns0:is>
          <ns0:t>Регистр, число или адрес, задаваемые командой.</ns0:t>
        </ns0:is>
      </ns0:c>
      <ns0:c r="D15" s="9" t="inlineStr">
        <ns0:is>
          <ns0:t>t4 и t0 — регистры в sw t4,0(t0).</ns0:t>
        </ns0:is>
      </ns0:c>
    </ns0:row>
    <ns0:row r="16" ht="41" customHeight="1">
      <ns0:c r="A16" t="n">
        <ns0:v>10</ns0:v>
      </ns0:c>
      <ns0:c r="B16" s="53" t="inlineStr">
        <ns0:is>
          <ns0:t>Immediate</ns0:t>
        </ns0:is>
      </ns0:c>
      <ns0:c r="C16" s="9" t="inlineStr">
        <ns0:is>
          <ns0:t>Константа, закодированная непосредственно в машинной инструкции.</ns0:t>
        </ns0:is>
      </ns0:c>
      <ns0:c r="D16" s="9" t="inlineStr">
        <ns0:is>
          <ns0:t>84 в addi s0,zero,84 — ASCII "T".</ns0:t>
        </ns0:is>
      </ns0:c>
    </ns0:row>
    <ns0:row r="17" ht="41" customHeight="1">
      <ns0:c r="A17" t="n">
        <ns0:v>11</ns0:v>
      </ns0:c>
      <ns0:c r="B17" s="53" t="inlineStr">
        <ns0:is>
          <ns0:t>MMIO</ns0:t>
        </ns0:is>
      </ns0:c>
      <ns0:c r="C17" s="9" t="inlineStr">
        <ns0:is>
          <ns0:t>Memory-Mapped I/O — управление периферией по адресам памяти.</ns0:t>
        </ns0:is>
      </ns0:c>
      <ns0:c r="D17" s="9" t="inlineStr">
        <ns0:is>
          <ns0:t>Адрес LED-регистра: 0x20000000.</ns0:t>
        </ns0:is>
      </ns0:c>
    </ns0:row>
    <ns0:row r="18" ht="41" customHeight="1">
      <ns0:c r="A18" t="n">
        <ns0:v>12</ns0:v>
      </ns0:c>
      <ns0:c r="B18" s="53" t="inlineStr">
        <ns0:is>
          <ns0:t>LED_WRITE</ns0:t>
        </ns0:is>
      </ns0:c>
      <ns0:c r="C18" s="9" t="inlineStr">
        <ns0:is>
          <ns0:t>Принятая шиной запись в аппаратный регистр светодиодов.</ns0:t>
        </ns0:is>
      </ns0:c>
      <ns0:c r="D18" s="9" t="inlineStr">
        <ns0:is>
          <ns0:t>Не фотометрическое измерение ламп.</ns0:t>
        </ns0:is>
      </ns0:c>
    </ns0:row>
    <ns0:row r="19" ht="41" customHeight="1">
      <ns0:c r="A19" t="n">
        <ns0:v>13</ns0:v>
      </ns0:c>
      <ns0:c r="B19" s="53" t="inlineStr">
        <ns0:is>
          <ns0:t>UART</ns0:t>
        </ns0:is>
      </ns0:c>
      <ns0:c r="C19" s="9" t="inlineStr">
        <ns0:is>
          <ns0:t>Последовательный интерфейс передачи байтов.</ns0:t>
        </ns0:is>
      </ns0:c>
      <ns0:c r="D19" s="9" t="inlineStr">
        <ns0:is>
          <ns0:t>115200 8N1; команды C, T, 0…6.</ns0:t>
        </ns0:is>
      </ns0:c>
    </ns0:row>
    <ns0:row r="20" ht="41" customHeight="1">
      <ns0:c r="A20" t="n">
        <ns0:v>14</ns0:v>
      </ns0:c>
      <ns0:c r="B20" s="53" t="inlineStr">
        <ns0:is>
          <ns0:t>Polling</ns0:t>
        </ns0:is>
      </ns0:c>
      <ns0:c r="C20" s="9" t="inlineStr">
        <ns0:is>
          <ns0:t>Периодическая проверка регистра состояния вместо ожидания прерывания.</ns0:t>
        </ns0:is>
      </ns0:c>
      <ns0:c r="D20" s="9" t="inlineStr">
        <ns0:is>
          <ns0:t>Повторы PC 0x038/0x03C/0x040/0x044.</ns0:t>
        </ns0:is>
      </ns0:c>
    </ns0:row>
    <ns0:row r="21" ht="41" customHeight="1">
      <ns0:c r="A21" t="n">
        <ns0:v>15</ns0:v>
      </ns0:c>
      <ns0:c r="B21" s="53" t="inlineStr">
        <ns0:is>
          <ns0:t>CORE</ns0:t>
        </ns0:is>
      </ns0:c>
      <ns0:c r="C21" s="9" t="inlineStr">
        <ns0:is>
          <ns0:t>Сравниваемая часть трассы от PC=0x048 до LED_WRITE.</ns0:t>
        </ns0:is>
      </ns0:c>
      <ns0:c r="D21" s="9" t="inlineStr">
        <ns0:is>
          <ns0:t>Без изменений порядка и значений, циклы не сравниваются.</ns0:t>
        </ns0:is>
      </ns0:c>
    </ns0:row>
    <ns0:row r="22" ht="41" customHeight="1">
      <ns0:c r="A22" t="n">
        <ns0:v>16</ns0:v>
      </ns0:c>
      <ns0:c r="B22" s="53" t="inlineStr">
        <ns0:is>
          <ns0:t>Snapshot</ns0:t>
        </ns0:is>
      </ns0:c>
      <ns0:c r="C22" s="9" t="inlineStr">
        <ns0:is>
          <ns0:t>Неизменяемый аппаратный снимок T3 после LED_WRITE.</ns0:t>
        </ns0:is>
      </ns0:c>
      <ns0:c r="D22" s="9" t="inlineStr">
        <ns0:is>
          <ns0:t>Т читает, C сбрасывает и запускает новый сбор.</ns0:t>
        </ns0:is>
      </ns0:c>
    </ns0:row>
    <ns0:row r="23" ht="41" customHeight="1">
      <ns0:c r="A23" t="n">
        <ns0:v>17</ns0:v>
      </ns0:c>
      <ns0:c r="B23" s="53" t="inlineStr">
        <ns0:is>
          <ns0:t>Readback</ns0:t>
        </ns0:is>
      </ns0:c>
      <ns0:c r="C23" s="9" t="inlineStr">
        <ns0:is>
          <ns0:t>Чтение регистра после записи для проверки данных.</ns0:t>
        </ns0:is>
      </ns0:c>
      <ns0:c r="D23" s="9" t="inlineStr">
        <ns0:is>
          <ns0:t>FETCH инструкции lw не доказывает наблюдение операции DATA_READ.</ns0:t>
        </ns0:is>
      </ns0:c>
    </ns0:row>
    <ns0:row r="24" ht="41" customHeight="1">
      <ns0:c r="A24" t="n">
        <ns0:v>18</ns0:v>
      </ns0:c>
      <ns0:c r="B24" s="53" t="inlineStr">
        <ns0:is>
          <ns0:t>Retirement</ns0:t>
        </ns0:is>
      </ns0:c>
      <ns0:c r="C24" s="9" t="inlineStr">
        <ns0:is>
          <ns0:t>Архитектурное завершение инструкции и фиксация результата.</ns0:t>
        </ns0:is>
      </ns0:c>
      <ns0:c r="D24" s="9" t="inlineStr">
        <ns0:is>
          <ns0:t>T3 не регистрирует retirement.</ns0:t>
        </ns0:is>
      </ns0:c>
    </ns0:row>
    <ns0:row r="25" ht="41" customHeight="1">
      <ns0:c r="A25" t="n">
        <ns0:v>19</ns0:v>
      </ns0:c>
      <ns0:c r="B25" s="53" t="inlineStr">
        <ns0:is>
          <ns0:t>RTL</ns0:t>
        </ns0:is>
      </ns0:c>
      <ns0:c r="C25" s="9" t="inlineStr">
        <ns0:is>
          <ns0:t>Register Transfer Level — описание логики цифровой системы.</ns0:t>
        </ns0:is>
      </ns0:c>
      <ns0:c r="D25" s="9" t="inlineStr">
        <ns0:is>
          <ns0:t>RTL-симуляция и FPGA-снимок сравниваются отдельно.</ns0:t>
        </ns0:is>
      </ns0:c>
    </ns0:row>
    <ns0:row r="26" ht="41" customHeight="1">
      <ns0:c r="A26" t="n">
        <ns0:v>20</ns0:v>
      </ns0:c>
      <ns0:c r="B26" s="53" t="inlineStr">
        <ns0:is>
          <ns0:t>T3</ns0:t>
        </ns0:is>
      </ns0:c>
      <ns0:c r="C26" s="9" t="inlineStr">
        <ns0:is>
          <ns0:t>Текстовый протокол передачи TRACE_STATUS и записей E.</ns0:t>
        </ns0:is>
      </ns0:c>
      <ns0:c r="D26" s="9" t="inlineStr">
        <ns0:is>
          <ns0:t>Нет CRC; Z — конец кадра, не контрольная сумма.</ns0:t>
        </ns0:is>
      </ns0:c>
    </ns0:row>
    <ns0:row r="27" ht="41" customHeight="1">
      <ns0:c r="A27" t="n">
        <ns0:v>21</ns0:v>
      </ns0:c>
      <ns0:c r="B27" s="53" t="inlineStr">
        <ns0:is>
          <ns0:t>Cycle</ns0:t>
        </ns0:is>
      </ns0:c>
      <ns0:c r="C27" s="9" t="inlineStr">
        <ns0:is>
          <ns0:t>Сохранённая относительная временная метка события в тактах.</ns0:t>
        </ns0:is>
      </ns0:c>
      <ns0:c r="D27" s="9" t="inlineStr">
        <ns0:is>
          <ns0:t>Не путать с номером завершённой инструкции.</ns0:t>
        </ns0:is>
      </ns0:c>
    </ns0:row>
    <ns0:row r="28" ht="41" customHeight="1">
      <ns0:c r="A28" t="n">
        <ns0:v>22</ns0:v>
      </ns0:c>
      <ns0:c r="B28" s="53" t="inlineStr">
        <ns0:is>
          <ns0:t>SHA-256</ns0:t>
        </ns0:is>
      </ns0:c>
      <ns0:c r="C28" s="9" t="inlineStr">
        <ns0:is>
          <ns0:t>Криптографическая контрольная сумма файла.</ns0:t>
        </ns0:is>
      </ns0:c>
      <ns0:c r="D28" s="9" t="inlineStr">
        <ns0:is>
          <ns0:t>Подтверждает идентичность с известным хешем, не доказывает оптическую работу платы.</ns0:t>
        </ns0:is>
      </ns0:c>
    </ns0:row>
    <ns0:row r="29" ht="41" customHeight="1">
      <ns0:c r="A29" t="n">
        <ns0:v>23</ns0:v>
      </ns0:c>
      <ns0:c r="B29" s="53" t="inlineStr">
        <ns0:is>
          <ns0:t>Opcode</ns0:t>
        </ns0:is>
      </ns0:c>
      <ns0:c r="C29" s="9" t="inlineStr">
        <ns0:is>
          <ns0:t>7 младших бит слова RV32I задают класс команды.</ns0:t>
        </ns0:is>
      </ns0:c>
      <ns0:c r="D29" s="9" t="inlineStr">
        <ns0:is>
          <ns0:t>Например, sw opcode=0100011.</ns0:t>
        </ns0:is>
      </ns0:c>
    </ns0:row>
    <ns0:row r="30" ht="41" customHeight="1">
      <ns0:c r="A30" t="n">
        <ns0:v>24</ns0:v>
      </ns0:c>
      <ns0:c r="B30" s="53" t="inlineStr">
        <ns0:is>
          <ns0:t>ASCII</ns0:t>
        </ns0:is>
      </ns0:c>
      <ns0:c r="C30" s="9" t="inlineStr">
        <ns0:is>
          <ns0:t>Кодировка символов; команды UART — именно символы.</ns0:t>
        </ns0:is>
      </ns0:c>
      <ns0:c r="D30" s="9" t="inlineStr">
        <ns0:is>
          <ns0:t>Символ "4" имеет код 52 (0x34).</ns0:t>
        </ns0:is>
      </ns0:c>
    </ns0:row>
  </ns0:sheetData>
  <ns0:autoFilter ref="A6:D30"/>
  <ns0:mergeCells count="2">
    <ns0:mergeCell ref="A1:N2"/>
    <ns0:mergeCell ref="A3:N3"/>
  </ns0:mergeCells>
  <ns0:hyperlinks>
    <ns0:hyperlink ref="A4" location="'ИНСТРУКЦИЯ'!A1" display="СТАРТ"/>
    <ns0:hyperlink ref="B4" location="'ПУЛЬТ'!A1" display="НАБЛЮДЕНИЕ"/>
    <ns0:hyperlink ref="C4" location="'СРАВНЕНИЕ'!A1" display="СРАВНЕНИЕ"/>
    <ns0:hyperlink ref="D4" location="'МОДЕЛЬ MMIO'!A1" display="LED / MMIO"/>
    <ns0:hyperlink ref="E4" location="'КОМАНДЫ'!A1" display="КОМАНДЫ"/>
    <ns0:hyperlink ref="F4" location="'ЗАХВАТЫ'!A1" display="12 ТРАСС"/>
    <ns0:hyperlink ref="G4" location="'ДАННЫЕ T3'!A1" display="RAW T3"/>
    <ns0:hyperlink ref="H4" location="'ROM LAB03'!A1" display="ROM"/>
    <ns0:hyperlink ref="I4" location="'СЛОВАРЬ'!A1" display="ТЕРМИНЫ"/>
    <ns0:hyperlink ref="J4" location="'ИСТОЧНИКИ'!A1" display="ПРОИСХОЖДЕНИЕ"/>
    <ns0:hyperlink ref="K4" ns1:id="rId1"/>
    <ns0:hyperlink ref="L4" ns1:id="rId2"/>
  </ns0:hyperlinks>
  <ns0:printOptions horizontalCentered="0" gridLines="0"/>
  <ns0:pageMargins left="0.75" right="0.75" top="1" bottom="1" header="0.5" footer="0.5"/>
  <ns0:pageSetup fitToHeight="0" fitToWidth="1"/>
</ns0:worksheet>
</file>

<file path=xl/worksheets/sheet13.xml><?xml version="1.0" encoding="utf-8"?>
<ns0:worksheet xmlns:ns0="http://schemas.openxmlformats.org/spreadsheetml/2006/main" xmlns:ns1="http://schemas.openxmlformats.org/officeDocument/2006/relationships">
  <ns0:sheetPr>
    <ns0:tabColor rgb="005B6B7D"/>
    <ns0:outlinePr summaryBelow="1" summaryRight="1"/>
    <ns0:pageSetUpPr fitToPage="1"/>
  </ns0:sheetPr>
  <ns0:dimension ref="A1:N37"/>
  <ns0:sheetViews>
    <ns0:sheetView showGridLines="0" zoomScale="90" workbookViewId="0">
      <ns0:selection activeCell="A1" sqref="A1"/>
    </ns0:sheetView>
  </ns0:sheetViews>
  <ns0:sheetFormatPr baseColWidth="8" defaultRowHeight="19"/>
  <ns0:cols>
    <ns0:col width="7" customWidth="1" min="1" max="1"/>
    <ns0:col width="26" customWidth="1" min="2" max="2"/>
    <ns0:col width="26" customWidth="1" min="3" max="3"/>
    <ns0:col width="26" customWidth="1" min="4" max="4"/>
    <ns0:col width="26" customWidth="1" min="5" max="5"/>
    <ns0:col width="26" customWidth="1" min="6" max="6"/>
    <ns0:col width="25" customWidth="1" min="7" max="7"/>
    <ns0:col width="25" customWidth="1" min="8" max="8"/>
    <ns0:col width="25" customWidth="1" min="9" max="9"/>
    <ns0:col width="25" customWidth="1" min="10" max="10"/>
    <ns0:col width="16" customWidth="1" min="11" max="11"/>
    <ns0:col width="14" customWidth="1" min="12" max="12"/>
    <ns0:col width="14" customWidth="1" min="13" max="13"/>
    <ns0:col width="14" customWidth="1" min="14" max="14"/>
  </ns0:cols>
  <ns0:sheetData>
    <ns0:row r="1" ht="26" customHeight="1">
      <ns0:c r="A1" s="1" t="inlineStr">
        <ns0:is>
          <ns0:t>ПРОИСХОЖДЕНИЕ И КОНТРОЛЬ</ns0:t>
        </ns0:is>
      </ns0:c>
    </ns0:row>
    <ns0:row r="2" ht="20" customHeight="1"/>
    <ns0:row r="3" ht="29" customHeight="1">
      <ns0:c r="A3" s="3" t="inlineStr">
        <ns0:is>
          <ns0:t>Воспроизводимый учебный экспорт настоящих трасс LAB-03.3 • без подмены аппаратных измерений</ns0:t>
        </ns0:is>
      </ns0:c>
    </ns0:row>
    <ns0:row r="4" ht="26" customHeight="1">
      <ns0:c r="A4" s="5" t="inlineStr">
        <ns0:is>
          <ns0:t>СТАРТ</ns0:t>
        </ns0:is>
      </ns0:c>
      <ns0:c r="B4" s="5" t="inlineStr">
        <ns0:is>
          <ns0:t>НАБЛЮДЕНИЕ</ns0:t>
        </ns0:is>
      </ns0:c>
      <ns0:c r="C4" s="5" t="inlineStr">
        <ns0:is>
          <ns0:t>СРАВНЕНИЕ</ns0:t>
        </ns0:is>
      </ns0:c>
      <ns0:c r="D4" s="5" t="inlineStr">
        <ns0:is>
          <ns0:t>LED / MMIO</ns0:t>
        </ns0:is>
      </ns0:c>
      <ns0:c r="E4" s="5" t="inlineStr">
        <ns0:is>
          <ns0:t>КОМАНДЫ</ns0:t>
        </ns0:is>
      </ns0:c>
      <ns0:c r="F4" s="5" t="inlineStr">
        <ns0:is>
          <ns0:t>12 ТРАСС</ns0:t>
        </ns0:is>
      </ns0:c>
      <ns0:c r="G4" s="5" t="inlineStr">
        <ns0:is>
          <ns0:t>RAW T3</ns0:t>
        </ns0:is>
      </ns0:c>
      <ns0:c r="H4" s="5" t="inlineStr">
        <ns0:is>
          <ns0:t>ROM</ns0:t>
        </ns0:is>
      </ns0:c>
      <ns0:c r="I4" s="5" t="inlineStr">
        <ns0:is>
          <ns0:t>ТЕРМИНЫ</ns0:t>
        </ns0:is>
      </ns0:c>
      <ns0:c r="J4" s="4" t="inlineStr">
        <ns0:is>
          <ns0:t>ПРОИСХОЖДЕНИЕ</ns0:t>
        </ns0:is>
      </ns0:c>
      <ns0:c r="K4" s="59" t="inlineStr">
        <ns0:is>
          <ns0:t>БИТЫ 202</ns0:t>
        </ns0:is>
      </ns0:c>
      <ns0:c r="L4" s="59" t="inlineStr">
        <ns0:is>
          <ns0:t>10 КАРТОЧЕК</ns0:t>
        </ns0:is>
      </ns0:c>
    </ns0:row>
    <ns0:row r="6" ht="25" customHeight="1">
      <ns0:c r="A6" s="6" t="inlineStr">
        <ns0:is>
          <ns0:t>ИСТОЧНИКИ АППАРАТНЫХ ДАННЫХ</ns0:t>
        </ns0:is>
      </ns0:c>
    </ns0:row>
    <ns0:row r="8" ht="31" customHeight="1">
      <ns0:c r="B8" s="54" t="inlineStr">
        <ns0:is>
          <ns0:t>GitHub репозиторий</ns0:t>
        </ns0:is>
      </ns0:c>
      <ns0:c r="E8" s="55" t="inlineStr">
        <ns0:is>
          <ns0:t>https://github.com/AIDevelopersMonster/Sipeed-FPGA</ns0:t>
        </ns0:is>
      </ns0:c>
    </ns0:row>
    <ns0:row r="9" ht="31" customHeight="1">
      <ns0:c r="B9" s="54" t="inlineStr">
        <ns0:is>
          <ns0:t>Ветка LAB-03</ns0:t>
        </ns0:is>
      </ns0:c>
      <ns0:c r="E9" s="55" t="inlineStr">
        <ns0:is>
          <ns0:t>https://github.com/AIDevelopersMonster/Sipeed-FPGA/tree/feature/picorv32-lab03-uart-trace</ns0:t>
        </ns0:is>
      </ns0:c>
    </ns0:row>
    <ns0:row r="10" ht="31" customHeight="1">
      <ns0:c r="B10" s="54" t="inlineStr">
        <ns0:is>
          <ns0:t>Observatory v1.1.0</ns0:t>
        </ns0:is>
      </ns0:c>
      <ns0:c r="E10" s="55" t="inlineStr">
        <ns0:is>
          <ns0:t>https://github.com/AIDevelopersMonster/Sipeed-FPGA/tree/feature/picorv32-lab03-uart-trace/docs/lab03/observatory</ns0:t>
        </ns0:is>
      </ns0:c>
    </ns0:row>
    <ns0:row r="11" ht="31" customHeight="1">
      <ns0:c r="B11" s="54" t="inlineStr">
        <ns0:is>
          <ns0:t>Методика по командам</ns0:t>
        </ns0:is>
      </ns0:c>
      <ns0:c r="E11" s="55" t="inlineStr">
        <ns0:is>
          <ns0:t>https://github.com/AIDevelopersMonster/Sipeed-FPGA/tree/feature/picorv32-lab03-uart-trace/docs/lab03/observatory/methodics/ISA_REAL_DATA_RU.md</ns0:t>
        </ns0:is>
      </ns0:c>
    </ns0:row>
    <ns0:row r="14" ht="25" customHeight="1">
      <ns0:c r="A14" s="6" t="inlineStr">
        <ns0:is>
          <ns0:t>КОНТРОЛЬНЫЕ СУММЫ — ФАКТИЧЕСКИ ПРОВЕРЕНЫ ПРИ СОЗДАНИИ</ns0:t>
        </ns0:is>
      </ns0:c>
    </ns0:row>
    <ns0:row r="16" ht="30" customHeight="1">
      <ns0:c r="B16" s="54" t="inlineStr">
        <ns0:is>
          <ns0:t>ROM LAB-03 (256×32 бит)</ns0:t>
        </ns0:is>
      </ns0:c>
      <ns0:c r="E16" s="56" t="inlineStr">
        <ns0:is>
          <ns0:t>14b85bc20ce43cdf4ce09ef1db7a20af5677c1c728c64b71258f6c63ab5b8a3d</ns0:t>
        </ns0:is>
      </ns0:c>
    </ns0:row>
    <ns0:row r="17" ht="30" customHeight="1">
      <ns0:c r="B17" s="54" t="inlineStr">
        <ns0:is>
          <ns0:t>ZIP оригинальных измерений</ns0:t>
        </ns0:is>
      </ns0:c>
      <ns0:c r="E17" s="56" t="inlineStr">
        <ns0:is>
          <ns0:t>ec5196867bb641547decf5f1e5c176c2c0e00ed51e17a0fadb0db2b193cee474</ns0:t>
        </ns0:is>
      </ns0:c>
    </ns0:row>
    <ns0:row r="18" ht="30" customHeight="1">
      <ns0:c r="B18" s="54" t="inlineStr">
        <ns0:is>
          <ns0:t>Заявленный SHA битового потока</ns0:t>
        </ns0:is>
      </ns0:c>
      <ns0:c r="E18" s="56" t="inlineStr">
        <ns0:is>
          <ns0:t>62596847427f0258cb729a8b3c042ab7e0f39a8725990ba39a831b98c6554f13</ns0:t>
        </ns0:is>
      </ns0:c>
    </ns0:row>
    <ns0:row r="21" ht="25" customHeight="1">
      <ns0:c r="A21" s="6" t="inlineStr">
        <ns0:is>
          <ns0:t>ИНЖЕНЕРНЫЕ ОГРАНИЧЕНИЯ</ns0:t>
        </ns0:is>
      </ns0:c>
    </ns0:row>
    <ns0:row r="23" ht="45" customHeight="1">
      <ns0:c r="B23" s="57" t="inlineStr">
        <ns0:is>
          <ns0:t>• 12 аппаратных кадров получены ранее на физической плате Tang Nano 9K; данная электронная таблица лишь воспроизводит уже измеренные события.</ns0:t>
        </ns0:is>
      </ns0:c>
    </ns0:row>
    <ns0:row r="24" ht="45" customHeight="1">
      <ns0:c r="B24" s="57" t="inlineStr">
        <ns0:is>
          <ns0:t>• События представлены в исходном порядке и с относительными аппаратными 16-битными циклами T3; в Excel нет реального цикла CPU, задержки GUI не являются аппаратной временной шкалой.</ns0:t>
        </ns0:is>
      </ns0:c>
    </ns0:row>
    <ns0:row r="25" ht="45" customHeight="1">
      <ns0:c r="B25" s="57" t="inlineStr">
        <ns0:is>
          <ns0:t>• В исходном T3 имеются только FETCH и LED_WRITE; отсутствует регистр архитектурно завершённых инструкций, нет доступа к данным фактических DATA_READ.</ns0:t>
        </ns0:is>
      </ns0:c>
    </ns0:row>
    <ns0:row r="26" ht="45" customHeight="1">
      <ns0:c r="B26" s="57" t="inlineStr">
        <ns0:is>
          <ns0:t>• Факт программирования SRAM и указанная SHA .fs не подтверждены независимым считыванием конфигурационной памяти FPGA.</ns0:t>
        </ns0:is>
      </ns0:c>
    </ns0:row>
    <ns0:row r="27" ht="45" customHeight="1">
      <ns0:c r="B27" s="57" t="inlineStr">
        <ns0:is>
          <ns0:t>• Для команды 5 можно рассчитать маску 0x00000010, но этот ZIP содержит полные аппаратные трассы только команд 0 и 4.</ns0:t>
        </ns0:is>
      </ns0:c>
    </ns0:row>
    <ns0:row r="28" ht="45" customHeight="1">
      <ns0:c r="B28" s="57" t="inlineStr">
        <ns0:is>
          <ns0:t>• Внутри ZIP исторической кампании присутствует старый boot.hex LAB-02; в Excel используется отдельно проверенный настоящий lab03_boot.hex (SHA выше).</ns0:t>
        </ns0:is>
      </ns0:c>
    </ns0:row>
    <ns0:row r="29" ht="45" customHeight="1">
      <ns0:c r="B29" s="57" t="inlineStr">
        <ns0:is>
          <ns0:t>• Этот файл не содержит VBA, Power Query, Web Serial, доступа к COM или внешних ссылок. Входные ячейки меняют только отображение и вычислительную модель.</ns0:t>
        </ns0:is>
      </ns0:c>
    </ns0:row>
    <ns0:row r="33">
      <ns0:c r="B33" s="58" t="inlineStr">
        <ns0:is>
          <ns0:t>Сборка Excel: автономный Python + openpyxl. RAW: 12/12 SHA PASS, ROM: SHA PASS, 269/269 FETCH ROM PASS, CORE sequences 0/4 identical within command. Все номера событий на листах Excel — с 1; в сыром T3 INDEX начинается с 0.</ns0:t>
        </ns0:is>
      </ns0:c>
    </ns0:row>
    <ns0:row r="34"/>
    <ns0:row r="36" ht="41" customHeight="1">
      <ns0:c r="B36" t="inlineStr">
        <ns0:is>
          <ns0:t>Битовый декодер RV32I</ns0:t>
        </ns0:is>
      </ns0:c>
      <ns0:c r="E36" s="131" t="inlineStr">
        <ns0:is>
          <ns0:t>202 слова из LAB-03 ROM; FORMAT I / I-shift / S / B / U / J. Только 29 адресов наблюдались в 12 T3.</ns0:t>
        </ns0:is>
      </ns0:c>
    </ns0:row>
    <ns0:row r="37">
      <ns0:c r="B37" t="inlineStr">
        <ns0:is>
          <ns0:t>ROM SHA256</ns0:t>
        </ns0:is>
      </ns0:c>
      <ns0:c r="E37" t="inlineStr">
        <ns0:is>
          <ns0:t>14b85bc20ce43cdf4ce09ef1db7a20af5677c1c728c64b71258f6c63ab5b8a3d</ns0:t>
        </ns0:is>
      </ns0:c>
    </ns0:row>
  </ns0:sheetData>
  <ns0:mergeCells count="27">
    <ns0:mergeCell ref="B11:D11"/>
    <ns0:mergeCell ref="B33:M34"/>
    <ns0:mergeCell ref="E10:M10"/>
    <ns0:mergeCell ref="B8:D8"/>
    <ns0:mergeCell ref="B23:M23"/>
    <ns0:mergeCell ref="B17:D17"/>
    <ns0:mergeCell ref="E9:M9"/>
    <ns0:mergeCell ref="B29:M29"/>
    <ns0:mergeCell ref="B10:D10"/>
    <ns0:mergeCell ref="A6:N6"/>
    <ns0:mergeCell ref="B28:M28"/>
    <ns0:mergeCell ref="E11:M11"/>
    <ns0:mergeCell ref="B9:D9"/>
    <ns0:mergeCell ref="E16:M16"/>
    <ns0:mergeCell ref="B24:M24"/>
    <ns0:mergeCell ref="A3:N3"/>
    <ns0:mergeCell ref="A21:N21"/>
    <ns0:mergeCell ref="E18:M18"/>
    <ns0:mergeCell ref="B26:M26"/>
    <ns0:mergeCell ref="A14:N14"/>
    <ns0:mergeCell ref="B16:D16"/>
    <ns0:mergeCell ref="A1:N2"/>
    <ns0:mergeCell ref="B25:M25"/>
    <ns0:mergeCell ref="B18:D18"/>
    <ns0:mergeCell ref="E17:M17"/>
    <ns0:mergeCell ref="E8:M8"/>
    <ns0:mergeCell ref="B27:M27"/>
  </ns0:mergeCells>
  <ns0:hyperlinks>
    <ns0:hyperlink ref="A4" location="'ИНСТРУКЦИЯ'!A1" display="СТАРТ"/>
    <ns0:hyperlink ref="B4" location="'ПУЛЬТ'!A1" display="НАБЛЮДЕНИЕ"/>
    <ns0:hyperlink ref="C4" location="'СРАВНЕНИЕ'!A1" display="СРАВНЕНИЕ"/>
    <ns0:hyperlink ref="D4" location="'МОДЕЛЬ MMIO'!A1" display="LED / MMIO"/>
    <ns0:hyperlink ref="E4" location="'КОМАНДЫ'!A1" display="КОМАНДЫ"/>
    <ns0:hyperlink ref="F4" location="'ЗАХВАТЫ'!A1" display="12 ТРАСС"/>
    <ns0:hyperlink ref="G4" location="'ДАННЫЕ T3'!A1" display="RAW T3"/>
    <ns0:hyperlink ref="H4" location="'ROM LAB03'!A1" display="ROM"/>
    <ns0:hyperlink ref="I4" location="'СЛОВАРЬ'!A1" display="ТЕРМИНЫ"/>
    <ns0:hyperlink ref="J4" location="'ИСТОЧНИКИ'!A1" display="ПРОИСХОЖДЕНИЕ"/>
    <ns0:hyperlink ref="K4" ns1:id="rId1"/>
    <ns0:hyperlink ref="L4" ns1:id="rId2"/>
    <ns0:hyperlink ref="E8" ns1:id="rId3"/>
    <ns0:hyperlink ref="E9" ns1:id="rId4"/>
    <ns0:hyperlink ref="E10" ns1:id="rId5"/>
    <ns0:hyperlink ref="E11" ns1:id="rId6"/>
  </ns0:hyperlinks>
  <ns0:printOptions horizontalCentered="0" gridLines="0"/>
  <ns0:pageMargins left="0.75" right="0.75" top="1" bottom="1" header="0.5" footer="0.5"/>
  <ns0:pageSetup fitToHeight="0" fitToWidth="1"/>
</ns0:worksheet>
</file>

<file path=xl/worksheets/sheet14.xml><?xml version="1.0" encoding="utf-8"?>
<ns0:worksheet xmlns:ns0="http://schemas.openxmlformats.org/spreadsheetml/2006/main">
  <ns0:sheetPr>
    <ns0:outlinePr summaryBelow="1" summaryRight="1"/>
    <ns0:pageSetUpPr/>
  </ns0:sheetPr>
  <ns0:dimension ref="B8:I210"/>
  <ns0:sheetViews>
    <ns0:sheetView workbookViewId="0">
      <ns0:selection activeCell="A1" sqref="A1"/>
    </ns0:sheetView>
  </ns0:sheetViews>
  <ns0:sheetFormatPr baseColWidth="8" defaultRowHeight="15"/>
  <ns0:sheetData>
    <ns0:row r="8">
      <ns0:c r="B8" t="inlineStr">
        <ns0:is>
          <ns0:t>field1</ns0:t>
        </ns0:is>
      </ns0:c>
      <ns0:c r="C8" t="inlineStr">
        <ns0:is>
          <ns0:t>field2</ns0:t>
        </ns0:is>
      </ns0:c>
      <ns0:c r="D8" t="inlineStr">
        <ns0:is>
          <ns0:t>field3</ns0:t>
        </ns0:is>
      </ns0:c>
      <ns0:c r="E8" t="inlineStr">
        <ns0:is>
          <ns0:t>field4</ns0:t>
        </ns0:is>
      </ns0:c>
      <ns0:c r="F8" t="inlineStr">
        <ns0:is>
          <ns0:t>field5</ns0:t>
        </ns0:is>
      </ns0:c>
      <ns0:c r="G8" t="inlineStr">
        <ns0:is>
          <ns0:t>field6</ns0:t>
        </ns0:is>
      </ns0:c>
      <ns0:c r="H8" t="inlineStr">
        <ns0:is>
          <ns0:t>field7</ns0:t>
        </ns0:is>
      </ns0:c>
      <ns0:c r="I8" t="inlineStr">
        <ns0:is>
          <ns0:t>field8</ns0:t>
        </ns0:is>
      </ns0:c>
    </ns0:row>
    <ns0:row r="9">
      <ns0:c r="B9" t="inlineStr">
        <ns0:is>
          <ns0:t>20-битная константа; значение в rd = imm &lt;&lt; 12</ns0:t>
        </ns0:is>
      </ns0:c>
      <ns0:c r="C9" t="inlineStr">
        <ns0:is>
          <ns0:t>Приёмник x5 = t0</ns0:t>
        </ns0:is>
      </ns0:c>
      <ns0:c r="D9" t="inlineStr">
        <ns0:is>
          <ns0:t>0110111: LUI</ns0:t>
        </ns0:is>
      </ns0:c>
    </ns0:row>
    <ns0:row r="10">
      <ns0:c r="B10" t="inlineStr">
        <ns0:is>
          <ns0:t>Старшие биты смещения со знаком</ns0:t>
        </ns0:is>
      </ns0:c>
      <ns0:c r="C10" t="inlineStr">
        <ns0:is>
          <ns0:t>Источник записываемых данных: x0 = zero</ns0:t>
        </ns0:is>
      </ns0:c>
      <ns0:c r="D10" t="inlineStr">
        <ns0:is>
          <ns0:t>Базовый адрес: x5 = t0</ns0:t>
        </ns0:is>
      </ns0:c>
      <ns0:c r="E10" t="inlineStr">
        <ns0:is>
          <ns0:t>010 = SW: запись 32-битного слова</ns0:t>
        </ns0:is>
      </ns0:c>
      <ns0:c r="F10" t="inlineStr">
        <ns0:is>
          <ns0:t>Младшие биты смещения</ns0:t>
        </ns0:is>
      </ns0:c>
      <ns0:c r="G10" t="inlineStr">
        <ns0:is>
          <ns0:t>0100011: STORE</ns0:t>
        </ns0:is>
      </ns0:c>
    </ns0:row>
    <ns0:row r="11">
      <ns0:c r="B11" t="inlineStr">
        <ns0:is>
          <ns0:t>12-битная константа; в RV32I знаково расширяется</ns0:t>
        </ns0:is>
      </ns0:c>
      <ns0:c r="C11" t="inlineStr">
        <ns0:is>
          <ns0:t>Исходный регистр x0 = zero</ns0:t>
        </ns0:is>
      </ns0:c>
      <ns0:c r="D11" t="inlineStr">
        <ns0:is>
          <ns0:t>000=ADDI, 111=ANDI</ns0:t>
        </ns0:is>
      </ns0:c>
      <ns0:c r="E11" t="inlineStr">
        <ns0:is>
          <ns0:t>Приёмник x6 = t1</ns0:t>
        </ns0:is>
      </ns0:c>
      <ns0:c r="F11" t="inlineStr">
        <ns0:is>
          <ns0:t>0010011: OP-IMM</ns0:t>
        </ns0:is>
      </ns0:c>
    </ns0:row>
    <ns0:row r="12">
      <ns0:c r="B12" t="inlineStr">
        <ns0:is>
          <ns0:t>Знаковый бит PC-относительного перехода</ns0:t>
        </ns0:is>
      </ns0:c>
      <ns0:c r="C12" t="inlineStr">
        <ns0:is>
          <ns0:t>Средние биты адресного смещения</ns0:t>
        </ns0:is>
      </ns0:c>
      <ns0:c r="D12" t="inlineStr">
        <ns0:is>
          <ns0:t>Переставленный бит смещения</ns0:t>
        </ns0:is>
      </ns0:c>
      <ns0:c r="E12" t="inlineStr">
        <ns0:is>
          <ns0:t>Биты смещения перехода</ns0:t>
        </ns0:is>
      </ns0:c>
      <ns0:c r="F12" t="inlineStr">
        <ns0:is>
          <ns0:t>Приёмник адреса возврата: x1 = ra</ns0:t>
        </ns0:is>
      </ns0:c>
      <ns0:c r="G12" t="inlineStr">
        <ns0:is>
          <ns0:t>1101111: JAL</ns0:t>
        </ns0:is>
      </ns0:c>
    </ns0:row>
    <ns0:row r="13">
      <ns0:c r="B13" t="inlineStr">
        <ns0:is>
          <ns0:t>12-битная константа; в RV32I знаково расширяется</ns0:t>
        </ns0:is>
      </ns0:c>
      <ns0:c r="C13" t="inlineStr">
        <ns0:is>
          <ns0:t>Исходный регистр x0 = zero</ns0:t>
        </ns0:is>
      </ns0:c>
      <ns0:c r="D13" t="inlineStr">
        <ns0:is>
          <ns0:t>000=ADDI, 111=ANDI</ns0:t>
        </ns0:is>
      </ns0:c>
      <ns0:c r="E13" t="inlineStr">
        <ns0:is>
          <ns0:t>Приёмник x6 = t1</ns0:t>
        </ns0:is>
      </ns0:c>
      <ns0:c r="F13" t="inlineStr">
        <ns0:is>
          <ns0:t>0010011: OP-IMM</ns0:t>
        </ns0:is>
      </ns0:c>
    </ns0:row>
    <ns0:row r="14">
      <ns0:c r="B14" t="inlineStr">
        <ns0:is>
          <ns0:t>Знаковый бит PC-относительного перехода</ns0:t>
        </ns0:is>
      </ns0:c>
      <ns0:c r="C14" t="inlineStr">
        <ns0:is>
          <ns0:t>Средние биты адресного смещения</ns0:t>
        </ns0:is>
      </ns0:c>
      <ns0:c r="D14" t="inlineStr">
        <ns0:is>
          <ns0:t>Переставленный бит смещения</ns0:t>
        </ns0:is>
      </ns0:c>
      <ns0:c r="E14" t="inlineStr">
        <ns0:is>
          <ns0:t>Биты смещения перехода</ns0:t>
        </ns0:is>
      </ns0:c>
      <ns0:c r="F14" t="inlineStr">
        <ns0:is>
          <ns0:t>Приёмник адреса возврата: x1 = ra</ns0:t>
        </ns0:is>
      </ns0:c>
      <ns0:c r="G14" t="inlineStr">
        <ns0:is>
          <ns0:t>1101111: JAL</ns0:t>
        </ns0:is>
      </ns0:c>
    </ns0:row>
    <ns0:row r="15">
      <ns0:c r="B15" t="inlineStr">
        <ns0:is>
          <ns0:t>12-битная константа; в RV32I знаково расширяется</ns0:t>
        </ns0:is>
      </ns0:c>
      <ns0:c r="C15" t="inlineStr">
        <ns0:is>
          <ns0:t>Исходный регистр x0 = zero</ns0:t>
        </ns0:is>
      </ns0:c>
      <ns0:c r="D15" t="inlineStr">
        <ns0:is>
          <ns0:t>000=ADDI, 111=ANDI</ns0:t>
        </ns0:is>
      </ns0:c>
      <ns0:c r="E15" t="inlineStr">
        <ns0:is>
          <ns0:t>Приёмник x6 = t1</ns0:t>
        </ns0:is>
      </ns0:c>
      <ns0:c r="F15" t="inlineStr">
        <ns0:is>
          <ns0:t>0010011: OP-IMM</ns0:t>
        </ns0:is>
      </ns0:c>
    </ns0:row>
    <ns0:row r="16">
      <ns0:c r="B16" t="inlineStr">
        <ns0:is>
          <ns0:t>Знаковый бит PC-относительного перехода</ns0:t>
        </ns0:is>
      </ns0:c>
      <ns0:c r="C16" t="inlineStr">
        <ns0:is>
          <ns0:t>Средние биты адресного смещения</ns0:t>
        </ns0:is>
      </ns0:c>
      <ns0:c r="D16" t="inlineStr">
        <ns0:is>
          <ns0:t>Переставленный бит смещения</ns0:t>
        </ns0:is>
      </ns0:c>
      <ns0:c r="E16" t="inlineStr">
        <ns0:is>
          <ns0:t>Биты смещения перехода</ns0:t>
        </ns0:is>
      </ns0:c>
      <ns0:c r="F16" t="inlineStr">
        <ns0:is>
          <ns0:t>Приёмник адреса возврата: x1 = ra</ns0:t>
        </ns0:is>
      </ns0:c>
      <ns0:c r="G16" t="inlineStr">
        <ns0:is>
          <ns0:t>1101111: JAL</ns0:t>
        </ns0:is>
      </ns0:c>
    </ns0:row>
    <ns0:row r="17">
      <ns0:c r="B17" t="inlineStr">
        <ns0:is>
          <ns0:t>12-битная константа; в RV32I знаково расширяется</ns0:t>
        </ns0:is>
      </ns0:c>
      <ns0:c r="C17" t="inlineStr">
        <ns0:is>
          <ns0:t>Исходный регистр x0 = zero</ns0:t>
        </ns0:is>
      </ns0:c>
      <ns0:c r="D17" t="inlineStr">
        <ns0:is>
          <ns0:t>000=ADDI, 111=ANDI</ns0:t>
        </ns0:is>
      </ns0:c>
      <ns0:c r="E17" t="inlineStr">
        <ns0:is>
          <ns0:t>Приёмник x6 = t1</ns0:t>
        </ns0:is>
      </ns0:c>
      <ns0:c r="F17" t="inlineStr">
        <ns0:is>
          <ns0:t>0010011: OP-IMM</ns0:t>
        </ns0:is>
      </ns0:c>
    </ns0:row>
    <ns0:row r="18">
      <ns0:c r="B18" t="inlineStr">
        <ns0:is>
          <ns0:t>Знаковый бит PC-относительного перехода</ns0:t>
        </ns0:is>
      </ns0:c>
      <ns0:c r="C18" t="inlineStr">
        <ns0:is>
          <ns0:t>Средние биты адресного смещения</ns0:t>
        </ns0:is>
      </ns0:c>
      <ns0:c r="D18" t="inlineStr">
        <ns0:is>
          <ns0:t>Переставленный бит смещения</ns0:t>
        </ns0:is>
      </ns0:c>
      <ns0:c r="E18" t="inlineStr">
        <ns0:is>
          <ns0:t>Биты смещения перехода</ns0:t>
        </ns0:is>
      </ns0:c>
      <ns0:c r="F18" t="inlineStr">
        <ns0:is>
          <ns0:t>Приёмник адреса возврата: x1 = ra</ns0:t>
        </ns0:is>
      </ns0:c>
      <ns0:c r="G18" t="inlineStr">
        <ns0:is>
          <ns0:t>1101111: JAL</ns0:t>
        </ns0:is>
      </ns0:c>
    </ns0:row>
    <ns0:row r="19">
      <ns0:c r="B19" t="inlineStr">
        <ns0:is>
          <ns0:t>12-битная константа; в RV32I знаково расширяется</ns0:t>
        </ns0:is>
      </ns0:c>
      <ns0:c r="C19" t="inlineStr">
        <ns0:is>
          <ns0:t>Исходный регистр x0 = zero</ns0:t>
        </ns0:is>
      </ns0:c>
      <ns0:c r="D19" t="inlineStr">
        <ns0:is>
          <ns0:t>000=ADDI, 111=ANDI</ns0:t>
        </ns0:is>
      </ns0:c>
      <ns0:c r="E19" t="inlineStr">
        <ns0:is>
          <ns0:t>Приёмник x6 = t1</ns0:t>
        </ns0:is>
      </ns0:c>
      <ns0:c r="F19" t="inlineStr">
        <ns0:is>
          <ns0:t>0010011: OP-IMM</ns0:t>
        </ns0:is>
      </ns0:c>
    </ns0:row>
    <ns0:row r="20">
      <ns0:c r="B20" t="inlineStr">
        <ns0:is>
          <ns0:t>Знаковый бит PC-относительного перехода</ns0:t>
        </ns0:is>
      </ns0:c>
      <ns0:c r="C20" t="inlineStr">
        <ns0:is>
          <ns0:t>Средние биты адресного смещения</ns0:t>
        </ns0:is>
      </ns0:c>
      <ns0:c r="D20" t="inlineStr">
        <ns0:is>
          <ns0:t>Переставленный бит смещения</ns0:t>
        </ns0:is>
      </ns0:c>
      <ns0:c r="E20" t="inlineStr">
        <ns0:is>
          <ns0:t>Биты смещения перехода</ns0:t>
        </ns0:is>
      </ns0:c>
      <ns0:c r="F20" t="inlineStr">
        <ns0:is>
          <ns0:t>Приёмник адреса возврата: x1 = ra</ns0:t>
        </ns0:is>
      </ns0:c>
      <ns0:c r="G20" t="inlineStr">
        <ns0:is>
          <ns0:t>1101111: JAL</ns0:t>
        </ns0:is>
      </ns0:c>
    </ns0:row>
    <ns0:row r="21">
      <ns0:c r="B21" t="inlineStr">
        <ns0:is>
          <ns0:t>12-битная константа; в RV32I знаково расширяется</ns0:t>
        </ns0:is>
      </ns0:c>
      <ns0:c r="C21" t="inlineStr">
        <ns0:is>
          <ns0:t>Исходный регистр x0 = zero</ns0:t>
        </ns0:is>
      </ns0:c>
      <ns0:c r="D21" t="inlineStr">
        <ns0:is>
          <ns0:t>000=ADDI, 111=ANDI</ns0:t>
        </ns0:is>
      </ns0:c>
      <ns0:c r="E21" t="inlineStr">
        <ns0:is>
          <ns0:t>Приёмник x6 = t1</ns0:t>
        </ns0:is>
      </ns0:c>
      <ns0:c r="F21" t="inlineStr">
        <ns0:is>
          <ns0:t>0010011: OP-IMM</ns0:t>
        </ns0:is>
      </ns0:c>
    </ns0:row>
    <ns0:row r="22">
      <ns0:c r="B22" t="inlineStr">
        <ns0:is>
          <ns0:t>Знаковый бит PC-относительного перехода</ns0:t>
        </ns0:is>
      </ns0:c>
      <ns0:c r="C22" t="inlineStr">
        <ns0:is>
          <ns0:t>Средние биты адресного смещения</ns0:t>
        </ns0:is>
      </ns0:c>
      <ns0:c r="D22" t="inlineStr">
        <ns0:is>
          <ns0:t>Переставленный бит смещения</ns0:t>
        </ns0:is>
      </ns0:c>
      <ns0:c r="E22" t="inlineStr">
        <ns0:is>
          <ns0:t>Биты смещения перехода</ns0:t>
        </ns0:is>
      </ns0:c>
      <ns0:c r="F22" t="inlineStr">
        <ns0:is>
          <ns0:t>Приёмник адреса возврата: x1 = ra</ns0:t>
        </ns0:is>
      </ns0:c>
      <ns0:c r="G22" t="inlineStr">
        <ns0:is>
          <ns0:t>1101111: JAL</ns0:t>
        </ns0:is>
      </ns0:c>
    </ns0:row>
    <ns0:row r="23">
      <ns0:c r="B23" t="inlineStr">
        <ns0:is>
          <ns0:t>Знаковое 12-битное смещение от базового адреса</ns0:t>
        </ns0:is>
      </ns0:c>
      <ns0:c r="C23" t="inlineStr">
        <ns0:is>
          <ns0:t>Базовый регистр x5 = t0</ns0:t>
        </ns0:is>
      </ns0:c>
      <ns0:c r="D23" t="inlineStr">
        <ns0:is>
          <ns0:t>010 = LW: загрузка 32-битного слова</ns0:t>
        </ns0:is>
      </ns0:c>
      <ns0:c r="E23" t="inlineStr">
        <ns0:is>
          <ns0:t>Приёмник x7 = t2</ns0:t>
        </ns0:is>
      </ns0:c>
      <ns0:c r="F23" t="inlineStr">
        <ns0:is>
          <ns0:t>0000011: LOAD</ns0:t>
        </ns0:is>
      </ns0:c>
    </ns0:row>
    <ns0:row r="24">
      <ns0:c r="B24" t="inlineStr">
        <ns0:is>
          <ns0:t>12-битная константа; в RV32I знаково расширяется</ns0:t>
        </ns0:is>
      </ns0:c>
      <ns0:c r="C24" t="inlineStr">
        <ns0:is>
          <ns0:t>Исходный регистр x7 = t2</ns0:t>
        </ns0:is>
      </ns0:c>
      <ns0:c r="D24" t="inlineStr">
        <ns0:is>
          <ns0:t>000=ADDI, 111=ANDI</ns0:t>
        </ns0:is>
      </ns0:c>
      <ns0:c r="E24" t="inlineStr">
        <ns0:is>
          <ns0:t>Приёмник x7 = t2</ns0:t>
        </ns0:is>
      </ns0:c>
      <ns0:c r="F24" t="inlineStr">
        <ns0:is>
          <ns0:t>0010011: OP-IMM</ns0:t>
        </ns0:is>
      </ns0:c>
    </ns0:row>
    <ns0:row r="25">
      <ns0:c r="B25" t="inlineStr">
        <ns0:is>
          <ns0:t>Знаковый бит ветвления</ns0:t>
        </ns0:is>
      </ns0:c>
      <ns0:c r="C25" t="inlineStr">
        <ns0:is>
          <ns0:t>Старшие биты смещения</ns0:t>
        </ns0:is>
      </ns0:c>
      <ns0:c r="D25" t="inlineStr">
        <ns0:is>
          <ns0:t>Второй сравниваемый регистр x0 = zero</ns0:t>
        </ns0:is>
      </ns0:c>
      <ns0:c r="E25" t="inlineStr">
        <ns0:is>
          <ns0:t>Первый сравниваемый регистр x7 = t2</ns0:t>
        </ns0:is>
      </ns0:c>
      <ns0:c r="F25" t="inlineStr">
        <ns0:is>
          <ns0:t>000=BEQ, 001=BNE</ns0:t>
        </ns0:is>
      </ns0:c>
      <ns0:c r="G25" t="inlineStr">
        <ns0:is>
          <ns0:t>Младшая группа байтового смещения; bit0=0</ns0:t>
        </ns0:is>
      </ns0:c>
      <ns0:c r="H25" t="inlineStr">
        <ns0:is>
          <ns0:t>Переставленный бит смещения</ns0:t>
        </ns0:is>
      </ns0:c>
      <ns0:c r="I25" t="inlineStr">
        <ns0:is>
          <ns0:t>1100011: BRANCH</ns0:t>
        </ns0:is>
      </ns0:c>
    </ns0:row>
    <ns0:row r="26">
      <ns0:c r="B26" t="inlineStr">
        <ns0:is>
          <ns0:t>Знаковое 12-битное смещение от базового адреса</ns0:t>
        </ns0:is>
      </ns0:c>
      <ns0:c r="C26" t="inlineStr">
        <ns0:is>
          <ns0:t>Базовый регистр x5 = t0</ns0:t>
        </ns0:is>
      </ns0:c>
      <ns0:c r="D26" t="inlineStr">
        <ns0:is>
          <ns0:t>010 = LW: загрузка 32-битного слова</ns0:t>
        </ns0:is>
      </ns0:c>
      <ns0:c r="E26" t="inlineStr">
        <ns0:is>
          <ns0:t>Приёмник x28 = t3</ns0:t>
        </ns0:is>
      </ns0:c>
      <ns0:c r="F26" t="inlineStr">
        <ns0:is>
          <ns0:t>0000011: LOAD</ns0:t>
        </ns0:is>
      </ns0:c>
    </ns0:row>
    <ns0:row r="27">
      <ns0:c r="B27" t="inlineStr">
        <ns0:is>
          <ns0:t>12-битная константа; в RV32I знаково расширяется</ns0:t>
        </ns0:is>
      </ns0:c>
      <ns0:c r="C27" t="inlineStr">
        <ns0:is>
          <ns0:t>Исходный регистр x0 = zero</ns0:t>
        </ns0:is>
      </ns0:c>
      <ns0:c r="D27" t="inlineStr">
        <ns0:is>
          <ns0:t>000=ADDI, 111=ANDI</ns0:t>
        </ns0:is>
      </ns0:c>
      <ns0:c r="E27" t="inlineStr">
        <ns0:is>
          <ns0:t>Приёмник x8 = s0</ns0:t>
        </ns0:is>
      </ns0:c>
      <ns0:c r="F27" t="inlineStr">
        <ns0:is>
          <ns0:t>0010011: OP-IMM</ns0:t>
        </ns0:is>
      </ns0:c>
    </ns0:row>
    <ns0:row r="28">
      <ns0:c r="B28" t="inlineStr">
        <ns0:is>
          <ns0:t>Знаковый бит ветвления</ns0:t>
        </ns0:is>
      </ns0:c>
      <ns0:c r="C28" t="inlineStr">
        <ns0:is>
          <ns0:t>Старшие биты смещения</ns0:t>
        </ns0:is>
      </ns0:c>
      <ns0:c r="D28" t="inlineStr">
        <ns0:is>
          <ns0:t>Второй сравниваемый регистр x8 = s0</ns0:t>
        </ns0:is>
      </ns0:c>
      <ns0:c r="E28" t="inlineStr">
        <ns0:is>
          <ns0:t>Первый сравниваемый регистр x28 = t3</ns0:t>
        </ns0:is>
      </ns0:c>
      <ns0:c r="F28" t="inlineStr">
        <ns0:is>
          <ns0:t>000=BEQ, 001=BNE</ns0:t>
        </ns0:is>
      </ns0:c>
      <ns0:c r="G28" t="inlineStr">
        <ns0:is>
          <ns0:t>Младшая группа байтового смещения; bit0=0</ns0:t>
        </ns0:is>
      </ns0:c>
      <ns0:c r="H28" t="inlineStr">
        <ns0:is>
          <ns0:t>Переставленный бит смещения</ns0:t>
        </ns0:is>
      </ns0:c>
      <ns0:c r="I28" t="inlineStr">
        <ns0:is>
          <ns0:t>1100011: BRANCH</ns0:t>
        </ns0:is>
      </ns0:c>
    </ns0:row>
    <ns0:row r="29">
      <ns0:c r="B29" t="inlineStr">
        <ns0:is>
          <ns0:t>12-битная константа; в RV32I знаково расширяется</ns0:t>
        </ns0:is>
      </ns0:c>
      <ns0:c r="C29" t="inlineStr">
        <ns0:is>
          <ns0:t>Исходный регистр x0 = zero</ns0:t>
        </ns0:is>
      </ns0:c>
      <ns0:c r="D29" t="inlineStr">
        <ns0:is>
          <ns0:t>000=ADDI, 111=ANDI</ns0:t>
        </ns0:is>
      </ns0:c>
      <ns0:c r="E29" t="inlineStr">
        <ns0:is>
          <ns0:t>Приёмник x8 = s0</ns0:t>
        </ns0:is>
      </ns0:c>
      <ns0:c r="F29" t="inlineStr">
        <ns0:is>
          <ns0:t>0010011: OP-IMM</ns0:t>
        </ns0:is>
      </ns0:c>
    </ns0:row>
    <ns0:row r="30">
      <ns0:c r="B30" t="inlineStr">
        <ns0:is>
          <ns0:t>Знаковый бит ветвления</ns0:t>
        </ns0:is>
      </ns0:c>
      <ns0:c r="C30" t="inlineStr">
        <ns0:is>
          <ns0:t>Старшие биты смещения</ns0:t>
        </ns0:is>
      </ns0:c>
      <ns0:c r="D30" t="inlineStr">
        <ns0:is>
          <ns0:t>Второй сравниваемый регистр x8 = s0</ns0:t>
        </ns0:is>
      </ns0:c>
      <ns0:c r="E30" t="inlineStr">
        <ns0:is>
          <ns0:t>Первый сравниваемый регистр x28 = t3</ns0:t>
        </ns0:is>
      </ns0:c>
      <ns0:c r="F30" t="inlineStr">
        <ns0:is>
          <ns0:t>000=BEQ, 001=BNE</ns0:t>
        </ns0:is>
      </ns0:c>
      <ns0:c r="G30" t="inlineStr">
        <ns0:is>
          <ns0:t>Младшая группа байтового смещения; bit0=0</ns0:t>
        </ns0:is>
      </ns0:c>
      <ns0:c r="H30" t="inlineStr">
        <ns0:is>
          <ns0:t>Переставленный бит смещения</ns0:t>
        </ns0:is>
      </ns0:c>
      <ns0:c r="I30" t="inlineStr">
        <ns0:is>
          <ns0:t>1100011: BRANCH</ns0:t>
        </ns0:is>
      </ns0:c>
    </ns0:row>
    <ns0:row r="31">
      <ns0:c r="B31" t="inlineStr">
        <ns0:is>
          <ns0:t>12-битная константа; в RV32I знаково расширяется</ns0:t>
        </ns0:is>
      </ns0:c>
      <ns0:c r="C31" t="inlineStr">
        <ns0:is>
          <ns0:t>Исходный регистр x0 = zero</ns0:t>
        </ns0:is>
      </ns0:c>
      <ns0:c r="D31" t="inlineStr">
        <ns0:is>
          <ns0:t>000=ADDI, 111=ANDI</ns0:t>
        </ns0:is>
      </ns0:c>
      <ns0:c r="E31" t="inlineStr">
        <ns0:is>
          <ns0:t>Приёмник x8 = s0</ns0:t>
        </ns0:is>
      </ns0:c>
      <ns0:c r="F31" t="inlineStr">
        <ns0:is>
          <ns0:t>0010011: OP-IMM</ns0:t>
        </ns0:is>
      </ns0:c>
    </ns0:row>
    <ns0:row r="32">
      <ns0:c r="B32" t="inlineStr">
        <ns0:is>
          <ns0:t>Знаковый бит ветвления</ns0:t>
        </ns0:is>
      </ns0:c>
      <ns0:c r="C32" t="inlineStr">
        <ns0:is>
          <ns0:t>Старшие биты смещения</ns0:t>
        </ns0:is>
      </ns0:c>
      <ns0:c r="D32" t="inlineStr">
        <ns0:is>
          <ns0:t>Второй сравниваемый регистр x8 = s0</ns0:t>
        </ns0:is>
      </ns0:c>
      <ns0:c r="E32" t="inlineStr">
        <ns0:is>
          <ns0:t>Первый сравниваемый регистр x28 = t3</ns0:t>
        </ns0:is>
      </ns0:c>
      <ns0:c r="F32" t="inlineStr">
        <ns0:is>
          <ns0:t>000=BEQ, 001=BNE</ns0:t>
        </ns0:is>
      </ns0:c>
      <ns0:c r="G32" t="inlineStr">
        <ns0:is>
          <ns0:t>Младшая группа байтового смещения; bit0=0</ns0:t>
        </ns0:is>
      </ns0:c>
      <ns0:c r="H32" t="inlineStr">
        <ns0:is>
          <ns0:t>Переставленный бит смещения</ns0:t>
        </ns0:is>
      </ns0:c>
      <ns0:c r="I32" t="inlineStr">
        <ns0:is>
          <ns0:t>1100011: BRANCH</ns0:t>
        </ns0:is>
      </ns0:c>
    </ns0:row>
    <ns0:row r="33">
      <ns0:c r="B33" t="inlineStr">
        <ns0:is>
          <ns0:t>12-битная константа; в RV32I знаково расширяется</ns0:t>
        </ns0:is>
      </ns0:c>
      <ns0:c r="C33" t="inlineStr">
        <ns0:is>
          <ns0:t>Исходный регистр x0 = zero</ns0:t>
        </ns0:is>
      </ns0:c>
      <ns0:c r="D33" t="inlineStr">
        <ns0:is>
          <ns0:t>000=ADDI, 111=ANDI</ns0:t>
        </ns0:is>
      </ns0:c>
      <ns0:c r="E33" t="inlineStr">
        <ns0:is>
          <ns0:t>Приёмник x8 = s0</ns0:t>
        </ns0:is>
      </ns0:c>
      <ns0:c r="F33" t="inlineStr">
        <ns0:is>
          <ns0:t>0010011: OP-IMM</ns0:t>
        </ns0:is>
      </ns0:c>
    </ns0:row>
    <ns0:row r="34">
      <ns0:c r="B34" t="inlineStr">
        <ns0:is>
          <ns0:t>Знаковый бит ветвления</ns0:t>
        </ns0:is>
      </ns0:c>
      <ns0:c r="C34" t="inlineStr">
        <ns0:is>
          <ns0:t>Старшие биты смещения</ns0:t>
        </ns0:is>
      </ns0:c>
      <ns0:c r="D34" t="inlineStr">
        <ns0:is>
          <ns0:t>Второй сравниваемый регистр x8 = s0</ns0:t>
        </ns0:is>
      </ns0:c>
      <ns0:c r="E34" t="inlineStr">
        <ns0:is>
          <ns0:t>Первый сравниваемый регистр x28 = t3</ns0:t>
        </ns0:is>
      </ns0:c>
      <ns0:c r="F34" t="inlineStr">
        <ns0:is>
          <ns0:t>000=BEQ, 001=BNE</ns0:t>
        </ns0:is>
      </ns0:c>
      <ns0:c r="G34" t="inlineStr">
        <ns0:is>
          <ns0:t>Младшая группа байтового смещения; bit0=0</ns0:t>
        </ns0:is>
      </ns0:c>
      <ns0:c r="H34" t="inlineStr">
        <ns0:is>
          <ns0:t>Переставленный бит смещения</ns0:t>
        </ns0:is>
      </ns0:c>
      <ns0:c r="I34" t="inlineStr">
        <ns0:is>
          <ns0:t>1100011: BRANCH</ns0:t>
        </ns0:is>
      </ns0:c>
    </ns0:row>
    <ns0:row r="35">
      <ns0:c r="B35" t="inlineStr">
        <ns0:is>
          <ns0:t>12-битная константа; в RV32I знаково расширяется</ns0:t>
        </ns0:is>
      </ns0:c>
      <ns0:c r="C35" t="inlineStr">
        <ns0:is>
          <ns0:t>Исходный регистр x0 = zero</ns0:t>
        </ns0:is>
      </ns0:c>
      <ns0:c r="D35" t="inlineStr">
        <ns0:is>
          <ns0:t>000=ADDI, 111=ANDI</ns0:t>
        </ns0:is>
      </ns0:c>
      <ns0:c r="E35" t="inlineStr">
        <ns0:is>
          <ns0:t>Приёмник x8 = s0</ns0:t>
        </ns0:is>
      </ns0:c>
      <ns0:c r="F35" t="inlineStr">
        <ns0:is>
          <ns0:t>0010011: OP-IMM</ns0:t>
        </ns0:is>
      </ns0:c>
    </ns0:row>
    <ns0:row r="36">
      <ns0:c r="B36" t="inlineStr">
        <ns0:is>
          <ns0:t>Знаковый бит ветвления</ns0:t>
        </ns0:is>
      </ns0:c>
      <ns0:c r="C36" t="inlineStr">
        <ns0:is>
          <ns0:t>Старшие биты смещения</ns0:t>
        </ns0:is>
      </ns0:c>
      <ns0:c r="D36" t="inlineStr">
        <ns0:is>
          <ns0:t>Второй сравниваемый регистр x8 = s0</ns0:t>
        </ns0:is>
      </ns0:c>
      <ns0:c r="E36" t="inlineStr">
        <ns0:is>
          <ns0:t>Первый сравниваемый регистр x28 = t3</ns0:t>
        </ns0:is>
      </ns0:c>
      <ns0:c r="F36" t="inlineStr">
        <ns0:is>
          <ns0:t>000=BEQ, 001=BNE</ns0:t>
        </ns0:is>
      </ns0:c>
      <ns0:c r="G36" t="inlineStr">
        <ns0:is>
          <ns0:t>Младшая группа байтового смещения; bit0=0</ns0:t>
        </ns0:is>
      </ns0:c>
      <ns0:c r="H36" t="inlineStr">
        <ns0:is>
          <ns0:t>Переставленный бит смещения</ns0:t>
        </ns0:is>
      </ns0:c>
      <ns0:c r="I36" t="inlineStr">
        <ns0:is>
          <ns0:t>1100011: BRANCH</ns0:t>
        </ns0:is>
      </ns0:c>
    </ns0:row>
    <ns0:row r="37">
      <ns0:c r="B37" t="inlineStr">
        <ns0:is>
          <ns0:t>12-битная константа; в RV32I знаково расширяется</ns0:t>
        </ns0:is>
      </ns0:c>
      <ns0:c r="C37" t="inlineStr">
        <ns0:is>
          <ns0:t>Исходный регистр x0 = zero</ns0:t>
        </ns0:is>
      </ns0:c>
      <ns0:c r="D37" t="inlineStr">
        <ns0:is>
          <ns0:t>000=ADDI, 111=ANDI</ns0:t>
        </ns0:is>
      </ns0:c>
      <ns0:c r="E37" t="inlineStr">
        <ns0:is>
          <ns0:t>Приёмник x8 = s0</ns0:t>
        </ns0:is>
      </ns0:c>
      <ns0:c r="F37" t="inlineStr">
        <ns0:is>
          <ns0:t>0010011: OP-IMM</ns0:t>
        </ns0:is>
      </ns0:c>
    </ns0:row>
    <ns0:row r="38">
      <ns0:c r="B38" t="inlineStr">
        <ns0:is>
          <ns0:t>Знаковый бит ветвления</ns0:t>
        </ns0:is>
      </ns0:c>
      <ns0:c r="C38" t="inlineStr">
        <ns0:is>
          <ns0:t>Старшие биты смещения</ns0:t>
        </ns0:is>
      </ns0:c>
      <ns0:c r="D38" t="inlineStr">
        <ns0:is>
          <ns0:t>Второй сравниваемый регистр x8 = s0</ns0:t>
        </ns0:is>
      </ns0:c>
      <ns0:c r="E38" t="inlineStr">
        <ns0:is>
          <ns0:t>Первый сравниваемый регистр x28 = t3</ns0:t>
        </ns0:is>
      </ns0:c>
      <ns0:c r="F38" t="inlineStr">
        <ns0:is>
          <ns0:t>000=BEQ, 001=BNE</ns0:t>
        </ns0:is>
      </ns0:c>
      <ns0:c r="G38" t="inlineStr">
        <ns0:is>
          <ns0:t>Младшая группа байтового смещения; bit0=0</ns0:t>
        </ns0:is>
      </ns0:c>
      <ns0:c r="H38" t="inlineStr">
        <ns0:is>
          <ns0:t>Переставленный бит смещения</ns0:t>
        </ns0:is>
      </ns0:c>
      <ns0:c r="I38" t="inlineStr">
        <ns0:is>
          <ns0:t>1100011: BRANCH</ns0:t>
        </ns0:is>
      </ns0:c>
    </ns0:row>
    <ns0:row r="39">
      <ns0:c r="B39" t="inlineStr">
        <ns0:is>
          <ns0:t>12-битная константа; в RV32I знаково расширяется</ns0:t>
        </ns0:is>
      </ns0:c>
      <ns0:c r="C39" t="inlineStr">
        <ns0:is>
          <ns0:t>Исходный регистр x0 = zero</ns0:t>
        </ns0:is>
      </ns0:c>
      <ns0:c r="D39" t="inlineStr">
        <ns0:is>
          <ns0:t>000=ADDI, 111=ANDI</ns0:t>
        </ns0:is>
      </ns0:c>
      <ns0:c r="E39" t="inlineStr">
        <ns0:is>
          <ns0:t>Приёмник x8 = s0</ns0:t>
        </ns0:is>
      </ns0:c>
      <ns0:c r="F39" t="inlineStr">
        <ns0:is>
          <ns0:t>0010011: OP-IMM</ns0:t>
        </ns0:is>
      </ns0:c>
    </ns0:row>
    <ns0:row r="40">
      <ns0:c r="B40" t="inlineStr">
        <ns0:is>
          <ns0:t>Знаковый бит ветвления</ns0:t>
        </ns0:is>
      </ns0:c>
      <ns0:c r="C40" t="inlineStr">
        <ns0:is>
          <ns0:t>Старшие биты смещения</ns0:t>
        </ns0:is>
      </ns0:c>
      <ns0:c r="D40" t="inlineStr">
        <ns0:is>
          <ns0:t>Второй сравниваемый регистр x8 = s0</ns0:t>
        </ns0:is>
      </ns0:c>
      <ns0:c r="E40" t="inlineStr">
        <ns0:is>
          <ns0:t>Первый сравниваемый регистр x28 = t3</ns0:t>
        </ns0:is>
      </ns0:c>
      <ns0:c r="F40" t="inlineStr">
        <ns0:is>
          <ns0:t>000=BEQ, 001=BNE</ns0:t>
        </ns0:is>
      </ns0:c>
      <ns0:c r="G40" t="inlineStr">
        <ns0:is>
          <ns0:t>Младшая группа байтового смещения; bit0=0</ns0:t>
        </ns0:is>
      </ns0:c>
      <ns0:c r="H40" t="inlineStr">
        <ns0:is>
          <ns0:t>Переставленный бит смещения</ns0:t>
        </ns0:is>
      </ns0:c>
      <ns0:c r="I40" t="inlineStr">
        <ns0:is>
          <ns0:t>1100011: BRANCH</ns0:t>
        </ns0:is>
      </ns0:c>
    </ns0:row>
    <ns0:row r="41">
      <ns0:c r="B41" t="inlineStr">
        <ns0:is>
          <ns0:t>12-битная константа; в RV32I знаково расширяется</ns0:t>
        </ns0:is>
      </ns0:c>
      <ns0:c r="C41" t="inlineStr">
        <ns0:is>
          <ns0:t>Исходный регистр x0 = zero</ns0:t>
        </ns0:is>
      </ns0:c>
      <ns0:c r="D41" t="inlineStr">
        <ns0:is>
          <ns0:t>000=ADDI, 111=ANDI</ns0:t>
        </ns0:is>
      </ns0:c>
      <ns0:c r="E41" t="inlineStr">
        <ns0:is>
          <ns0:t>Приёмник x8 = s0</ns0:t>
        </ns0:is>
      </ns0:c>
      <ns0:c r="F41" t="inlineStr">
        <ns0:is>
          <ns0:t>0010011: OP-IMM</ns0:t>
        </ns0:is>
      </ns0:c>
    </ns0:row>
    <ns0:row r="42">
      <ns0:c r="B42" t="inlineStr">
        <ns0:is>
          <ns0:t>Знаковый бит ветвления</ns0:t>
        </ns0:is>
      </ns0:c>
      <ns0:c r="C42" t="inlineStr">
        <ns0:is>
          <ns0:t>Старшие биты смещения</ns0:t>
        </ns0:is>
      </ns0:c>
      <ns0:c r="D42" t="inlineStr">
        <ns0:is>
          <ns0:t>Второй сравниваемый регистр x8 = s0</ns0:t>
        </ns0:is>
      </ns0:c>
      <ns0:c r="E42" t="inlineStr">
        <ns0:is>
          <ns0:t>Первый сравниваемый регистр x28 = t3</ns0:t>
        </ns0:is>
      </ns0:c>
      <ns0:c r="F42" t="inlineStr">
        <ns0:is>
          <ns0:t>000=BEQ, 001=BNE</ns0:t>
        </ns0:is>
      </ns0:c>
      <ns0:c r="G42" t="inlineStr">
        <ns0:is>
          <ns0:t>Младшая группа байтового смещения; bit0=0</ns0:t>
        </ns0:is>
      </ns0:c>
      <ns0:c r="H42" t="inlineStr">
        <ns0:is>
          <ns0:t>Переставленный бит смещения</ns0:t>
        </ns0:is>
      </ns0:c>
      <ns0:c r="I42" t="inlineStr">
        <ns0:is>
          <ns0:t>1100011: BRANCH</ns0:t>
        </ns0:is>
      </ns0:c>
    </ns0:row>
    <ns0:row r="43">
      <ns0:c r="B43" t="inlineStr">
        <ns0:is>
          <ns0:t>12-битная константа; в RV32I знаково расширяется</ns0:t>
        </ns0:is>
      </ns0:c>
      <ns0:c r="C43" t="inlineStr">
        <ns0:is>
          <ns0:t>Исходный регистр x0 = zero</ns0:t>
        </ns0:is>
      </ns0:c>
      <ns0:c r="D43" t="inlineStr">
        <ns0:is>
          <ns0:t>000=ADDI, 111=ANDI</ns0:t>
        </ns0:is>
      </ns0:c>
      <ns0:c r="E43" t="inlineStr">
        <ns0:is>
          <ns0:t>Приёмник x8 = s0</ns0:t>
        </ns0:is>
      </ns0:c>
      <ns0:c r="F43" t="inlineStr">
        <ns0:is>
          <ns0:t>0010011: OP-IMM</ns0:t>
        </ns0:is>
      </ns0:c>
    </ns0:row>
    <ns0:row r="44">
      <ns0:c r="B44" t="inlineStr">
        <ns0:is>
          <ns0:t>Знаковый бит ветвления</ns0:t>
        </ns0:is>
      </ns0:c>
      <ns0:c r="C44" t="inlineStr">
        <ns0:is>
          <ns0:t>Старшие биты смещения</ns0:t>
        </ns0:is>
      </ns0:c>
      <ns0:c r="D44" t="inlineStr">
        <ns0:is>
          <ns0:t>Второй сравниваемый регистр x8 = s0</ns0:t>
        </ns0:is>
      </ns0:c>
      <ns0:c r="E44" t="inlineStr">
        <ns0:is>
          <ns0:t>Первый сравниваемый регистр x28 = t3</ns0:t>
        </ns0:is>
      </ns0:c>
      <ns0:c r="F44" t="inlineStr">
        <ns0:is>
          <ns0:t>000=BEQ, 001=BNE</ns0:t>
        </ns0:is>
      </ns0:c>
      <ns0:c r="G44" t="inlineStr">
        <ns0:is>
          <ns0:t>Младшая группа байтового смещения; bit0=0</ns0:t>
        </ns0:is>
      </ns0:c>
      <ns0:c r="H44" t="inlineStr">
        <ns0:is>
          <ns0:t>Переставленный бит смещения</ns0:t>
        </ns0:is>
      </ns0:c>
      <ns0:c r="I44" t="inlineStr">
        <ns0:is>
          <ns0:t>1100011: BRANCH</ns0:t>
        </ns0:is>
      </ns0:c>
    </ns0:row>
    <ns0:row r="45">
      <ns0:c r="B45" t="inlineStr">
        <ns0:is>
          <ns0:t>12-битная константа; в RV32I знаково расширяется</ns0:t>
        </ns0:is>
      </ns0:c>
      <ns0:c r="C45" t="inlineStr">
        <ns0:is>
          <ns0:t>Исходный регистр x0 = zero</ns0:t>
        </ns0:is>
      </ns0:c>
      <ns0:c r="D45" t="inlineStr">
        <ns0:is>
          <ns0:t>000=ADDI, 111=ANDI</ns0:t>
        </ns0:is>
      </ns0:c>
      <ns0:c r="E45" t="inlineStr">
        <ns0:is>
          <ns0:t>Приёмник x8 = s0</ns0:t>
        </ns0:is>
      </ns0:c>
      <ns0:c r="F45" t="inlineStr">
        <ns0:is>
          <ns0:t>0010011: OP-IMM</ns0:t>
        </ns0:is>
      </ns0:c>
    </ns0:row>
    <ns0:row r="46">
      <ns0:c r="B46" t="inlineStr">
        <ns0:is>
          <ns0:t>Знаковый бит ветвления</ns0:t>
        </ns0:is>
      </ns0:c>
      <ns0:c r="C46" t="inlineStr">
        <ns0:is>
          <ns0:t>Старшие биты смещения</ns0:t>
        </ns0:is>
      </ns0:c>
      <ns0:c r="D46" t="inlineStr">
        <ns0:is>
          <ns0:t>Второй сравниваемый регистр x8 = s0</ns0:t>
        </ns0:is>
      </ns0:c>
      <ns0:c r="E46" t="inlineStr">
        <ns0:is>
          <ns0:t>Первый сравниваемый регистр x28 = t3</ns0:t>
        </ns0:is>
      </ns0:c>
      <ns0:c r="F46" t="inlineStr">
        <ns0:is>
          <ns0:t>000=BEQ, 001=BNE</ns0:t>
        </ns0:is>
      </ns0:c>
      <ns0:c r="G46" t="inlineStr">
        <ns0:is>
          <ns0:t>Младшая группа байтового смещения; bit0=0</ns0:t>
        </ns0:is>
      </ns0:c>
      <ns0:c r="H46" t="inlineStr">
        <ns0:is>
          <ns0:t>Переставленный бит смещения</ns0:t>
        </ns0:is>
      </ns0:c>
      <ns0:c r="I46" t="inlineStr">
        <ns0:is>
          <ns0:t>1100011: BRANCH</ns0:t>
        </ns0:is>
      </ns0:c>
    </ns0:row>
    <ns0:row r="47">
      <ns0:c r="B47" t="inlineStr">
        <ns0:is>
          <ns0:t>12-битная константа; в RV32I знаково расширяется</ns0:t>
        </ns0:is>
      </ns0:c>
      <ns0:c r="C47" t="inlineStr">
        <ns0:is>
          <ns0:t>Исходный регистр x0 = zero</ns0:t>
        </ns0:is>
      </ns0:c>
      <ns0:c r="D47" t="inlineStr">
        <ns0:is>
          <ns0:t>000=ADDI, 111=ANDI</ns0:t>
        </ns0:is>
      </ns0:c>
      <ns0:c r="E47" t="inlineStr">
        <ns0:is>
          <ns0:t>Приёмник x8 = s0</ns0:t>
        </ns0:is>
      </ns0:c>
      <ns0:c r="F47" t="inlineStr">
        <ns0:is>
          <ns0:t>0010011: OP-IMM</ns0:t>
        </ns0:is>
      </ns0:c>
    </ns0:row>
    <ns0:row r="48">
      <ns0:c r="B48" t="inlineStr">
        <ns0:is>
          <ns0:t>Знаковый бит ветвления</ns0:t>
        </ns0:is>
      </ns0:c>
      <ns0:c r="C48" t="inlineStr">
        <ns0:is>
          <ns0:t>Старшие биты смещения</ns0:t>
        </ns0:is>
      </ns0:c>
      <ns0:c r="D48" t="inlineStr">
        <ns0:is>
          <ns0:t>Второй сравниваемый регистр x8 = s0</ns0:t>
        </ns0:is>
      </ns0:c>
      <ns0:c r="E48" t="inlineStr">
        <ns0:is>
          <ns0:t>Первый сравниваемый регистр x28 = t3</ns0:t>
        </ns0:is>
      </ns0:c>
      <ns0:c r="F48" t="inlineStr">
        <ns0:is>
          <ns0:t>000=BEQ, 001=BNE</ns0:t>
        </ns0:is>
      </ns0:c>
      <ns0:c r="G48" t="inlineStr">
        <ns0:is>
          <ns0:t>Младшая группа байтового смещения; bit0=0</ns0:t>
        </ns0:is>
      </ns0:c>
      <ns0:c r="H48" t="inlineStr">
        <ns0:is>
          <ns0:t>Переставленный бит смещения</ns0:t>
        </ns0:is>
      </ns0:c>
      <ns0:c r="I48" t="inlineStr">
        <ns0:is>
          <ns0:t>1100011: BRANCH</ns0:t>
        </ns0:is>
      </ns0:c>
    </ns0:row>
    <ns0:row r="49">
      <ns0:c r="B49" t="inlineStr">
        <ns0:is>
          <ns0:t>12-битная константа; в RV32I знаково расширяется</ns0:t>
        </ns0:is>
      </ns0:c>
      <ns0:c r="C49" t="inlineStr">
        <ns0:is>
          <ns0:t>Исходный регистр x0 = zero</ns0:t>
        </ns0:is>
      </ns0:c>
      <ns0:c r="D49" t="inlineStr">
        <ns0:is>
          <ns0:t>000=ADDI, 111=ANDI</ns0:t>
        </ns0:is>
      </ns0:c>
      <ns0:c r="E49" t="inlineStr">
        <ns0:is>
          <ns0:t>Приёмник x8 = s0</ns0:t>
        </ns0:is>
      </ns0:c>
      <ns0:c r="F49" t="inlineStr">
        <ns0:is>
          <ns0:t>0010011: OP-IMM</ns0:t>
        </ns0:is>
      </ns0:c>
    </ns0:row>
    <ns0:row r="50">
      <ns0:c r="B50" t="inlineStr">
        <ns0:is>
          <ns0:t>Знаковый бит ветвления</ns0:t>
        </ns0:is>
      </ns0:c>
      <ns0:c r="C50" t="inlineStr">
        <ns0:is>
          <ns0:t>Старшие биты смещения</ns0:t>
        </ns0:is>
      </ns0:c>
      <ns0:c r="D50" t="inlineStr">
        <ns0:is>
          <ns0:t>Второй сравниваемый регистр x8 = s0</ns0:t>
        </ns0:is>
      </ns0:c>
      <ns0:c r="E50" t="inlineStr">
        <ns0:is>
          <ns0:t>Первый сравниваемый регистр x28 = t3</ns0:t>
        </ns0:is>
      </ns0:c>
      <ns0:c r="F50" t="inlineStr">
        <ns0:is>
          <ns0:t>000=BEQ, 001=BNE</ns0:t>
        </ns0:is>
      </ns0:c>
      <ns0:c r="G50" t="inlineStr">
        <ns0:is>
          <ns0:t>Младшая группа байтового смещения; bit0=0</ns0:t>
        </ns0:is>
      </ns0:c>
      <ns0:c r="H50" t="inlineStr">
        <ns0:is>
          <ns0:t>Переставленный бит смещения</ns0:t>
        </ns0:is>
      </ns0:c>
      <ns0:c r="I50" t="inlineStr">
        <ns0:is>
          <ns0:t>1100011: BRANCH</ns0:t>
        </ns0:is>
      </ns0:c>
    </ns0:row>
    <ns0:row r="51">
      <ns0:c r="B51" t="inlineStr">
        <ns0:is>
          <ns0:t>Знаковый бит PC-относительного перехода</ns0:t>
        </ns0:is>
      </ns0:c>
      <ns0:c r="C51" t="inlineStr">
        <ns0:is>
          <ns0:t>Средние биты адресного смещения</ns0:t>
        </ns0:is>
      </ns0:c>
      <ns0:c r="D51" t="inlineStr">
        <ns0:is>
          <ns0:t>Переставленный бит смещения</ns0:t>
        </ns0:is>
      </ns0:c>
      <ns0:c r="E51" t="inlineStr">
        <ns0:is>
          <ns0:t>Биты смещения перехода</ns0:t>
        </ns0:is>
      </ns0:c>
      <ns0:c r="F51" t="inlineStr">
        <ns0:is>
          <ns0:t>Приёмник адреса возврата: x0 = zero</ns0:t>
        </ns0:is>
      </ns0:c>
      <ns0:c r="G51" t="inlineStr">
        <ns0:is>
          <ns0:t>1101111: JAL</ns0:t>
        </ns0:is>
      </ns0:c>
    </ns0:row>
    <ns0:row r="52">
      <ns0:c r="B52" t="inlineStr">
        <ns0:is>
          <ns0:t>12-битная константа; в RV32I знаково расширяется</ns0:t>
        </ns0:is>
      </ns0:c>
      <ns0:c r="C52" t="inlineStr">
        <ns0:is>
          <ns0:t>Исходный регистр x0 = zero</ns0:t>
        </ns0:is>
      </ns0:c>
      <ns0:c r="D52" t="inlineStr">
        <ns0:is>
          <ns0:t>000=ADDI, 111=ANDI</ns0:t>
        </ns0:is>
      </ns0:c>
      <ns0:c r="E52" t="inlineStr">
        <ns0:is>
          <ns0:t>Приёмник x29 = t4</ns0:t>
        </ns0:is>
      </ns0:c>
      <ns0:c r="F52" t="inlineStr">
        <ns0:is>
          <ns0:t>0010011: OP-IMM</ns0:t>
        </ns0:is>
      </ns0:c>
    </ns0:row>
    <ns0:row r="53">
      <ns0:c r="B53" t="inlineStr">
        <ns0:is>
          <ns0:t>12-битная константа; в RV32I знаково расширяется</ns0:t>
        </ns0:is>
      </ns0:c>
      <ns0:c r="C53" t="inlineStr">
        <ns0:is>
          <ns0:t>Исходный регистр x0 = zero</ns0:t>
        </ns0:is>
      </ns0:c>
      <ns0:c r="D53" t="inlineStr">
        <ns0:is>
          <ns0:t>000=ADDI, 111=ANDI</ns0:t>
        </ns0:is>
      </ns0:c>
      <ns0:c r="E53" t="inlineStr">
        <ns0:is>
          <ns0:t>Приёмник x30 = t5</ns0:t>
        </ns0:is>
      </ns0:c>
      <ns0:c r="F53" t="inlineStr">
        <ns0:is>
          <ns0:t>0010011: OP-IMM</ns0:t>
        </ns0:is>
      </ns0:c>
    </ns0:row>
    <ns0:row r="54">
      <ns0:c r="B54" t="inlineStr">
        <ns0:is>
          <ns0:t>Знаковый бит PC-относительного перехода</ns0:t>
        </ns0:is>
      </ns0:c>
      <ns0:c r="C54" t="inlineStr">
        <ns0:is>
          <ns0:t>Средние биты адресного смещения</ns0:t>
        </ns0:is>
      </ns0:c>
      <ns0:c r="D54" t="inlineStr">
        <ns0:is>
          <ns0:t>Переставленный бит смещения</ns0:t>
        </ns0:is>
      </ns0:c>
      <ns0:c r="E54" t="inlineStr">
        <ns0:is>
          <ns0:t>Биты смещения перехода</ns0:t>
        </ns0:is>
      </ns0:c>
      <ns0:c r="F54" t="inlineStr">
        <ns0:is>
          <ns0:t>Приёмник адреса возврата: x0 = zero</ns0:t>
        </ns0:is>
      </ns0:c>
      <ns0:c r="G54" t="inlineStr">
        <ns0:is>
          <ns0:t>1101111: JAL</ns0:t>
        </ns0:is>
      </ns0:c>
    </ns0:row>
    <ns0:row r="55">
      <ns0:c r="B55" t="inlineStr">
        <ns0:is>
          <ns0:t>12-битная константа; в RV32I знаково расширяется</ns0:t>
        </ns0:is>
      </ns0:c>
      <ns0:c r="C55" t="inlineStr">
        <ns0:is>
          <ns0:t>Исходный регистр x0 = zero</ns0:t>
        </ns0:is>
      </ns0:c>
      <ns0:c r="D55" t="inlineStr">
        <ns0:is>
          <ns0:t>000=ADDI, 111=ANDI</ns0:t>
        </ns0:is>
      </ns0:c>
      <ns0:c r="E55" t="inlineStr">
        <ns0:is>
          <ns0:t>Приёмник x29 = t4</ns0:t>
        </ns0:is>
      </ns0:c>
      <ns0:c r="F55" t="inlineStr">
        <ns0:is>
          <ns0:t>0010011: OP-IMM</ns0:t>
        </ns0:is>
      </ns0:c>
    </ns0:row>
    <ns0:row r="56">
      <ns0:c r="B56" t="inlineStr">
        <ns0:is>
          <ns0:t>12-битная константа; в RV32I знаково расширяется</ns0:t>
        </ns0:is>
      </ns0:c>
      <ns0:c r="C56" t="inlineStr">
        <ns0:is>
          <ns0:t>Исходный регистр x0 = zero</ns0:t>
        </ns0:is>
      </ns0:c>
      <ns0:c r="D56" t="inlineStr">
        <ns0:is>
          <ns0:t>000=ADDI, 111=ANDI</ns0:t>
        </ns0:is>
      </ns0:c>
      <ns0:c r="E56" t="inlineStr">
        <ns0:is>
          <ns0:t>Приёмник x30 = t5</ns0:t>
        </ns0:is>
      </ns0:c>
      <ns0:c r="F56" t="inlineStr">
        <ns0:is>
          <ns0:t>0010011: OP-IMM</ns0:t>
        </ns0:is>
      </ns0:c>
    </ns0:row>
    <ns0:row r="57">
      <ns0:c r="B57" t="inlineStr">
        <ns0:is>
          <ns0:t>Знаковый бит PC-относительного перехода</ns0:t>
        </ns0:is>
      </ns0:c>
      <ns0:c r="C57" t="inlineStr">
        <ns0:is>
          <ns0:t>Средние биты адресного смещения</ns0:t>
        </ns0:is>
      </ns0:c>
      <ns0:c r="D57" t="inlineStr">
        <ns0:is>
          <ns0:t>Переставленный бит смещения</ns0:t>
        </ns0:is>
      </ns0:c>
      <ns0:c r="E57" t="inlineStr">
        <ns0:is>
          <ns0:t>Биты смещения перехода</ns0:t>
        </ns0:is>
      </ns0:c>
      <ns0:c r="F57" t="inlineStr">
        <ns0:is>
          <ns0:t>Приёмник адреса возврата: x0 = zero</ns0:t>
        </ns0:is>
      </ns0:c>
      <ns0:c r="G57" t="inlineStr">
        <ns0:is>
          <ns0:t>1101111: JAL</ns0:t>
        </ns0:is>
      </ns0:c>
    </ns0:row>
    <ns0:row r="58">
      <ns0:c r="B58" t="inlineStr">
        <ns0:is>
          <ns0:t>12-битная константа; в RV32I знаково расширяется</ns0:t>
        </ns0:is>
      </ns0:c>
      <ns0:c r="C58" t="inlineStr">
        <ns0:is>
          <ns0:t>Исходный регистр x0 = zero</ns0:t>
        </ns0:is>
      </ns0:c>
      <ns0:c r="D58" t="inlineStr">
        <ns0:is>
          <ns0:t>000=ADDI, 111=ANDI</ns0:t>
        </ns0:is>
      </ns0:c>
      <ns0:c r="E58" t="inlineStr">
        <ns0:is>
          <ns0:t>Приёмник x29 = t4</ns0:t>
        </ns0:is>
      </ns0:c>
      <ns0:c r="F58" t="inlineStr">
        <ns0:is>
          <ns0:t>0010011: OP-IMM</ns0:t>
        </ns0:is>
      </ns0:c>
    </ns0:row>
    <ns0:row r="59">
      <ns0:c r="B59" t="inlineStr">
        <ns0:is>
          <ns0:t>12-битная константа; в RV32I знаково расширяется</ns0:t>
        </ns0:is>
      </ns0:c>
      <ns0:c r="C59" t="inlineStr">
        <ns0:is>
          <ns0:t>Исходный регистр x0 = zero</ns0:t>
        </ns0:is>
      </ns0:c>
      <ns0:c r="D59" t="inlineStr">
        <ns0:is>
          <ns0:t>000=ADDI, 111=ANDI</ns0:t>
        </ns0:is>
      </ns0:c>
      <ns0:c r="E59" t="inlineStr">
        <ns0:is>
          <ns0:t>Приёмник x30 = t5</ns0:t>
        </ns0:is>
      </ns0:c>
      <ns0:c r="F59" t="inlineStr">
        <ns0:is>
          <ns0:t>0010011: OP-IMM</ns0:t>
        </ns0:is>
      </ns0:c>
    </ns0:row>
    <ns0:row r="60">
      <ns0:c r="B60" t="inlineStr">
        <ns0:is>
          <ns0:t>Знаковый бит PC-относительного перехода</ns0:t>
        </ns0:is>
      </ns0:c>
      <ns0:c r="C60" t="inlineStr">
        <ns0:is>
          <ns0:t>Средние биты адресного смещения</ns0:t>
        </ns0:is>
      </ns0:c>
      <ns0:c r="D60" t="inlineStr">
        <ns0:is>
          <ns0:t>Переставленный бит смещения</ns0:t>
        </ns0:is>
      </ns0:c>
      <ns0:c r="E60" t="inlineStr">
        <ns0:is>
          <ns0:t>Биты смещения перехода</ns0:t>
        </ns0:is>
      </ns0:c>
      <ns0:c r="F60" t="inlineStr">
        <ns0:is>
          <ns0:t>Приёмник адреса возврата: x0 = zero</ns0:t>
        </ns0:is>
      </ns0:c>
      <ns0:c r="G60" t="inlineStr">
        <ns0:is>
          <ns0:t>1101111: JAL</ns0:t>
        </ns0:is>
      </ns0:c>
    </ns0:row>
    <ns0:row r="61">
      <ns0:c r="B61" t="inlineStr">
        <ns0:is>
          <ns0:t>12-битная константа; в RV32I знаково расширяется</ns0:t>
        </ns0:is>
      </ns0:c>
      <ns0:c r="C61" t="inlineStr">
        <ns0:is>
          <ns0:t>Исходный регистр x0 = zero</ns0:t>
        </ns0:is>
      </ns0:c>
      <ns0:c r="D61" t="inlineStr">
        <ns0:is>
          <ns0:t>000=ADDI, 111=ANDI</ns0:t>
        </ns0:is>
      </ns0:c>
      <ns0:c r="E61" t="inlineStr">
        <ns0:is>
          <ns0:t>Приёмник x29 = t4</ns0:t>
        </ns0:is>
      </ns0:c>
      <ns0:c r="F61" t="inlineStr">
        <ns0:is>
          <ns0:t>0010011: OP-IMM</ns0:t>
        </ns0:is>
      </ns0:c>
    </ns0:row>
    <ns0:row r="62">
      <ns0:c r="B62" t="inlineStr">
        <ns0:is>
          <ns0:t>12-битная константа; в RV32I знаково расширяется</ns0:t>
        </ns0:is>
      </ns0:c>
      <ns0:c r="C62" t="inlineStr">
        <ns0:is>
          <ns0:t>Исходный регистр x0 = zero</ns0:t>
        </ns0:is>
      </ns0:c>
      <ns0:c r="D62" t="inlineStr">
        <ns0:is>
          <ns0:t>000=ADDI, 111=ANDI</ns0:t>
        </ns0:is>
      </ns0:c>
      <ns0:c r="E62" t="inlineStr">
        <ns0:is>
          <ns0:t>Приёмник x30 = t5</ns0:t>
        </ns0:is>
      </ns0:c>
      <ns0:c r="F62" t="inlineStr">
        <ns0:is>
          <ns0:t>0010011: OP-IMM</ns0:t>
        </ns0:is>
      </ns0:c>
    </ns0:row>
    <ns0:row r="63">
      <ns0:c r="B63" t="inlineStr">
        <ns0:is>
          <ns0:t>Знаковый бит PC-относительного перехода</ns0:t>
        </ns0:is>
      </ns0:c>
      <ns0:c r="C63" t="inlineStr">
        <ns0:is>
          <ns0:t>Средние биты адресного смещения</ns0:t>
        </ns0:is>
      </ns0:c>
      <ns0:c r="D63" t="inlineStr">
        <ns0:is>
          <ns0:t>Переставленный бит смещения</ns0:t>
        </ns0:is>
      </ns0:c>
      <ns0:c r="E63" t="inlineStr">
        <ns0:is>
          <ns0:t>Биты смещения перехода</ns0:t>
        </ns0:is>
      </ns0:c>
      <ns0:c r="F63" t="inlineStr">
        <ns0:is>
          <ns0:t>Приёмник адреса возврата: x0 = zero</ns0:t>
        </ns0:is>
      </ns0:c>
      <ns0:c r="G63" t="inlineStr">
        <ns0:is>
          <ns0:t>1101111: JAL</ns0:t>
        </ns0:is>
      </ns0:c>
    </ns0:row>
    <ns0:row r="64">
      <ns0:c r="B64" t="inlineStr">
        <ns0:is>
          <ns0:t>12-битная константа; в RV32I знаково расширяется</ns0:t>
        </ns0:is>
      </ns0:c>
      <ns0:c r="C64" t="inlineStr">
        <ns0:is>
          <ns0:t>Исходный регистр x0 = zero</ns0:t>
        </ns0:is>
      </ns0:c>
      <ns0:c r="D64" t="inlineStr">
        <ns0:is>
          <ns0:t>000=ADDI, 111=ANDI</ns0:t>
        </ns0:is>
      </ns0:c>
      <ns0:c r="E64" t="inlineStr">
        <ns0:is>
          <ns0:t>Приёмник x29 = t4</ns0:t>
        </ns0:is>
      </ns0:c>
      <ns0:c r="F64" t="inlineStr">
        <ns0:is>
          <ns0:t>0010011: OP-IMM</ns0:t>
        </ns0:is>
      </ns0:c>
    </ns0:row>
    <ns0:row r="65">
      <ns0:c r="B65" t="inlineStr">
        <ns0:is>
          <ns0:t>12-битная константа; в RV32I знаково расширяется</ns0:t>
        </ns0:is>
      </ns0:c>
      <ns0:c r="C65" t="inlineStr">
        <ns0:is>
          <ns0:t>Исходный регистр x0 = zero</ns0:t>
        </ns0:is>
      </ns0:c>
      <ns0:c r="D65" t="inlineStr">
        <ns0:is>
          <ns0:t>000=ADDI, 111=ANDI</ns0:t>
        </ns0:is>
      </ns0:c>
      <ns0:c r="E65" t="inlineStr">
        <ns0:is>
          <ns0:t>Приёмник x30 = t5</ns0:t>
        </ns0:is>
      </ns0:c>
      <ns0:c r="F65" t="inlineStr">
        <ns0:is>
          <ns0:t>0010011: OP-IMM</ns0:t>
        </ns0:is>
      </ns0:c>
    </ns0:row>
    <ns0:row r="66">
      <ns0:c r="B66" t="inlineStr">
        <ns0:is>
          <ns0:t>Знаковый бит PC-относительного перехода</ns0:t>
        </ns0:is>
      </ns0:c>
      <ns0:c r="C66" t="inlineStr">
        <ns0:is>
          <ns0:t>Средние биты адресного смещения</ns0:t>
        </ns0:is>
      </ns0:c>
      <ns0:c r="D66" t="inlineStr">
        <ns0:is>
          <ns0:t>Переставленный бит смещения</ns0:t>
        </ns0:is>
      </ns0:c>
      <ns0:c r="E66" t="inlineStr">
        <ns0:is>
          <ns0:t>Биты смещения перехода</ns0:t>
        </ns0:is>
      </ns0:c>
      <ns0:c r="F66" t="inlineStr">
        <ns0:is>
          <ns0:t>Приёмник адреса возврата: x0 = zero</ns0:t>
        </ns0:is>
      </ns0:c>
      <ns0:c r="G66" t="inlineStr">
        <ns0:is>
          <ns0:t>1101111: JAL</ns0:t>
        </ns0:is>
      </ns0:c>
    </ns0:row>
    <ns0:row r="67">
      <ns0:c r="B67" t="inlineStr">
        <ns0:is>
          <ns0:t>12-битная константа; в RV32I знаково расширяется</ns0:t>
        </ns0:is>
      </ns0:c>
      <ns0:c r="C67" t="inlineStr">
        <ns0:is>
          <ns0:t>Исходный регистр x0 = zero</ns0:t>
        </ns0:is>
      </ns0:c>
      <ns0:c r="D67" t="inlineStr">
        <ns0:is>
          <ns0:t>000=ADDI, 111=ANDI</ns0:t>
        </ns0:is>
      </ns0:c>
      <ns0:c r="E67" t="inlineStr">
        <ns0:is>
          <ns0:t>Приёмник x29 = t4</ns0:t>
        </ns0:is>
      </ns0:c>
      <ns0:c r="F67" t="inlineStr">
        <ns0:is>
          <ns0:t>0010011: OP-IMM</ns0:t>
        </ns0:is>
      </ns0:c>
    </ns0:row>
    <ns0:row r="68">
      <ns0:c r="B68" t="inlineStr">
        <ns0:is>
          <ns0:t>12-битная константа; в RV32I знаково расширяется</ns0:t>
        </ns0:is>
      </ns0:c>
      <ns0:c r="C68" t="inlineStr">
        <ns0:is>
          <ns0:t>Исходный регистр x0 = zero</ns0:t>
        </ns0:is>
      </ns0:c>
      <ns0:c r="D68" t="inlineStr">
        <ns0:is>
          <ns0:t>000=ADDI, 111=ANDI</ns0:t>
        </ns0:is>
      </ns0:c>
      <ns0:c r="E68" t="inlineStr">
        <ns0:is>
          <ns0:t>Приёмник x30 = t5</ns0:t>
        </ns0:is>
      </ns0:c>
      <ns0:c r="F68" t="inlineStr">
        <ns0:is>
          <ns0:t>0010011: OP-IMM</ns0:t>
        </ns0:is>
      </ns0:c>
    </ns0:row>
    <ns0:row r="69">
      <ns0:c r="B69" t="inlineStr">
        <ns0:is>
          <ns0:t>Знаковый бит PC-относительного перехода</ns0:t>
        </ns0:is>
      </ns0:c>
      <ns0:c r="C69" t="inlineStr">
        <ns0:is>
          <ns0:t>Средние биты адресного смещения</ns0:t>
        </ns0:is>
      </ns0:c>
      <ns0:c r="D69" t="inlineStr">
        <ns0:is>
          <ns0:t>Переставленный бит смещения</ns0:t>
        </ns0:is>
      </ns0:c>
      <ns0:c r="E69" t="inlineStr">
        <ns0:is>
          <ns0:t>Биты смещения перехода</ns0:t>
        </ns0:is>
      </ns0:c>
      <ns0:c r="F69" t="inlineStr">
        <ns0:is>
          <ns0:t>Приёмник адреса возврата: x0 = zero</ns0:t>
        </ns0:is>
      </ns0:c>
      <ns0:c r="G69" t="inlineStr">
        <ns0:is>
          <ns0:t>1101111: JAL</ns0:t>
        </ns0:is>
      </ns0:c>
    </ns0:row>
    <ns0:row r="70">
      <ns0:c r="B70" t="inlineStr">
        <ns0:is>
          <ns0:t>12-битная константа; в RV32I знаково расширяется</ns0:t>
        </ns0:is>
      </ns0:c>
      <ns0:c r="C70" t="inlineStr">
        <ns0:is>
          <ns0:t>Исходный регистр x0 = zero</ns0:t>
        </ns0:is>
      </ns0:c>
      <ns0:c r="D70" t="inlineStr">
        <ns0:is>
          <ns0:t>000=ADDI, 111=ANDI</ns0:t>
        </ns0:is>
      </ns0:c>
      <ns0:c r="E70" t="inlineStr">
        <ns0:is>
          <ns0:t>Приёмник x29 = t4</ns0:t>
        </ns0:is>
      </ns0:c>
      <ns0:c r="F70" t="inlineStr">
        <ns0:is>
          <ns0:t>0010011: OP-IMM</ns0:t>
        </ns0:is>
      </ns0:c>
    </ns0:row>
    <ns0:row r="71">
      <ns0:c r="B71" t="inlineStr">
        <ns0:is>
          <ns0:t>12-битная константа; в RV32I знаково расширяется</ns0:t>
        </ns0:is>
      </ns0:c>
      <ns0:c r="C71" t="inlineStr">
        <ns0:is>
          <ns0:t>Исходный регистр x0 = zero</ns0:t>
        </ns0:is>
      </ns0:c>
      <ns0:c r="D71" t="inlineStr">
        <ns0:is>
          <ns0:t>000=ADDI, 111=ANDI</ns0:t>
        </ns0:is>
      </ns0:c>
      <ns0:c r="E71" t="inlineStr">
        <ns0:is>
          <ns0:t>Приёмник x30 = t5</ns0:t>
        </ns0:is>
      </ns0:c>
      <ns0:c r="F71" t="inlineStr">
        <ns0:is>
          <ns0:t>0010011: OP-IMM</ns0:t>
        </ns0:is>
      </ns0:c>
    </ns0:row>
    <ns0:row r="72">
      <ns0:c r="B72" t="inlineStr">
        <ns0:is>
          <ns0:t>Знаковый бит PC-относительного перехода</ns0:t>
        </ns0:is>
      </ns0:c>
      <ns0:c r="C72" t="inlineStr">
        <ns0:is>
          <ns0:t>Средние биты адресного смещения</ns0:t>
        </ns0:is>
      </ns0:c>
      <ns0:c r="D72" t="inlineStr">
        <ns0:is>
          <ns0:t>Переставленный бит смещения</ns0:t>
        </ns0:is>
      </ns0:c>
      <ns0:c r="E72" t="inlineStr">
        <ns0:is>
          <ns0:t>Биты смещения перехода</ns0:t>
        </ns0:is>
      </ns0:c>
      <ns0:c r="F72" t="inlineStr">
        <ns0:is>
          <ns0:t>Приёмник адреса возврата: x0 = zero</ns0:t>
        </ns0:is>
      </ns0:c>
      <ns0:c r="G72" t="inlineStr">
        <ns0:is>
          <ns0:t>1101111: JAL</ns0:t>
        </ns0:is>
      </ns0:c>
    </ns0:row>
    <ns0:row r="73">
      <ns0:c r="B73" t="inlineStr">
        <ns0:is>
          <ns0:t>Старшие биты смещения со знаком</ns0:t>
        </ns0:is>
      </ns0:c>
      <ns0:c r="C73" t="inlineStr">
        <ns0:is>
          <ns0:t>Источник записываемых данных: x29 = t4</ns0:t>
        </ns0:is>
      </ns0:c>
      <ns0:c r="D73" t="inlineStr">
        <ns0:is>
          <ns0:t>Базовый адрес: x5 = t0</ns0:t>
        </ns0:is>
      </ns0:c>
      <ns0:c r="E73" t="inlineStr">
        <ns0:is>
          <ns0:t>010 = SW: запись 32-битного слова</ns0:t>
        </ns0:is>
      </ns0:c>
      <ns0:c r="F73" t="inlineStr">
        <ns0:is>
          <ns0:t>Младшие биты смещения</ns0:t>
        </ns0:is>
      </ns0:c>
      <ns0:c r="G73" t="inlineStr">
        <ns0:is>
          <ns0:t>0100011: STORE</ns0:t>
        </ns0:is>
      </ns0:c>
    </ns0:row>
    <ns0:row r="74">
      <ns0:c r="B74" t="inlineStr">
        <ns0:is>
          <ns0:t>Знаковое 12-битное смещение от базового адреса</ns0:t>
        </ns0:is>
      </ns0:c>
      <ns0:c r="C74" t="inlineStr">
        <ns0:is>
          <ns0:t>Базовый регистр x5 = t0</ns0:t>
        </ns0:is>
      </ns0:c>
      <ns0:c r="D74" t="inlineStr">
        <ns0:is>
          <ns0:t>010 = LW: загрузка 32-битного слова</ns0:t>
        </ns0:is>
      </ns0:c>
      <ns0:c r="E74" t="inlineStr">
        <ns0:is>
          <ns0:t>Приёмник x31 = t6</ns0:t>
        </ns0:is>
      </ns0:c>
      <ns0:c r="F74" t="inlineStr">
        <ns0:is>
          <ns0:t>0000011: LOAD</ns0:t>
        </ns0:is>
      </ns0:c>
    </ns0:row>
    <ns0:row r="75">
      <ns0:c r="B75" t="inlineStr">
        <ns0:is>
          <ns0:t>Знаковый бит ветвления</ns0:t>
        </ns0:is>
      </ns0:c>
      <ns0:c r="C75" t="inlineStr">
        <ns0:is>
          <ns0:t>Старшие биты смещения</ns0:t>
        </ns0:is>
      </ns0:c>
      <ns0:c r="D75" t="inlineStr">
        <ns0:is>
          <ns0:t>Второй сравниваемый регистр x29 = t4</ns0:t>
        </ns0:is>
      </ns0:c>
      <ns0:c r="E75" t="inlineStr">
        <ns0:is>
          <ns0:t>Первый сравниваемый регистр x31 = t6</ns0:t>
        </ns0:is>
      </ns0:c>
      <ns0:c r="F75" t="inlineStr">
        <ns0:is>
          <ns0:t>000=BEQ, 001=BNE</ns0:t>
        </ns0:is>
      </ns0:c>
      <ns0:c r="G75" t="inlineStr">
        <ns0:is>
          <ns0:t>Младшая группа байтового смещения; bit0=0</ns0:t>
        </ns0:is>
      </ns0:c>
      <ns0:c r="H75" t="inlineStr">
        <ns0:is>
          <ns0:t>Переставленный бит смещения</ns0:t>
        </ns0:is>
      </ns0:c>
      <ns0:c r="I75" t="inlineStr">
        <ns0:is>
          <ns0:t>1100011: BRANCH</ns0:t>
        </ns0:is>
      </ns0:c>
    </ns0:row>
    <ns0:row r="76">
      <ns0:c r="B76" t="inlineStr">
        <ns0:is>
          <ns0:t>Знаковый бит PC-относительного перехода</ns0:t>
        </ns0:is>
      </ns0:c>
      <ns0:c r="C76" t="inlineStr">
        <ns0:is>
          <ns0:t>Средние биты адресного смещения</ns0:t>
        </ns0:is>
      </ns0:c>
      <ns0:c r="D76" t="inlineStr">
        <ns0:is>
          <ns0:t>Переставленный бит смещения</ns0:t>
        </ns0:is>
      </ns0:c>
      <ns0:c r="E76" t="inlineStr">
        <ns0:is>
          <ns0:t>Биты смещения перехода</ns0:t>
        </ns0:is>
      </ns0:c>
      <ns0:c r="F76" t="inlineStr">
        <ns0:is>
          <ns0:t>Приёмник адреса возврата: x0 = zero</ns0:t>
        </ns0:is>
      </ns0:c>
      <ns0:c r="G76" t="inlineStr">
        <ns0:is>
          <ns0:t>1101111: JAL</ns0:t>
        </ns0:is>
      </ns0:c>
    </ns0:row>
    <ns0:row r="77">
      <ns0:c r="B77" t="inlineStr">
        <ns0:is>
          <ns0:t>Знаковое 12-битное смещение от базового адреса</ns0:t>
        </ns0:is>
      </ns0:c>
      <ns0:c r="C77" t="inlineStr">
        <ns0:is>
          <ns0:t>Базовый регистр x5 = t0</ns0:t>
        </ns0:is>
      </ns0:c>
      <ns0:c r="D77" t="inlineStr">
        <ns0:is>
          <ns0:t>010 = LW: загрузка 32-битного слова</ns0:t>
        </ns0:is>
      </ns0:c>
      <ns0:c r="E77" t="inlineStr">
        <ns0:is>
          <ns0:t>Приёмник x31 = t6</ns0:t>
        </ns0:is>
      </ns0:c>
      <ns0:c r="F77" t="inlineStr">
        <ns0:is>
          <ns0:t>0000011: LOAD</ns0:t>
        </ns0:is>
      </ns0:c>
    </ns0:row>
    <ns0:row r="78">
      <ns0:c r="B78" t="inlineStr">
        <ns0:is>
          <ns0:t>12-битная константа; в RV32I знаково расширяется</ns0:t>
        </ns0:is>
      </ns0:c>
      <ns0:c r="C78" t="inlineStr">
        <ns0:is>
          <ns0:t>Исходный регистр x0 = zero</ns0:t>
        </ns0:is>
      </ns0:c>
      <ns0:c r="D78" t="inlineStr">
        <ns0:is>
          <ns0:t>000=ADDI, 111=ANDI</ns0:t>
        </ns0:is>
      </ns0:c>
      <ns0:c r="E78" t="inlineStr">
        <ns0:is>
          <ns0:t>Приёмник x8 = s0</ns0:t>
        </ns0:is>
      </ns0:c>
      <ns0:c r="F78" t="inlineStr">
        <ns0:is>
          <ns0:t>0010011: OP-IMM</ns0:t>
        </ns0:is>
      </ns0:c>
    </ns0:row>
    <ns0:row r="79">
      <ns0:c r="B79" t="inlineStr">
        <ns0:is>
          <ns0:t>Знаковый бит ветвления</ns0:t>
        </ns0:is>
      </ns0:c>
      <ns0:c r="C79" t="inlineStr">
        <ns0:is>
          <ns0:t>Старшие биты смещения</ns0:t>
        </ns0:is>
      </ns0:c>
      <ns0:c r="D79" t="inlineStr">
        <ns0:is>
          <ns0:t>Второй сравниваемый регистр x8 = s0</ns0:t>
        </ns0:is>
      </ns0:c>
      <ns0:c r="E79" t="inlineStr">
        <ns0:is>
          <ns0:t>Первый сравниваемый регистр x31 = t6</ns0:t>
        </ns0:is>
      </ns0:c>
      <ns0:c r="F79" t="inlineStr">
        <ns0:is>
          <ns0:t>000=BEQ, 001=BNE</ns0:t>
        </ns0:is>
      </ns0:c>
      <ns0:c r="G79" t="inlineStr">
        <ns0:is>
          <ns0:t>Младшая группа байтового смещения; bit0=0</ns0:t>
        </ns0:is>
      </ns0:c>
      <ns0:c r="H79" t="inlineStr">
        <ns0:is>
          <ns0:t>Переставленный бит смещения</ns0:t>
        </ns0:is>
      </ns0:c>
      <ns0:c r="I79" t="inlineStr">
        <ns0:is>
          <ns0:t>1100011: BRANCH</ns0:t>
        </ns0:is>
      </ns0:c>
    </ns0:row>
    <ns0:row r="80">
      <ns0:c r="B80" t="inlineStr">
        <ns0:is>
          <ns0:t>12-битная константа; в RV32I знаково расширяется</ns0:t>
        </ns0:is>
      </ns0:c>
      <ns0:c r="C80" t="inlineStr">
        <ns0:is>
          <ns0:t>Исходный регистр x0 = zero</ns0:t>
        </ns0:is>
      </ns0:c>
      <ns0:c r="D80" t="inlineStr">
        <ns0:is>
          <ns0:t>000=ADDI, 111=ANDI</ns0:t>
        </ns0:is>
      </ns0:c>
      <ns0:c r="E80" t="inlineStr">
        <ns0:is>
          <ns0:t>Приёмник x8 = s0</ns0:t>
        </ns0:is>
      </ns0:c>
      <ns0:c r="F80" t="inlineStr">
        <ns0:is>
          <ns0:t>0010011: OP-IMM</ns0:t>
        </ns0:is>
      </ns0:c>
    </ns0:row>
    <ns0:row r="81">
      <ns0:c r="B81" t="inlineStr">
        <ns0:is>
          <ns0:t>Знаковый бит ветвления</ns0:t>
        </ns0:is>
      </ns0:c>
      <ns0:c r="C81" t="inlineStr">
        <ns0:is>
          <ns0:t>Старшие биты смещения</ns0:t>
        </ns0:is>
      </ns0:c>
      <ns0:c r="D81" t="inlineStr">
        <ns0:is>
          <ns0:t>Второй сравниваемый регистр x8 = s0</ns0:t>
        </ns0:is>
      </ns0:c>
      <ns0:c r="E81" t="inlineStr">
        <ns0:is>
          <ns0:t>Первый сравниваемый регистр x31 = t6</ns0:t>
        </ns0:is>
      </ns0:c>
      <ns0:c r="F81" t="inlineStr">
        <ns0:is>
          <ns0:t>000=BEQ, 001=BNE</ns0:t>
        </ns0:is>
      </ns0:c>
      <ns0:c r="G81" t="inlineStr">
        <ns0:is>
          <ns0:t>Младшая группа байтового смещения; bit0=0</ns0:t>
        </ns0:is>
      </ns0:c>
      <ns0:c r="H81" t="inlineStr">
        <ns0:is>
          <ns0:t>Переставленный бит смещения</ns0:t>
        </ns0:is>
      </ns0:c>
      <ns0:c r="I81" t="inlineStr">
        <ns0:is>
          <ns0:t>1100011: BRANCH</ns0:t>
        </ns0:is>
      </ns0:c>
    </ns0:row>
    <ns0:row r="82">
      <ns0:c r="B82" t="inlineStr">
        <ns0:is>
          <ns0:t>12-битная константа; в RV32I знаково расширяется</ns0:t>
        </ns0:is>
      </ns0:c>
      <ns0:c r="C82" t="inlineStr">
        <ns0:is>
          <ns0:t>Исходный регистр x0 = zero</ns0:t>
        </ns0:is>
      </ns0:c>
      <ns0:c r="D82" t="inlineStr">
        <ns0:is>
          <ns0:t>000=ADDI, 111=ANDI</ns0:t>
        </ns0:is>
      </ns0:c>
      <ns0:c r="E82" t="inlineStr">
        <ns0:is>
          <ns0:t>Приёмник x8 = s0</ns0:t>
        </ns0:is>
      </ns0:c>
      <ns0:c r="F82" t="inlineStr">
        <ns0:is>
          <ns0:t>0010011: OP-IMM</ns0:t>
        </ns0:is>
      </ns0:c>
    </ns0:row>
    <ns0:row r="83">
      <ns0:c r="B83" t="inlineStr">
        <ns0:is>
          <ns0:t>Знаковый бит ветвления</ns0:t>
        </ns0:is>
      </ns0:c>
      <ns0:c r="C83" t="inlineStr">
        <ns0:is>
          <ns0:t>Старшие биты смещения</ns0:t>
        </ns0:is>
      </ns0:c>
      <ns0:c r="D83" t="inlineStr">
        <ns0:is>
          <ns0:t>Второй сравниваемый регистр x8 = s0</ns0:t>
        </ns0:is>
      </ns0:c>
      <ns0:c r="E83" t="inlineStr">
        <ns0:is>
          <ns0:t>Первый сравниваемый регистр x31 = t6</ns0:t>
        </ns0:is>
      </ns0:c>
      <ns0:c r="F83" t="inlineStr">
        <ns0:is>
          <ns0:t>000=BEQ, 001=BNE</ns0:t>
        </ns0:is>
      </ns0:c>
      <ns0:c r="G83" t="inlineStr">
        <ns0:is>
          <ns0:t>Младшая группа байтового смещения; bit0=0</ns0:t>
        </ns0:is>
      </ns0:c>
      <ns0:c r="H83" t="inlineStr">
        <ns0:is>
          <ns0:t>Переставленный бит смещения</ns0:t>
        </ns0:is>
      </ns0:c>
      <ns0:c r="I83" t="inlineStr">
        <ns0:is>
          <ns0:t>1100011: BRANCH</ns0:t>
        </ns0:is>
      </ns0:c>
    </ns0:row>
    <ns0:row r="84">
      <ns0:c r="B84" t="inlineStr">
        <ns0:is>
          <ns0:t>12-битная константа; в RV32I знаково расширяется</ns0:t>
        </ns0:is>
      </ns0:c>
      <ns0:c r="C84" t="inlineStr">
        <ns0:is>
          <ns0:t>Исходный регистр x0 = zero</ns0:t>
        </ns0:is>
      </ns0:c>
      <ns0:c r="D84" t="inlineStr">
        <ns0:is>
          <ns0:t>000=ADDI, 111=ANDI</ns0:t>
        </ns0:is>
      </ns0:c>
      <ns0:c r="E84" t="inlineStr">
        <ns0:is>
          <ns0:t>Приёмник x8 = s0</ns0:t>
        </ns0:is>
      </ns0:c>
      <ns0:c r="F84" t="inlineStr">
        <ns0:is>
          <ns0:t>0010011: OP-IMM</ns0:t>
        </ns0:is>
      </ns0:c>
    </ns0:row>
    <ns0:row r="85">
      <ns0:c r="B85" t="inlineStr">
        <ns0:is>
          <ns0:t>Знаковый бит ветвления</ns0:t>
        </ns0:is>
      </ns0:c>
      <ns0:c r="C85" t="inlineStr">
        <ns0:is>
          <ns0:t>Старшие биты смещения</ns0:t>
        </ns0:is>
      </ns0:c>
      <ns0:c r="D85" t="inlineStr">
        <ns0:is>
          <ns0:t>Второй сравниваемый регистр x8 = s0</ns0:t>
        </ns0:is>
      </ns0:c>
      <ns0:c r="E85" t="inlineStr">
        <ns0:is>
          <ns0:t>Первый сравниваемый регистр x31 = t6</ns0:t>
        </ns0:is>
      </ns0:c>
      <ns0:c r="F85" t="inlineStr">
        <ns0:is>
          <ns0:t>000=BEQ, 001=BNE</ns0:t>
        </ns0:is>
      </ns0:c>
      <ns0:c r="G85" t="inlineStr">
        <ns0:is>
          <ns0:t>Младшая группа байтового смещения; bit0=0</ns0:t>
        </ns0:is>
      </ns0:c>
      <ns0:c r="H85" t="inlineStr">
        <ns0:is>
          <ns0:t>Переставленный бит смещения</ns0:t>
        </ns0:is>
      </ns0:c>
      <ns0:c r="I85" t="inlineStr">
        <ns0:is>
          <ns0:t>1100011: BRANCH</ns0:t>
        </ns0:is>
      </ns0:c>
    </ns0:row>
    <ns0:row r="86">
      <ns0:c r="B86" t="inlineStr">
        <ns0:is>
          <ns0:t>12-битная константа; в RV32I знаково расширяется</ns0:t>
        </ns0:is>
      </ns0:c>
      <ns0:c r="C86" t="inlineStr">
        <ns0:is>
          <ns0:t>Исходный регистр x0 = zero</ns0:t>
        </ns0:is>
      </ns0:c>
      <ns0:c r="D86" t="inlineStr">
        <ns0:is>
          <ns0:t>000=ADDI, 111=ANDI</ns0:t>
        </ns0:is>
      </ns0:c>
      <ns0:c r="E86" t="inlineStr">
        <ns0:is>
          <ns0:t>Приёмник x8 = s0</ns0:t>
        </ns0:is>
      </ns0:c>
      <ns0:c r="F86" t="inlineStr">
        <ns0:is>
          <ns0:t>0010011: OP-IMM</ns0:t>
        </ns0:is>
      </ns0:c>
    </ns0:row>
    <ns0:row r="87">
      <ns0:c r="B87" t="inlineStr">
        <ns0:is>
          <ns0:t>Знаковый бит ветвления</ns0:t>
        </ns0:is>
      </ns0:c>
      <ns0:c r="C87" t="inlineStr">
        <ns0:is>
          <ns0:t>Старшие биты смещения</ns0:t>
        </ns0:is>
      </ns0:c>
      <ns0:c r="D87" t="inlineStr">
        <ns0:is>
          <ns0:t>Второй сравниваемый регистр x8 = s0</ns0:t>
        </ns0:is>
      </ns0:c>
      <ns0:c r="E87" t="inlineStr">
        <ns0:is>
          <ns0:t>Первый сравниваемый регистр x31 = t6</ns0:t>
        </ns0:is>
      </ns0:c>
      <ns0:c r="F87" t="inlineStr">
        <ns0:is>
          <ns0:t>000=BEQ, 001=BNE</ns0:t>
        </ns0:is>
      </ns0:c>
      <ns0:c r="G87" t="inlineStr">
        <ns0:is>
          <ns0:t>Младшая группа байтового смещения; bit0=0</ns0:t>
        </ns0:is>
      </ns0:c>
      <ns0:c r="H87" t="inlineStr">
        <ns0:is>
          <ns0:t>Переставленный бит смещения</ns0:t>
        </ns0:is>
      </ns0:c>
      <ns0:c r="I87" t="inlineStr">
        <ns0:is>
          <ns0:t>1100011: BRANCH</ns0:t>
        </ns0:is>
      </ns0:c>
    </ns0:row>
    <ns0:row r="88">
      <ns0:c r="B88" t="inlineStr">
        <ns0:is>
          <ns0:t>12-битная константа; в RV32I знаково расширяется</ns0:t>
        </ns0:is>
      </ns0:c>
      <ns0:c r="C88" t="inlineStr">
        <ns0:is>
          <ns0:t>Исходный регистр x0 = zero</ns0:t>
        </ns0:is>
      </ns0:c>
      <ns0:c r="D88" t="inlineStr">
        <ns0:is>
          <ns0:t>000=ADDI, 111=ANDI</ns0:t>
        </ns0:is>
      </ns0:c>
      <ns0:c r="E88" t="inlineStr">
        <ns0:is>
          <ns0:t>Приёмник x8 = s0</ns0:t>
        </ns0:is>
      </ns0:c>
      <ns0:c r="F88" t="inlineStr">
        <ns0:is>
          <ns0:t>0010011: OP-IMM</ns0:t>
        </ns0:is>
      </ns0:c>
    </ns0:row>
    <ns0:row r="89">
      <ns0:c r="B89" t="inlineStr">
        <ns0:is>
          <ns0:t>Знаковый бит ветвления</ns0:t>
        </ns0:is>
      </ns0:c>
      <ns0:c r="C89" t="inlineStr">
        <ns0:is>
          <ns0:t>Старшие биты смещения</ns0:t>
        </ns0:is>
      </ns0:c>
      <ns0:c r="D89" t="inlineStr">
        <ns0:is>
          <ns0:t>Второй сравниваемый регистр x8 = s0</ns0:t>
        </ns0:is>
      </ns0:c>
      <ns0:c r="E89" t="inlineStr">
        <ns0:is>
          <ns0:t>Первый сравниваемый регистр x31 = t6</ns0:t>
        </ns0:is>
      </ns0:c>
      <ns0:c r="F89" t="inlineStr">
        <ns0:is>
          <ns0:t>000=BEQ, 001=BNE</ns0:t>
        </ns0:is>
      </ns0:c>
      <ns0:c r="G89" t="inlineStr">
        <ns0:is>
          <ns0:t>Младшая группа байтового смещения; bit0=0</ns0:t>
        </ns0:is>
      </ns0:c>
      <ns0:c r="H89" t="inlineStr">
        <ns0:is>
          <ns0:t>Переставленный бит смещения</ns0:t>
        </ns0:is>
      </ns0:c>
      <ns0:c r="I89" t="inlineStr">
        <ns0:is>
          <ns0:t>1100011: BRANCH</ns0:t>
        </ns0:is>
      </ns0:c>
    </ns0:row>
    <ns0:row r="90">
      <ns0:c r="B90" t="inlineStr">
        <ns0:is>
          <ns0:t>12-битная константа; в RV32I знаково расширяется</ns0:t>
        </ns0:is>
      </ns0:c>
      <ns0:c r="C90" t="inlineStr">
        <ns0:is>
          <ns0:t>Исходный регистр x0 = zero</ns0:t>
        </ns0:is>
      </ns0:c>
      <ns0:c r="D90" t="inlineStr">
        <ns0:is>
          <ns0:t>000=ADDI, 111=ANDI</ns0:t>
        </ns0:is>
      </ns0:c>
      <ns0:c r="E90" t="inlineStr">
        <ns0:is>
          <ns0:t>Приёмник x8 = s0</ns0:t>
        </ns0:is>
      </ns0:c>
      <ns0:c r="F90" t="inlineStr">
        <ns0:is>
          <ns0:t>0010011: OP-IMM</ns0:t>
        </ns0:is>
      </ns0:c>
    </ns0:row>
    <ns0:row r="91">
      <ns0:c r="B91" t="inlineStr">
        <ns0:is>
          <ns0:t>Знаковый бит ветвления</ns0:t>
        </ns0:is>
      </ns0:c>
      <ns0:c r="C91" t="inlineStr">
        <ns0:is>
          <ns0:t>Старшие биты смещения</ns0:t>
        </ns0:is>
      </ns0:c>
      <ns0:c r="D91" t="inlineStr">
        <ns0:is>
          <ns0:t>Второй сравниваемый регистр x8 = s0</ns0:t>
        </ns0:is>
      </ns0:c>
      <ns0:c r="E91" t="inlineStr">
        <ns0:is>
          <ns0:t>Первый сравниваемый регистр x31 = t6</ns0:t>
        </ns0:is>
      </ns0:c>
      <ns0:c r="F91" t="inlineStr">
        <ns0:is>
          <ns0:t>000=BEQ, 001=BNE</ns0:t>
        </ns0:is>
      </ns0:c>
      <ns0:c r="G91" t="inlineStr">
        <ns0:is>
          <ns0:t>Младшая группа байтового смещения; bit0=0</ns0:t>
        </ns0:is>
      </ns0:c>
      <ns0:c r="H91" t="inlineStr">
        <ns0:is>
          <ns0:t>Переставленный бит смещения</ns0:t>
        </ns0:is>
      </ns0:c>
      <ns0:c r="I91" t="inlineStr">
        <ns0:is>
          <ns0:t>1100011: BRANCH</ns0:t>
        </ns0:is>
      </ns0:c>
    </ns0:row>
    <ns0:row r="92">
      <ns0:c r="B92" t="inlineStr">
        <ns0:is>
          <ns0:t>Знаковый бит PC-относительного перехода</ns0:t>
        </ns0:is>
      </ns0:c>
      <ns0:c r="C92" t="inlineStr">
        <ns0:is>
          <ns0:t>Средние биты адресного смещения</ns0:t>
        </ns0:is>
      </ns0:c>
      <ns0:c r="D92" t="inlineStr">
        <ns0:is>
          <ns0:t>Переставленный бит смещения</ns0:t>
        </ns0:is>
      </ns0:c>
      <ns0:c r="E92" t="inlineStr">
        <ns0:is>
          <ns0:t>Биты смещения перехода</ns0:t>
        </ns0:is>
      </ns0:c>
      <ns0:c r="F92" t="inlineStr">
        <ns0:is>
          <ns0:t>Приёмник адреса возврата: x0 = zero</ns0:t>
        </ns0:is>
      </ns0:c>
      <ns0:c r="G92" t="inlineStr">
        <ns0:is>
          <ns0:t>1101111: JAL</ns0:t>
        </ns0:is>
      </ns0:c>
    </ns0:row>
    <ns0:row r="93">
      <ns0:c r="B93" t="inlineStr">
        <ns0:is>
          <ns0:t>12-битная константа; в RV32I знаково расширяется</ns0:t>
        </ns0:is>
      </ns0:c>
      <ns0:c r="C93" t="inlineStr">
        <ns0:is>
          <ns0:t>Исходный регистр x0 = zero</ns0:t>
        </ns0:is>
      </ns0:c>
      <ns0:c r="D93" t="inlineStr">
        <ns0:is>
          <ns0:t>000=ADDI, 111=ANDI</ns0:t>
        </ns0:is>
      </ns0:c>
      <ns0:c r="E93" t="inlineStr">
        <ns0:is>
          <ns0:t>Приёмник x30 = t5</ns0:t>
        </ns0:is>
      </ns0:c>
      <ns0:c r="F93" t="inlineStr">
        <ns0:is>
          <ns0:t>0010011: OP-IMM</ns0:t>
        </ns0:is>
      </ns0:c>
    </ns0:row>
    <ns0:row r="94">
      <ns0:c r="B94" t="inlineStr">
        <ns0:is>
          <ns0:t>Знаковый бит PC-относительного перехода</ns0:t>
        </ns0:is>
      </ns0:c>
      <ns0:c r="C94" t="inlineStr">
        <ns0:is>
          <ns0:t>Средние биты адресного смещения</ns0:t>
        </ns0:is>
      </ns0:c>
      <ns0:c r="D94" t="inlineStr">
        <ns0:is>
          <ns0:t>Переставленный бит смещения</ns0:t>
        </ns0:is>
      </ns0:c>
      <ns0:c r="E94" t="inlineStr">
        <ns0:is>
          <ns0:t>Биты смещения перехода</ns0:t>
        </ns0:is>
      </ns0:c>
      <ns0:c r="F94" t="inlineStr">
        <ns0:is>
          <ns0:t>Приёмник адреса возврата: x0 = zero</ns0:t>
        </ns0:is>
      </ns0:c>
      <ns0:c r="G94" t="inlineStr">
        <ns0:is>
          <ns0:t>1101111: JAL</ns0:t>
        </ns0:is>
      </ns0:c>
    </ns0:row>
    <ns0:row r="95">
      <ns0:c r="B95" t="inlineStr">
        <ns0:is>
          <ns0:t>12-битная константа; в RV32I знаково расширяется</ns0:t>
        </ns0:is>
      </ns0:c>
      <ns0:c r="C95" t="inlineStr">
        <ns0:is>
          <ns0:t>Исходный регистр x0 = zero</ns0:t>
        </ns0:is>
      </ns0:c>
      <ns0:c r="D95" t="inlineStr">
        <ns0:is>
          <ns0:t>000=ADDI, 111=ANDI</ns0:t>
        </ns0:is>
      </ns0:c>
      <ns0:c r="E95" t="inlineStr">
        <ns0:is>
          <ns0:t>Приёмник x30 = t5</ns0:t>
        </ns0:is>
      </ns0:c>
      <ns0:c r="F95" t="inlineStr">
        <ns0:is>
          <ns0:t>0010011: OP-IMM</ns0:t>
        </ns0:is>
      </ns0:c>
    </ns0:row>
    <ns0:row r="96">
      <ns0:c r="B96" t="inlineStr">
        <ns0:is>
          <ns0:t>Знаковый бит PC-относительного перехода</ns0:t>
        </ns0:is>
      </ns0:c>
      <ns0:c r="C96" t="inlineStr">
        <ns0:is>
          <ns0:t>Средние биты адресного смещения</ns0:t>
        </ns0:is>
      </ns0:c>
      <ns0:c r="D96" t="inlineStr">
        <ns0:is>
          <ns0:t>Переставленный бит смещения</ns0:t>
        </ns0:is>
      </ns0:c>
      <ns0:c r="E96" t="inlineStr">
        <ns0:is>
          <ns0:t>Биты смещения перехода</ns0:t>
        </ns0:is>
      </ns0:c>
      <ns0:c r="F96" t="inlineStr">
        <ns0:is>
          <ns0:t>Приёмник адреса возврата: x0 = zero</ns0:t>
        </ns0:is>
      </ns0:c>
      <ns0:c r="G96" t="inlineStr">
        <ns0:is>
          <ns0:t>1101111: JAL</ns0:t>
        </ns0:is>
      </ns0:c>
    </ns0:row>
    <ns0:row r="97">
      <ns0:c r="B97" t="inlineStr">
        <ns0:is>
          <ns0:t>12-битная константа; в RV32I знаково расширяется</ns0:t>
        </ns0:is>
      </ns0:c>
      <ns0:c r="C97" t="inlineStr">
        <ns0:is>
          <ns0:t>Исходный регистр x0 = zero</ns0:t>
        </ns0:is>
      </ns0:c>
      <ns0:c r="D97" t="inlineStr">
        <ns0:is>
          <ns0:t>000=ADDI, 111=ANDI</ns0:t>
        </ns0:is>
      </ns0:c>
      <ns0:c r="E97" t="inlineStr">
        <ns0:is>
          <ns0:t>Приёмник x30 = t5</ns0:t>
        </ns0:is>
      </ns0:c>
      <ns0:c r="F97" t="inlineStr">
        <ns0:is>
          <ns0:t>0010011: OP-IMM</ns0:t>
        </ns0:is>
      </ns0:c>
    </ns0:row>
    <ns0:row r="98">
      <ns0:c r="B98" t="inlineStr">
        <ns0:is>
          <ns0:t>Знаковый бит PC-относительного перехода</ns0:t>
        </ns0:is>
      </ns0:c>
      <ns0:c r="C98" t="inlineStr">
        <ns0:is>
          <ns0:t>Средние биты адресного смещения</ns0:t>
        </ns0:is>
      </ns0:c>
      <ns0:c r="D98" t="inlineStr">
        <ns0:is>
          <ns0:t>Переставленный бит смещения</ns0:t>
        </ns0:is>
      </ns0:c>
      <ns0:c r="E98" t="inlineStr">
        <ns0:is>
          <ns0:t>Биты смещения перехода</ns0:t>
        </ns0:is>
      </ns0:c>
      <ns0:c r="F98" t="inlineStr">
        <ns0:is>
          <ns0:t>Приёмник адреса возврата: x0 = zero</ns0:t>
        </ns0:is>
      </ns0:c>
      <ns0:c r="G98" t="inlineStr">
        <ns0:is>
          <ns0:t>1101111: JAL</ns0:t>
        </ns0:is>
      </ns0:c>
    </ns0:row>
    <ns0:row r="99">
      <ns0:c r="B99" t="inlineStr">
        <ns0:is>
          <ns0:t>12-битная константа; в RV32I знаково расширяется</ns0:t>
        </ns0:is>
      </ns0:c>
      <ns0:c r="C99" t="inlineStr">
        <ns0:is>
          <ns0:t>Исходный регистр x0 = zero</ns0:t>
        </ns0:is>
      </ns0:c>
      <ns0:c r="D99" t="inlineStr">
        <ns0:is>
          <ns0:t>000=ADDI, 111=ANDI</ns0:t>
        </ns0:is>
      </ns0:c>
      <ns0:c r="E99" t="inlineStr">
        <ns0:is>
          <ns0:t>Приёмник x30 = t5</ns0:t>
        </ns0:is>
      </ns0:c>
      <ns0:c r="F99" t="inlineStr">
        <ns0:is>
          <ns0:t>0010011: OP-IMM</ns0:t>
        </ns0:is>
      </ns0:c>
    </ns0:row>
    <ns0:row r="100">
      <ns0:c r="B100" t="inlineStr">
        <ns0:is>
          <ns0:t>Знаковый бит PC-относительного перехода</ns0:t>
        </ns0:is>
      </ns0:c>
      <ns0:c r="C100" t="inlineStr">
        <ns0:is>
          <ns0:t>Средние биты адресного смещения</ns0:t>
        </ns0:is>
      </ns0:c>
      <ns0:c r="D100" t="inlineStr">
        <ns0:is>
          <ns0:t>Переставленный бит смещения</ns0:t>
        </ns0:is>
      </ns0:c>
      <ns0:c r="E100" t="inlineStr">
        <ns0:is>
          <ns0:t>Биты смещения перехода</ns0:t>
        </ns0:is>
      </ns0:c>
      <ns0:c r="F100" t="inlineStr">
        <ns0:is>
          <ns0:t>Приёмник адреса возврата: x0 = zero</ns0:t>
        </ns0:is>
      </ns0:c>
      <ns0:c r="G100" t="inlineStr">
        <ns0:is>
          <ns0:t>1101111: JAL</ns0:t>
        </ns0:is>
      </ns0:c>
    </ns0:row>
    <ns0:row r="101">
      <ns0:c r="B101" t="inlineStr">
        <ns0:is>
          <ns0:t>12-битная константа; в RV32I знаково расширяется</ns0:t>
        </ns0:is>
      </ns0:c>
      <ns0:c r="C101" t="inlineStr">
        <ns0:is>
          <ns0:t>Исходный регистр x0 = zero</ns0:t>
        </ns0:is>
      </ns0:c>
      <ns0:c r="D101" t="inlineStr">
        <ns0:is>
          <ns0:t>000=ADDI, 111=ANDI</ns0:t>
        </ns0:is>
      </ns0:c>
      <ns0:c r="E101" t="inlineStr">
        <ns0:is>
          <ns0:t>Приёмник x30 = t5</ns0:t>
        </ns0:is>
      </ns0:c>
      <ns0:c r="F101" t="inlineStr">
        <ns0:is>
          <ns0:t>0010011: OP-IMM</ns0:t>
        </ns0:is>
      </ns0:c>
    </ns0:row>
    <ns0:row r="102">
      <ns0:c r="B102" t="inlineStr">
        <ns0:is>
          <ns0:t>Знаковый бит PC-относительного перехода</ns0:t>
        </ns0:is>
      </ns0:c>
      <ns0:c r="C102" t="inlineStr">
        <ns0:is>
          <ns0:t>Средние биты адресного смещения</ns0:t>
        </ns0:is>
      </ns0:c>
      <ns0:c r="D102" t="inlineStr">
        <ns0:is>
          <ns0:t>Переставленный бит смещения</ns0:t>
        </ns0:is>
      </ns0:c>
      <ns0:c r="E102" t="inlineStr">
        <ns0:is>
          <ns0:t>Биты смещения перехода</ns0:t>
        </ns0:is>
      </ns0:c>
      <ns0:c r="F102" t="inlineStr">
        <ns0:is>
          <ns0:t>Приёмник адреса возврата: x0 = zero</ns0:t>
        </ns0:is>
      </ns0:c>
      <ns0:c r="G102" t="inlineStr">
        <ns0:is>
          <ns0:t>1101111: JAL</ns0:t>
        </ns0:is>
      </ns0:c>
    </ns0:row>
    <ns0:row r="103">
      <ns0:c r="B103" t="inlineStr">
        <ns0:is>
          <ns0:t>12-битная константа; в RV32I знаково расширяется</ns0:t>
        </ns0:is>
      </ns0:c>
      <ns0:c r="C103" t="inlineStr">
        <ns0:is>
          <ns0:t>Исходный регистр x0 = zero</ns0:t>
        </ns0:is>
      </ns0:c>
      <ns0:c r="D103" t="inlineStr">
        <ns0:is>
          <ns0:t>000=ADDI, 111=ANDI</ns0:t>
        </ns0:is>
      </ns0:c>
      <ns0:c r="E103" t="inlineStr">
        <ns0:is>
          <ns0:t>Приёмник x30 = t5</ns0:t>
        </ns0:is>
      </ns0:c>
      <ns0:c r="F103" t="inlineStr">
        <ns0:is>
          <ns0:t>0010011: OP-IMM</ns0:t>
        </ns0:is>
      </ns0:c>
    </ns0:row>
    <ns0:row r="104">
      <ns0:c r="B104" t="inlineStr">
        <ns0:is>
          <ns0:t>Знаковый бит PC-относительного перехода</ns0:t>
        </ns0:is>
      </ns0:c>
      <ns0:c r="C104" t="inlineStr">
        <ns0:is>
          <ns0:t>Средние биты адресного смещения</ns0:t>
        </ns0:is>
      </ns0:c>
      <ns0:c r="D104" t="inlineStr">
        <ns0:is>
          <ns0:t>Переставленный бит смещения</ns0:t>
        </ns0:is>
      </ns0:c>
      <ns0:c r="E104" t="inlineStr">
        <ns0:is>
          <ns0:t>Биты смещения перехода</ns0:t>
        </ns0:is>
      </ns0:c>
      <ns0:c r="F104" t="inlineStr">
        <ns0:is>
          <ns0:t>Приёмник адреса возврата: x0 = zero</ns0:t>
        </ns0:is>
      </ns0:c>
      <ns0:c r="G104" t="inlineStr">
        <ns0:is>
          <ns0:t>1101111: JAL</ns0:t>
        </ns0:is>
      </ns0:c>
    </ns0:row>
    <ns0:row r="105">
      <ns0:c r="B105" t="inlineStr">
        <ns0:is>
          <ns0:t>12-битная константа; в RV32I знаково расширяется</ns0:t>
        </ns0:is>
      </ns0:c>
      <ns0:c r="C105" t="inlineStr">
        <ns0:is>
          <ns0:t>Исходный регистр x0 = zero</ns0:t>
        </ns0:is>
      </ns0:c>
      <ns0:c r="D105" t="inlineStr">
        <ns0:is>
          <ns0:t>000=ADDI, 111=ANDI</ns0:t>
        </ns0:is>
      </ns0:c>
      <ns0:c r="E105" t="inlineStr">
        <ns0:is>
          <ns0:t>Приёмник x30 = t5</ns0:t>
        </ns0:is>
      </ns0:c>
      <ns0:c r="F105" t="inlineStr">
        <ns0:is>
          <ns0:t>0010011: OP-IMM</ns0:t>
        </ns0:is>
      </ns0:c>
    </ns0:row>
    <ns0:row r="106">
      <ns0:c r="B106" t="inlineStr">
        <ns0:is>
          <ns0:t>Знаковый бит PC-относительного перехода</ns0:t>
        </ns0:is>
      </ns0:c>
      <ns0:c r="C106" t="inlineStr">
        <ns0:is>
          <ns0:t>Средние биты адресного смещения</ns0:t>
        </ns0:is>
      </ns0:c>
      <ns0:c r="D106" t="inlineStr">
        <ns0:is>
          <ns0:t>Переставленный бит смещения</ns0:t>
        </ns0:is>
      </ns0:c>
      <ns0:c r="E106" t="inlineStr">
        <ns0:is>
          <ns0:t>Биты смещения перехода</ns0:t>
        </ns0:is>
      </ns0:c>
      <ns0:c r="F106" t="inlineStr">
        <ns0:is>
          <ns0:t>Приёмник адреса возврата: x0 = zero</ns0:t>
        </ns0:is>
      </ns0:c>
      <ns0:c r="G106" t="inlineStr">
        <ns0:is>
          <ns0:t>1101111: JAL</ns0:t>
        </ns0:is>
      </ns0:c>
    </ns0:row>
    <ns0:row r="107">
      <ns0:c r="B107" t="inlineStr">
        <ns0:is>
          <ns0:t>12-битная константа; в RV32I знаково расширяется</ns0:t>
        </ns0:is>
      </ns0:c>
      <ns0:c r="C107" t="inlineStr">
        <ns0:is>
          <ns0:t>Исходный регистр x0 = zero</ns0:t>
        </ns0:is>
      </ns0:c>
      <ns0:c r="D107" t="inlineStr">
        <ns0:is>
          <ns0:t>000=ADDI, 111=ANDI</ns0:t>
        </ns0:is>
      </ns0:c>
      <ns0:c r="E107" t="inlineStr">
        <ns0:is>
          <ns0:t>Приёмник x6 = t1</ns0:t>
        </ns0:is>
      </ns0:c>
      <ns0:c r="F107" t="inlineStr">
        <ns0:is>
          <ns0:t>0010011: OP-IMM</ns0:t>
        </ns0:is>
      </ns0:c>
    </ns0:row>
    <ns0:row r="108">
      <ns0:c r="B108" t="inlineStr">
        <ns0:is>
          <ns0:t>Знаковый бит PC-относительного перехода</ns0:t>
        </ns0:is>
      </ns0:c>
      <ns0:c r="C108" t="inlineStr">
        <ns0:is>
          <ns0:t>Средние биты адресного смещения</ns0:t>
        </ns0:is>
      </ns0:c>
      <ns0:c r="D108" t="inlineStr">
        <ns0:is>
          <ns0:t>Переставленный бит смещения</ns0:t>
        </ns0:is>
      </ns0:c>
      <ns0:c r="E108" t="inlineStr">
        <ns0:is>
          <ns0:t>Биты смещения перехода</ns0:t>
        </ns0:is>
      </ns0:c>
      <ns0:c r="F108" t="inlineStr">
        <ns0:is>
          <ns0:t>Приёмник адреса возврата: x1 = ra</ns0:t>
        </ns0:is>
      </ns0:c>
      <ns0:c r="G108" t="inlineStr">
        <ns0:is>
          <ns0:t>1101111: JAL</ns0:t>
        </ns0:is>
      </ns0:c>
    </ns0:row>
    <ns0:row r="109">
      <ns0:c r="B109" t="inlineStr">
        <ns0:is>
          <ns0:t>12-битная константа; в RV32I знаково расширяется</ns0:t>
        </ns0:is>
      </ns0:c>
      <ns0:c r="C109" t="inlineStr">
        <ns0:is>
          <ns0:t>Исходный регистр x0 = zero</ns0:t>
        </ns0:is>
      </ns0:c>
      <ns0:c r="D109" t="inlineStr">
        <ns0:is>
          <ns0:t>000=ADDI, 111=ANDI</ns0:t>
        </ns0:is>
      </ns0:c>
      <ns0:c r="E109" t="inlineStr">
        <ns0:is>
          <ns0:t>Приёмник x6 = t1</ns0:t>
        </ns0:is>
      </ns0:c>
      <ns0:c r="F109" t="inlineStr">
        <ns0:is>
          <ns0:t>0010011: OP-IMM</ns0:t>
        </ns0:is>
      </ns0:c>
    </ns0:row>
    <ns0:row r="110">
      <ns0:c r="B110" t="inlineStr">
        <ns0:is>
          <ns0:t>Знаковый бит PC-относительного перехода</ns0:t>
        </ns0:is>
      </ns0:c>
      <ns0:c r="C110" t="inlineStr">
        <ns0:is>
          <ns0:t>Средние биты адресного смещения</ns0:t>
        </ns0:is>
      </ns0:c>
      <ns0:c r="D110" t="inlineStr">
        <ns0:is>
          <ns0:t>Переставленный бит смещения</ns0:t>
        </ns0:is>
      </ns0:c>
      <ns0:c r="E110" t="inlineStr">
        <ns0:is>
          <ns0:t>Биты смещения перехода</ns0:t>
        </ns0:is>
      </ns0:c>
      <ns0:c r="F110" t="inlineStr">
        <ns0:is>
          <ns0:t>Приёмник адреса возврата: x1 = ra</ns0:t>
        </ns0:is>
      </ns0:c>
      <ns0:c r="G110" t="inlineStr">
        <ns0:is>
          <ns0:t>1101111: JAL</ns0:t>
        </ns0:is>
      </ns0:c>
    </ns0:row>
    <ns0:row r="111">
      <ns0:c r="B111" t="inlineStr">
        <ns0:is>
          <ns0:t>12-битная константа; в RV32I знаково расширяется</ns0:t>
        </ns0:is>
      </ns0:c>
      <ns0:c r="C111" t="inlineStr">
        <ns0:is>
          <ns0:t>Исходный регистр x30 = t5</ns0:t>
        </ns0:is>
      </ns0:c>
      <ns0:c r="D111" t="inlineStr">
        <ns0:is>
          <ns0:t>000=ADDI, 111=ANDI</ns0:t>
        </ns0:is>
      </ns0:c>
      <ns0:c r="E111" t="inlineStr">
        <ns0:is>
          <ns0:t>Приёмник x6 = t1</ns0:t>
        </ns0:is>
      </ns0:c>
      <ns0:c r="F111" t="inlineStr">
        <ns0:is>
          <ns0:t>0010011: OP-IMM</ns0:t>
        </ns0:is>
      </ns0:c>
    </ns0:row>
    <ns0:row r="112">
      <ns0:c r="B112" t="inlineStr">
        <ns0:is>
          <ns0:t>Знаковый бит PC-относительного перехода</ns0:t>
        </ns0:is>
      </ns0:c>
      <ns0:c r="C112" t="inlineStr">
        <ns0:is>
          <ns0:t>Средние биты адресного смещения</ns0:t>
        </ns0:is>
      </ns0:c>
      <ns0:c r="D112" t="inlineStr">
        <ns0:is>
          <ns0:t>Переставленный бит смещения</ns0:t>
        </ns0:is>
      </ns0:c>
      <ns0:c r="E112" t="inlineStr">
        <ns0:is>
          <ns0:t>Биты смещения перехода</ns0:t>
        </ns0:is>
      </ns0:c>
      <ns0:c r="F112" t="inlineStr">
        <ns0:is>
          <ns0:t>Приёмник адреса возврата: x1 = ra</ns0:t>
        </ns0:is>
      </ns0:c>
      <ns0:c r="G112" t="inlineStr">
        <ns0:is>
          <ns0:t>1101111: JAL</ns0:t>
        </ns0:is>
      </ns0:c>
    </ns0:row>
    <ns0:row r="113">
      <ns0:c r="B113" t="inlineStr">
        <ns0:is>
          <ns0:t>12-битная константа; в RV32I знаково расширяется</ns0:t>
        </ns0:is>
      </ns0:c>
      <ns0:c r="C113" t="inlineStr">
        <ns0:is>
          <ns0:t>Исходный регистр x0 = zero</ns0:t>
        </ns0:is>
      </ns0:c>
      <ns0:c r="D113" t="inlineStr">
        <ns0:is>
          <ns0:t>000=ADDI, 111=ANDI</ns0:t>
        </ns0:is>
      </ns0:c>
      <ns0:c r="E113" t="inlineStr">
        <ns0:is>
          <ns0:t>Приёмник x6 = t1</ns0:t>
        </ns0:is>
      </ns0:c>
      <ns0:c r="F113" t="inlineStr">
        <ns0:is>
          <ns0:t>0010011: OP-IMM</ns0:t>
        </ns0:is>
      </ns0:c>
    </ns0:row>
    <ns0:row r="114">
      <ns0:c r="B114" t="inlineStr">
        <ns0:is>
          <ns0:t>Знаковый бит PC-относительного перехода</ns0:t>
        </ns0:is>
      </ns0:c>
      <ns0:c r="C114" t="inlineStr">
        <ns0:is>
          <ns0:t>Средние биты адресного смещения</ns0:t>
        </ns0:is>
      </ns0:c>
      <ns0:c r="D114" t="inlineStr">
        <ns0:is>
          <ns0:t>Переставленный бит смещения</ns0:t>
        </ns0:is>
      </ns0:c>
      <ns0:c r="E114" t="inlineStr">
        <ns0:is>
          <ns0:t>Биты смещения перехода</ns0:t>
        </ns0:is>
      </ns0:c>
      <ns0:c r="F114" t="inlineStr">
        <ns0:is>
          <ns0:t>Приёмник адреса возврата: x1 = ra</ns0:t>
        </ns0:is>
      </ns0:c>
      <ns0:c r="G114" t="inlineStr">
        <ns0:is>
          <ns0:t>1101111: JAL</ns0:t>
        </ns0:is>
      </ns0:c>
    </ns0:row>
    <ns0:row r="115">
      <ns0:c r="B115" t="inlineStr">
        <ns0:is>
          <ns0:t>Знаковый бит PC-относительного перехода</ns0:t>
        </ns0:is>
      </ns0:c>
      <ns0:c r="C115" t="inlineStr">
        <ns0:is>
          <ns0:t>Средние биты адресного смещения</ns0:t>
        </ns0:is>
      </ns0:c>
      <ns0:c r="D115" t="inlineStr">
        <ns0:is>
          <ns0:t>Переставленный бит смещения</ns0:t>
        </ns0:is>
      </ns0:c>
      <ns0:c r="E115" t="inlineStr">
        <ns0:is>
          <ns0:t>Биты смещения перехода</ns0:t>
        </ns0:is>
      </ns0:c>
      <ns0:c r="F115" t="inlineStr">
        <ns0:is>
          <ns0:t>Приёмник адреса возврата: x0 = zero</ns0:t>
        </ns0:is>
      </ns0:c>
      <ns0:c r="G115" t="inlineStr">
        <ns0:is>
          <ns0:t>1101111: JAL</ns0:t>
        </ns0:is>
      </ns0:c>
    </ns0:row>
    <ns0:row r="116">
      <ns0:c r="B116" t="inlineStr">
        <ns0:is>
          <ns0:t>12-битная константа; в RV32I знаково расширяется</ns0:t>
        </ns0:is>
      </ns0:c>
      <ns0:c r="C116" t="inlineStr">
        <ns0:is>
          <ns0:t>Исходный регистр x0 = zero</ns0:t>
        </ns0:is>
      </ns0:c>
      <ns0:c r="D116" t="inlineStr">
        <ns0:is>
          <ns0:t>000=ADDI, 111=ANDI</ns0:t>
        </ns0:is>
      </ns0:c>
      <ns0:c r="E116" t="inlineStr">
        <ns0:is>
          <ns0:t>Приёмник x6 = t1</ns0:t>
        </ns0:is>
      </ns0:c>
      <ns0:c r="F116" t="inlineStr">
        <ns0:is>
          <ns0:t>0010011: OP-IMM</ns0:t>
        </ns0:is>
      </ns0:c>
    </ns0:row>
    <ns0:row r="117">
      <ns0:c r="B117" t="inlineStr">
        <ns0:is>
          <ns0:t>Знаковый бит PC-относительного перехода</ns0:t>
        </ns0:is>
      </ns0:c>
      <ns0:c r="C117" t="inlineStr">
        <ns0:is>
          <ns0:t>Средние биты адресного смещения</ns0:t>
        </ns0:is>
      </ns0:c>
      <ns0:c r="D117" t="inlineStr">
        <ns0:is>
          <ns0:t>Переставленный бит смещения</ns0:t>
        </ns0:is>
      </ns0:c>
      <ns0:c r="E117" t="inlineStr">
        <ns0:is>
          <ns0:t>Биты смещения перехода</ns0:t>
        </ns0:is>
      </ns0:c>
      <ns0:c r="F117" t="inlineStr">
        <ns0:is>
          <ns0:t>Приёмник адреса возврата: x1 = ra</ns0:t>
        </ns0:is>
      </ns0:c>
      <ns0:c r="G117" t="inlineStr">
        <ns0:is>
          <ns0:t>1101111: JAL</ns0:t>
        </ns0:is>
      </ns0:c>
    </ns0:row>
    <ns0:row r="118">
      <ns0:c r="B118" t="inlineStr">
        <ns0:is>
          <ns0:t>12-битная константа; в RV32I знаково расширяется</ns0:t>
        </ns0:is>
      </ns0:c>
      <ns0:c r="C118" t="inlineStr">
        <ns0:is>
          <ns0:t>Исходный регистр x0 = zero</ns0:t>
        </ns0:is>
      </ns0:c>
      <ns0:c r="D118" t="inlineStr">
        <ns0:is>
          <ns0:t>000=ADDI, 111=ANDI</ns0:t>
        </ns0:is>
      </ns0:c>
      <ns0:c r="E118" t="inlineStr">
        <ns0:is>
          <ns0:t>Приёмник x6 = t1</ns0:t>
        </ns0:is>
      </ns0:c>
      <ns0:c r="F118" t="inlineStr">
        <ns0:is>
          <ns0:t>0010011: OP-IMM</ns0:t>
        </ns0:is>
      </ns0:c>
    </ns0:row>
    <ns0:row r="119">
      <ns0:c r="B119" t="inlineStr">
        <ns0:is>
          <ns0:t>Знаковый бит PC-относительного перехода</ns0:t>
        </ns0:is>
      </ns0:c>
      <ns0:c r="C119" t="inlineStr">
        <ns0:is>
          <ns0:t>Средние биты адресного смещения</ns0:t>
        </ns0:is>
      </ns0:c>
      <ns0:c r="D119" t="inlineStr">
        <ns0:is>
          <ns0:t>Переставленный бит смещения</ns0:t>
        </ns0:is>
      </ns0:c>
      <ns0:c r="E119" t="inlineStr">
        <ns0:is>
          <ns0:t>Биты смещения перехода</ns0:t>
        </ns0:is>
      </ns0:c>
      <ns0:c r="F119" t="inlineStr">
        <ns0:is>
          <ns0:t>Приёмник адреса возврата: x1 = ra</ns0:t>
        </ns0:is>
      </ns0:c>
      <ns0:c r="G119" t="inlineStr">
        <ns0:is>
          <ns0:t>1101111: JAL</ns0:t>
        </ns0:is>
      </ns0:c>
    </ns0:row>
    <ns0:row r="120">
      <ns0:c r="B120" t="inlineStr">
        <ns0:is>
          <ns0:t>Знаковый бит PC-относительного перехода</ns0:t>
        </ns0:is>
      </ns0:c>
      <ns0:c r="C120" t="inlineStr">
        <ns0:is>
          <ns0:t>Средние биты адресного смещения</ns0:t>
        </ns0:is>
      </ns0:c>
      <ns0:c r="D120" t="inlineStr">
        <ns0:is>
          <ns0:t>Переставленный бит смещения</ns0:t>
        </ns0:is>
      </ns0:c>
      <ns0:c r="E120" t="inlineStr">
        <ns0:is>
          <ns0:t>Биты смещения перехода</ns0:t>
        </ns0:is>
      </ns0:c>
      <ns0:c r="F120" t="inlineStr">
        <ns0:is>
          <ns0:t>Приёмник адреса возврата: x0 = zero</ns0:t>
        </ns0:is>
      </ns0:c>
      <ns0:c r="G120" t="inlineStr">
        <ns0:is>
          <ns0:t>1101111: JAL</ns0:t>
        </ns0:is>
      </ns0:c>
    </ns0:row>
    <ns0:row r="121">
      <ns0:c r="B121" t="inlineStr">
        <ns0:is>
          <ns0:t>12-битная константа; в RV32I знаково расширяется</ns0:t>
        </ns0:is>
      </ns0:c>
      <ns0:c r="C121" t="inlineStr">
        <ns0:is>
          <ns0:t>Исходный регистр x0 = zero</ns0:t>
        </ns0:is>
      </ns0:c>
      <ns0:c r="D121" t="inlineStr">
        <ns0:is>
          <ns0:t>000=ADDI, 111=ANDI</ns0:t>
        </ns0:is>
      </ns0:c>
      <ns0:c r="E121" t="inlineStr">
        <ns0:is>
          <ns0:t>Приёмник x6 = t1</ns0:t>
        </ns0:is>
      </ns0:c>
      <ns0:c r="F121" t="inlineStr">
        <ns0:is>
          <ns0:t>0010011: OP-IMM</ns0:t>
        </ns0:is>
      </ns0:c>
    </ns0:row>
    <ns0:row r="122">
      <ns0:c r="B122" t="inlineStr">
        <ns0:is>
          <ns0:t>Знаковый бит PC-относительного перехода</ns0:t>
        </ns0:is>
      </ns0:c>
      <ns0:c r="C122" t="inlineStr">
        <ns0:is>
          <ns0:t>Средние биты адресного смещения</ns0:t>
        </ns0:is>
      </ns0:c>
      <ns0:c r="D122" t="inlineStr">
        <ns0:is>
          <ns0:t>Переставленный бит смещения</ns0:t>
        </ns0:is>
      </ns0:c>
      <ns0:c r="E122" t="inlineStr">
        <ns0:is>
          <ns0:t>Биты смещения перехода</ns0:t>
        </ns0:is>
      </ns0:c>
      <ns0:c r="F122" t="inlineStr">
        <ns0:is>
          <ns0:t>Приёмник адреса возврата: x1 = ra</ns0:t>
        </ns0:is>
      </ns0:c>
      <ns0:c r="G122" t="inlineStr">
        <ns0:is>
          <ns0:t>1101111: JAL</ns0:t>
        </ns0:is>
      </ns0:c>
    </ns0:row>
    <ns0:row r="123">
      <ns0:c r="B123" t="inlineStr">
        <ns0:is>
          <ns0:t>12-битная константа; в RV32I знаково расширяется</ns0:t>
        </ns0:is>
      </ns0:c>
      <ns0:c r="C123" t="inlineStr">
        <ns0:is>
          <ns0:t>Исходный регистр x0 = zero</ns0:t>
        </ns0:is>
      </ns0:c>
      <ns0:c r="D123" t="inlineStr">
        <ns0:is>
          <ns0:t>000=ADDI, 111=ANDI</ns0:t>
        </ns0:is>
      </ns0:c>
      <ns0:c r="E123" t="inlineStr">
        <ns0:is>
          <ns0:t>Приёмник x6 = t1</ns0:t>
        </ns0:is>
      </ns0:c>
      <ns0:c r="F123" t="inlineStr">
        <ns0:is>
          <ns0:t>0010011: OP-IMM</ns0:t>
        </ns0:is>
      </ns0:c>
    </ns0:row>
    <ns0:row r="124">
      <ns0:c r="B124" t="inlineStr">
        <ns0:is>
          <ns0:t>Знаковый бит PC-относительного перехода</ns0:t>
        </ns0:is>
      </ns0:c>
      <ns0:c r="C124" t="inlineStr">
        <ns0:is>
          <ns0:t>Средние биты адресного смещения</ns0:t>
        </ns0:is>
      </ns0:c>
      <ns0:c r="D124" t="inlineStr">
        <ns0:is>
          <ns0:t>Переставленный бит смещения</ns0:t>
        </ns0:is>
      </ns0:c>
      <ns0:c r="E124" t="inlineStr">
        <ns0:is>
          <ns0:t>Биты смещения перехода</ns0:t>
        </ns0:is>
      </ns0:c>
      <ns0:c r="F124" t="inlineStr">
        <ns0:is>
          <ns0:t>Приёмник адреса возврата: x1 = ra</ns0:t>
        </ns0:is>
      </ns0:c>
      <ns0:c r="G124" t="inlineStr">
        <ns0:is>
          <ns0:t>1101111: JAL</ns0:t>
        </ns0:is>
      </ns0:c>
    </ns0:row>
    <ns0:row r="125">
      <ns0:c r="B125" t="inlineStr">
        <ns0:is>
          <ns0:t>Знаковый бит PC-относительного перехода</ns0:t>
        </ns0:is>
      </ns0:c>
      <ns0:c r="C125" t="inlineStr">
        <ns0:is>
          <ns0:t>Средние биты адресного смещения</ns0:t>
        </ns0:is>
      </ns0:c>
      <ns0:c r="D125" t="inlineStr">
        <ns0:is>
          <ns0:t>Переставленный бит смещения</ns0:t>
        </ns0:is>
      </ns0:c>
      <ns0:c r="E125" t="inlineStr">
        <ns0:is>
          <ns0:t>Биты смещения перехода</ns0:t>
        </ns0:is>
      </ns0:c>
      <ns0:c r="F125" t="inlineStr">
        <ns0:is>
          <ns0:t>Приёмник адреса возврата: x0 = zero</ns0:t>
        </ns0:is>
      </ns0:c>
      <ns0:c r="G125" t="inlineStr">
        <ns0:is>
          <ns0:t>1101111: JAL</ns0:t>
        </ns0:is>
      </ns0:c>
    </ns0:row>
    <ns0:row r="126">
      <ns0:c r="B126" t="inlineStr">
        <ns0:is>
          <ns0:t>Старшие биты смещения со знаком</ns0:t>
        </ns0:is>
      </ns0:c>
      <ns0:c r="C126" t="inlineStr">
        <ns0:is>
          <ns0:t>Источник записываемых данных: x28 = t3</ns0:t>
        </ns0:is>
      </ns0:c>
      <ns0:c r="D126" t="inlineStr">
        <ns0:is>
          <ns0:t>Базовый адрес: x5 = t0</ns0:t>
        </ns0:is>
      </ns0:c>
      <ns0:c r="E126" t="inlineStr">
        <ns0:is>
          <ns0:t>010 = SW: запись 32-битного слова</ns0:t>
        </ns0:is>
      </ns0:c>
      <ns0:c r="F126" t="inlineStr">
        <ns0:is>
          <ns0:t>Младшие биты смещения</ns0:t>
        </ns0:is>
      </ns0:c>
      <ns0:c r="G126" t="inlineStr">
        <ns0:is>
          <ns0:t>0100011: STORE</ns0:t>
        </ns0:is>
      </ns0:c>
    </ns0:row>
    <ns0:row r="127">
      <ns0:c r="B127" t="inlineStr">
        <ns0:is>
          <ns0:t>12-битная константа; в RV32I знаково расширяется</ns0:t>
        </ns0:is>
      </ns0:c>
      <ns0:c r="C127" t="inlineStr">
        <ns0:is>
          <ns0:t>Исходный регистр x0 = zero</ns0:t>
        </ns0:is>
      </ns0:c>
      <ns0:c r="D127" t="inlineStr">
        <ns0:is>
          <ns0:t>000=ADDI, 111=ANDI</ns0:t>
        </ns0:is>
      </ns0:c>
      <ns0:c r="E127" t="inlineStr">
        <ns0:is>
          <ns0:t>Приёмник x6 = t1</ns0:t>
        </ns0:is>
      </ns0:c>
      <ns0:c r="F127" t="inlineStr">
        <ns0:is>
          <ns0:t>0010011: OP-IMM</ns0:t>
        </ns0:is>
      </ns0:c>
    </ns0:row>
    <ns0:row r="128">
      <ns0:c r="B128" t="inlineStr">
        <ns0:is>
          <ns0:t>Знаковый бит PC-относительного перехода</ns0:t>
        </ns0:is>
      </ns0:c>
      <ns0:c r="C128" t="inlineStr">
        <ns0:is>
          <ns0:t>Средние биты адресного смещения</ns0:t>
        </ns0:is>
      </ns0:c>
      <ns0:c r="D128" t="inlineStr">
        <ns0:is>
          <ns0:t>Переставленный бит смещения</ns0:t>
        </ns0:is>
      </ns0:c>
      <ns0:c r="E128" t="inlineStr">
        <ns0:is>
          <ns0:t>Биты смещения перехода</ns0:t>
        </ns0:is>
      </ns0:c>
      <ns0:c r="F128" t="inlineStr">
        <ns0:is>
          <ns0:t>Приёмник адреса возврата: x1 = ra</ns0:t>
        </ns0:is>
      </ns0:c>
      <ns0:c r="G128" t="inlineStr">
        <ns0:is>
          <ns0:t>1101111: JAL</ns0:t>
        </ns0:is>
      </ns0:c>
    </ns0:row>
    <ns0:row r="129">
      <ns0:c r="B129" t="inlineStr">
        <ns0:is>
          <ns0:t>12-битная константа; в RV32I знаково расширяется</ns0:t>
        </ns0:is>
      </ns0:c>
      <ns0:c r="C129" t="inlineStr">
        <ns0:is>
          <ns0:t>Исходный регистр x0 = zero</ns0:t>
        </ns0:is>
      </ns0:c>
      <ns0:c r="D129" t="inlineStr">
        <ns0:is>
          <ns0:t>000=ADDI, 111=ANDI</ns0:t>
        </ns0:is>
      </ns0:c>
      <ns0:c r="E129" t="inlineStr">
        <ns0:is>
          <ns0:t>Приёмник x6 = t1</ns0:t>
        </ns0:is>
      </ns0:c>
      <ns0:c r="F129" t="inlineStr">
        <ns0:is>
          <ns0:t>0010011: OP-IMM</ns0:t>
        </ns0:is>
      </ns0:c>
    </ns0:row>
    <ns0:row r="130">
      <ns0:c r="B130" t="inlineStr">
        <ns0:is>
          <ns0:t>Знаковый бит PC-относительного перехода</ns0:t>
        </ns0:is>
      </ns0:c>
      <ns0:c r="C130" t="inlineStr">
        <ns0:is>
          <ns0:t>Средние биты адресного смещения</ns0:t>
        </ns0:is>
      </ns0:c>
      <ns0:c r="D130" t="inlineStr">
        <ns0:is>
          <ns0:t>Переставленный бит смещения</ns0:t>
        </ns0:is>
      </ns0:c>
      <ns0:c r="E130" t="inlineStr">
        <ns0:is>
          <ns0:t>Биты смещения перехода</ns0:t>
        </ns0:is>
      </ns0:c>
      <ns0:c r="F130" t="inlineStr">
        <ns0:is>
          <ns0:t>Приёмник адреса возврата: x1 = ra</ns0:t>
        </ns0:is>
      </ns0:c>
      <ns0:c r="G130" t="inlineStr">
        <ns0:is>
          <ns0:t>1101111: JAL</ns0:t>
        </ns0:is>
      </ns0:c>
    </ns0:row>
    <ns0:row r="131">
      <ns0:c r="B131" t="inlineStr">
        <ns0:is>
          <ns0:t>Знаковый бит PC-относительного перехода</ns0:t>
        </ns0:is>
      </ns0:c>
      <ns0:c r="C131" t="inlineStr">
        <ns0:is>
          <ns0:t>Средние биты адресного смещения</ns0:t>
        </ns0:is>
      </ns0:c>
      <ns0:c r="D131" t="inlineStr">
        <ns0:is>
          <ns0:t>Переставленный бит смещения</ns0:t>
        </ns0:is>
      </ns0:c>
      <ns0:c r="E131" t="inlineStr">
        <ns0:is>
          <ns0:t>Биты смещения перехода</ns0:t>
        </ns0:is>
      </ns0:c>
      <ns0:c r="F131" t="inlineStr">
        <ns0:is>
          <ns0:t>Приёмник адреса возврата: x0 = zero</ns0:t>
        </ns0:is>
      </ns0:c>
      <ns0:c r="G131" t="inlineStr">
        <ns0:is>
          <ns0:t>1101111: JAL</ns0:t>
        </ns0:is>
      </ns0:c>
    </ns0:row>
    <ns0:row r="132">
      <ns0:c r="B132" t="inlineStr">
        <ns0:is>
          <ns0:t>12-битная константа; в RV32I знаково расширяется</ns0:t>
        </ns0:is>
      </ns0:c>
      <ns0:c r="C132" t="inlineStr">
        <ns0:is>
          <ns0:t>Исходный регистр x0 = zero</ns0:t>
        </ns0:is>
      </ns0:c>
      <ns0:c r="D132" t="inlineStr">
        <ns0:is>
          <ns0:t>000=ADDI, 111=ANDI</ns0:t>
        </ns0:is>
      </ns0:c>
      <ns0:c r="E132" t="inlineStr">
        <ns0:is>
          <ns0:t>Приёмник x6 = t1</ns0:t>
        </ns0:is>
      </ns0:c>
      <ns0:c r="F132" t="inlineStr">
        <ns0:is>
          <ns0:t>0010011: OP-IMM</ns0:t>
        </ns0:is>
      </ns0:c>
    </ns0:row>
    <ns0:row r="133">
      <ns0:c r="B133" t="inlineStr">
        <ns0:is>
          <ns0:t>Знаковый бит PC-относительного перехода</ns0:t>
        </ns0:is>
      </ns0:c>
      <ns0:c r="C133" t="inlineStr">
        <ns0:is>
          <ns0:t>Средние биты адресного смещения</ns0:t>
        </ns0:is>
      </ns0:c>
      <ns0:c r="D133" t="inlineStr">
        <ns0:is>
          <ns0:t>Переставленный бит смещения</ns0:t>
        </ns0:is>
      </ns0:c>
      <ns0:c r="E133" t="inlineStr">
        <ns0:is>
          <ns0:t>Биты смещения перехода</ns0:t>
        </ns0:is>
      </ns0:c>
      <ns0:c r="F133" t="inlineStr">
        <ns0:is>
          <ns0:t>Приёмник адреса возврата: x1 = ra</ns0:t>
        </ns0:is>
      </ns0:c>
      <ns0:c r="G133" t="inlineStr">
        <ns0:is>
          <ns0:t>1101111: JAL</ns0:t>
        </ns0:is>
      </ns0:c>
    </ns0:row>
    <ns0:row r="134">
      <ns0:c r="B134" t="inlineStr">
        <ns0:is>
          <ns0:t>12-битная константа; в RV32I знаково расширяется</ns0:t>
        </ns0:is>
      </ns0:c>
      <ns0:c r="C134" t="inlineStr">
        <ns0:is>
          <ns0:t>Исходный регистр x0 = zero</ns0:t>
        </ns0:is>
      </ns0:c>
      <ns0:c r="D134" t="inlineStr">
        <ns0:is>
          <ns0:t>000=ADDI, 111=ANDI</ns0:t>
        </ns0:is>
      </ns0:c>
      <ns0:c r="E134" t="inlineStr">
        <ns0:is>
          <ns0:t>Приёмник x6 = t1</ns0:t>
        </ns0:is>
      </ns0:c>
      <ns0:c r="F134" t="inlineStr">
        <ns0:is>
          <ns0:t>0010011: OP-IMM</ns0:t>
        </ns0:is>
      </ns0:c>
    </ns0:row>
    <ns0:row r="135">
      <ns0:c r="B135" t="inlineStr">
        <ns0:is>
          <ns0:t>Знаковый бит PC-относительного перехода</ns0:t>
        </ns0:is>
      </ns0:c>
      <ns0:c r="C135" t="inlineStr">
        <ns0:is>
          <ns0:t>Средние биты адресного смещения</ns0:t>
        </ns0:is>
      </ns0:c>
      <ns0:c r="D135" t="inlineStr">
        <ns0:is>
          <ns0:t>Переставленный бит смещения</ns0:t>
        </ns0:is>
      </ns0:c>
      <ns0:c r="E135" t="inlineStr">
        <ns0:is>
          <ns0:t>Биты смещения перехода</ns0:t>
        </ns0:is>
      </ns0:c>
      <ns0:c r="F135" t="inlineStr">
        <ns0:is>
          <ns0:t>Приёмник адреса возврата: x1 = ra</ns0:t>
        </ns0:is>
      </ns0:c>
      <ns0:c r="G135" t="inlineStr">
        <ns0:is>
          <ns0:t>1101111: JAL</ns0:t>
        </ns0:is>
      </ns0:c>
    </ns0:row>
    <ns0:row r="136">
      <ns0:c r="B136" t="inlineStr">
        <ns0:is>
          <ns0:t>12-битная константа; в RV32I знаково расширяется</ns0:t>
        </ns0:is>
      </ns0:c>
      <ns0:c r="C136" t="inlineStr">
        <ns0:is>
          <ns0:t>Исходный регистр x0 = zero</ns0:t>
        </ns0:is>
      </ns0:c>
      <ns0:c r="D136" t="inlineStr">
        <ns0:is>
          <ns0:t>000=ADDI, 111=ANDI</ns0:t>
        </ns0:is>
      </ns0:c>
      <ns0:c r="E136" t="inlineStr">
        <ns0:is>
          <ns0:t>Приёмник x6 = t1</ns0:t>
        </ns0:is>
      </ns0:c>
      <ns0:c r="F136" t="inlineStr">
        <ns0:is>
          <ns0:t>0010011: OP-IMM</ns0:t>
        </ns0:is>
      </ns0:c>
    </ns0:row>
    <ns0:row r="137">
      <ns0:c r="B137" t="inlineStr">
        <ns0:is>
          <ns0:t>Знаковый бит PC-относительного перехода</ns0:t>
        </ns0:is>
      </ns0:c>
      <ns0:c r="C137" t="inlineStr">
        <ns0:is>
          <ns0:t>Средние биты адресного смещения</ns0:t>
        </ns0:is>
      </ns0:c>
      <ns0:c r="D137" t="inlineStr">
        <ns0:is>
          <ns0:t>Переставленный бит смещения</ns0:t>
        </ns0:is>
      </ns0:c>
      <ns0:c r="E137" t="inlineStr">
        <ns0:is>
          <ns0:t>Биты смещения перехода</ns0:t>
        </ns0:is>
      </ns0:c>
      <ns0:c r="F137" t="inlineStr">
        <ns0:is>
          <ns0:t>Приёмник адреса возврата: x1 = ra</ns0:t>
        </ns0:is>
      </ns0:c>
      <ns0:c r="G137" t="inlineStr">
        <ns0:is>
          <ns0:t>1101111: JAL</ns0:t>
        </ns0:is>
      </ns0:c>
    </ns0:row>
    <ns0:row r="138">
      <ns0:c r="B138" t="inlineStr">
        <ns0:is>
          <ns0:t>Знаковое 12-битное смещение от базового адреса</ns0:t>
        </ns0:is>
      </ns0:c>
      <ns0:c r="C138" t="inlineStr">
        <ns0:is>
          <ns0:t>Базовый регистр x5 = t0</ns0:t>
        </ns0:is>
      </ns0:c>
      <ns0:c r="D138" t="inlineStr">
        <ns0:is>
          <ns0:t>010 = LW: загрузка 32-битного слова</ns0:t>
        </ns0:is>
      </ns0:c>
      <ns0:c r="E138" t="inlineStr">
        <ns0:is>
          <ns0:t>Приёмник x10 = a0</ns0:t>
        </ns0:is>
      </ns0:c>
      <ns0:c r="F138" t="inlineStr">
        <ns0:is>
          <ns0:t>0000011: LOAD</ns0:t>
        </ns0:is>
      </ns0:c>
    </ns0:row>
    <ns0:row r="139">
      <ns0:c r="B139" t="inlineStr">
        <ns0:is>
          <ns0:t>12-битная константа; в RV32I знаково расширяется</ns0:t>
        </ns0:is>
      </ns0:c>
      <ns0:c r="C139" t="inlineStr">
        <ns0:is>
          <ns0:t>Исходный регистр x10 = a0</ns0:t>
        </ns0:is>
      </ns0:c>
      <ns0:c r="D139" t="inlineStr">
        <ns0:is>
          <ns0:t>000=ADDI, 111=ANDI</ns0:t>
        </ns0:is>
      </ns0:c>
      <ns0:c r="E139" t="inlineStr">
        <ns0:is>
          <ns0:t>Приёмник x18 = s2</ns0:t>
        </ns0:is>
      </ns0:c>
      <ns0:c r="F139" t="inlineStr">
        <ns0:is>
          <ns0:t>0010011: OP-IMM</ns0:t>
        </ns0:is>
      </ns0:c>
    </ns0:row>
    <ns0:row r="140">
      <ns0:c r="B140" t="inlineStr">
        <ns0:is>
          <ns0:t>Знаковый бит PC-относительного перехода</ns0:t>
        </ns0:is>
      </ns0:c>
      <ns0:c r="C140" t="inlineStr">
        <ns0:is>
          <ns0:t>Средние биты адресного смещения</ns0:t>
        </ns0:is>
      </ns0:c>
      <ns0:c r="D140" t="inlineStr">
        <ns0:is>
          <ns0:t>Переставленный бит смещения</ns0:t>
        </ns0:is>
      </ns0:c>
      <ns0:c r="E140" t="inlineStr">
        <ns0:is>
          <ns0:t>Биты смещения перехода</ns0:t>
        </ns0:is>
      </ns0:c>
      <ns0:c r="F140" t="inlineStr">
        <ns0:is>
          <ns0:t>Приёмник адреса возврата: x1 = ra</ns0:t>
        </ns0:is>
      </ns0:c>
      <ns0:c r="G140" t="inlineStr">
        <ns0:is>
          <ns0:t>1101111: JAL</ns0:t>
        </ns0:is>
      </ns0:c>
    </ns0:row>
    <ns0:row r="141">
      <ns0:c r="B141" t="inlineStr">
        <ns0:is>
          <ns0:t>12-битная константа; в RV32I знаково расширяется</ns0:t>
        </ns0:is>
      </ns0:c>
      <ns0:c r="C141" t="inlineStr">
        <ns0:is>
          <ns0:t>Исходный регистр x0 = zero</ns0:t>
        </ns0:is>
      </ns0:c>
      <ns0:c r="D141" t="inlineStr">
        <ns0:is>
          <ns0:t>000=ADDI, 111=ANDI</ns0:t>
        </ns0:is>
      </ns0:c>
      <ns0:c r="E141" t="inlineStr">
        <ns0:is>
          <ns0:t>Приёмник x6 = t1</ns0:t>
        </ns0:is>
      </ns0:c>
      <ns0:c r="F141" t="inlineStr">
        <ns0:is>
          <ns0:t>0010011: OP-IMM</ns0:t>
        </ns0:is>
      </ns0:c>
    </ns0:row>
    <ns0:row r="142">
      <ns0:c r="B142" t="inlineStr">
        <ns0:is>
          <ns0:t>Знаковый бит PC-относительного перехода</ns0:t>
        </ns0:is>
      </ns0:c>
      <ns0:c r="C142" t="inlineStr">
        <ns0:is>
          <ns0:t>Средние биты адресного смещения</ns0:t>
        </ns0:is>
      </ns0:c>
      <ns0:c r="D142" t="inlineStr">
        <ns0:is>
          <ns0:t>Переставленный бит смещения</ns0:t>
        </ns0:is>
      </ns0:c>
      <ns0:c r="E142" t="inlineStr">
        <ns0:is>
          <ns0:t>Биты смещения перехода</ns0:t>
        </ns0:is>
      </ns0:c>
      <ns0:c r="F142" t="inlineStr">
        <ns0:is>
          <ns0:t>Приёмник адреса возврата: x1 = ra</ns0:t>
        </ns0:is>
      </ns0:c>
      <ns0:c r="G142" t="inlineStr">
        <ns0:is>
          <ns0:t>1101111: JAL</ns0:t>
        </ns0:is>
      </ns0:c>
    </ns0:row>
    <ns0:row r="143">
      <ns0:c r="B143" t="inlineStr">
        <ns0:is>
          <ns0:t>Знаковое 12-битное смещение от базового адреса</ns0:t>
        </ns0:is>
      </ns0:c>
      <ns0:c r="C143" t="inlineStr">
        <ns0:is>
          <ns0:t>Базовый регистр x5 = t0</ns0:t>
        </ns0:is>
      </ns0:c>
      <ns0:c r="D143" t="inlineStr">
        <ns0:is>
          <ns0:t>010 = LW: загрузка 32-битного слова</ns0:t>
        </ns0:is>
      </ns0:c>
      <ns0:c r="E143" t="inlineStr">
        <ns0:is>
          <ns0:t>Приёмник x10 = a0</ns0:t>
        </ns0:is>
      </ns0:c>
      <ns0:c r="F143" t="inlineStr">
        <ns0:is>
          <ns0:t>0000011: LOAD</ns0:t>
        </ns0:is>
      </ns0:c>
    </ns0:row>
    <ns0:row r="144">
      <ns0:c r="B144" t="inlineStr">
        <ns0:is>
          <ns0:t>Знаковый бит PC-относительного перехода</ns0:t>
        </ns0:is>
      </ns0:c>
      <ns0:c r="C144" t="inlineStr">
        <ns0:is>
          <ns0:t>Средние биты адресного смещения</ns0:t>
        </ns0:is>
      </ns0:c>
      <ns0:c r="D144" t="inlineStr">
        <ns0:is>
          <ns0:t>Переставленный бит смещения</ns0:t>
        </ns0:is>
      </ns0:c>
      <ns0:c r="E144" t="inlineStr">
        <ns0:is>
          <ns0:t>Биты смещения перехода</ns0:t>
        </ns0:is>
      </ns0:c>
      <ns0:c r="F144" t="inlineStr">
        <ns0:is>
          <ns0:t>Приёмник адреса возврата: x1 = ra</ns0:t>
        </ns0:is>
      </ns0:c>
      <ns0:c r="G144" t="inlineStr">
        <ns0:is>
          <ns0:t>1101111: JAL</ns0:t>
        </ns0:is>
      </ns0:c>
    </ns0:row>
    <ns0:row r="145">
      <ns0:c r="B145" t="inlineStr">
        <ns0:is>
          <ns0:t>12-битная константа; в RV32I знаково расширяется</ns0:t>
        </ns0:is>
      </ns0:c>
      <ns0:c r="C145" t="inlineStr">
        <ns0:is>
          <ns0:t>Исходный регистр x0 = zero</ns0:t>
        </ns0:is>
      </ns0:c>
      <ns0:c r="D145" t="inlineStr">
        <ns0:is>
          <ns0:t>000=ADDI, 111=ANDI</ns0:t>
        </ns0:is>
      </ns0:c>
      <ns0:c r="E145" t="inlineStr">
        <ns0:is>
          <ns0:t>Приёмник x6 = t1</ns0:t>
        </ns0:is>
      </ns0:c>
      <ns0:c r="F145" t="inlineStr">
        <ns0:is>
          <ns0:t>0010011: OP-IMM</ns0:t>
        </ns0:is>
      </ns0:c>
    </ns0:row>
    <ns0:row r="146">
      <ns0:c r="B146" t="inlineStr">
        <ns0:is>
          <ns0:t>Знаковый бит PC-относительного перехода</ns0:t>
        </ns0:is>
      </ns0:c>
      <ns0:c r="C146" t="inlineStr">
        <ns0:is>
          <ns0:t>Средние биты адресного смещения</ns0:t>
        </ns0:is>
      </ns0:c>
      <ns0:c r="D146" t="inlineStr">
        <ns0:is>
          <ns0:t>Переставленный бит смещения</ns0:t>
        </ns0:is>
      </ns0:c>
      <ns0:c r="E146" t="inlineStr">
        <ns0:is>
          <ns0:t>Биты смещения перехода</ns0:t>
        </ns0:is>
      </ns0:c>
      <ns0:c r="F146" t="inlineStr">
        <ns0:is>
          <ns0:t>Приёмник адреса возврата: x1 = ra</ns0:t>
        </ns0:is>
      </ns0:c>
      <ns0:c r="G146" t="inlineStr">
        <ns0:is>
          <ns0:t>1101111: JAL</ns0:t>
        </ns0:is>
      </ns0:c>
    </ns0:row>
    <ns0:row r="147">
      <ns0:c r="B147" t="inlineStr">
        <ns0:is>
          <ns0:t>12-битная константа; в RV32I знаково расширяется</ns0:t>
        </ns0:is>
      </ns0:c>
      <ns0:c r="C147" t="inlineStr">
        <ns0:is>
          <ns0:t>Исходный регистр x0 = zero</ns0:t>
        </ns0:is>
      </ns0:c>
      <ns0:c r="D147" t="inlineStr">
        <ns0:is>
          <ns0:t>000=ADDI, 111=ANDI</ns0:t>
        </ns0:is>
      </ns0:c>
      <ns0:c r="E147" t="inlineStr">
        <ns0:is>
          <ns0:t>Приёмник x9 = s1</ns0:t>
        </ns0:is>
      </ns0:c>
      <ns0:c r="F147" t="inlineStr">
        <ns0:is>
          <ns0:t>0010011: OP-IMM</ns0:t>
        </ns0:is>
      </ns0:c>
    </ns0:row>
    <ns0:row r="148">
      <ns0:c r="B148" t="inlineStr">
        <ns0:is>
          <ns0:t>Знаковый бит ветвления</ns0:t>
        </ns0:is>
      </ns0:c>
      <ns0:c r="C148" t="inlineStr">
        <ns0:is>
          <ns0:t>Старшие биты смещения</ns0:t>
        </ns0:is>
      </ns0:c>
      <ns0:c r="D148" t="inlineStr">
        <ns0:is>
          <ns0:t>Второй сравниваемый регистр x18 = s2</ns0:t>
        </ns0:is>
      </ns0:c>
      <ns0:c r="E148" t="inlineStr">
        <ns0:is>
          <ns0:t>Первый сравниваемый регистр x9 = s1</ns0:t>
        </ns0:is>
      </ns0:c>
      <ns0:c r="F148" t="inlineStr">
        <ns0:is>
          <ns0:t>000=BEQ, 001=BNE</ns0:t>
        </ns0:is>
      </ns0:c>
      <ns0:c r="G148" t="inlineStr">
        <ns0:is>
          <ns0:t>Младшая группа байтового смещения; bit0=0</ns0:t>
        </ns0:is>
      </ns0:c>
      <ns0:c r="H148" t="inlineStr">
        <ns0:is>
          <ns0:t>Переставленный бит смещения</ns0:t>
        </ns0:is>
      </ns0:c>
      <ns0:c r="I148" t="inlineStr">
        <ns0:is>
          <ns0:t>1100011: BRANCH</ns0:t>
        </ns0:is>
      </ns0:c>
    </ns0:row>
    <ns0:row r="149">
      <ns0:c r="B149" t="inlineStr">
        <ns0:is>
          <ns0:t>Старшие биты смещения со знаком</ns0:t>
        </ns0:is>
      </ns0:c>
      <ns0:c r="C149" t="inlineStr">
        <ns0:is>
          <ns0:t>Источник записываемых данных: x9 = s1</ns0:t>
        </ns0:is>
      </ns0:c>
      <ns0:c r="D149" t="inlineStr">
        <ns0:is>
          <ns0:t>Базовый адрес: x5 = t0</ns0:t>
        </ns0:is>
      </ns0:c>
      <ns0:c r="E149" t="inlineStr">
        <ns0:is>
          <ns0:t>010 = SW: запись 32-битного слова</ns0:t>
        </ns0:is>
      </ns0:c>
      <ns0:c r="F149" t="inlineStr">
        <ns0:is>
          <ns0:t>Младшие биты смещения</ns0:t>
        </ns0:is>
      </ns0:c>
      <ns0:c r="G149" t="inlineStr">
        <ns0:is>
          <ns0:t>0100011: STORE</ns0:t>
        </ns0:is>
      </ns0:c>
    </ns0:row>
    <ns0:row r="150">
      <ns0:c r="B150" t="inlineStr">
        <ns0:is>
          <ns0:t>12-битная константа; в RV32I знаково расширяется</ns0:t>
        </ns0:is>
      </ns0:c>
      <ns0:c r="C150" t="inlineStr">
        <ns0:is>
          <ns0:t>Исходный регистр x0 = zero</ns0:t>
        </ns0:is>
      </ns0:c>
      <ns0:c r="D150" t="inlineStr">
        <ns0:is>
          <ns0:t>000=ADDI, 111=ANDI</ns0:t>
        </ns0:is>
      </ns0:c>
      <ns0:c r="E150" t="inlineStr">
        <ns0:is>
          <ns0:t>Приёмник x6 = t1</ns0:t>
        </ns0:is>
      </ns0:c>
      <ns0:c r="F150" t="inlineStr">
        <ns0:is>
          <ns0:t>0010011: OP-IMM</ns0:t>
        </ns0:is>
      </ns0:c>
    </ns0:row>
    <ns0:row r="151">
      <ns0:c r="B151" t="inlineStr">
        <ns0:is>
          <ns0:t>Знаковый бит PC-относительного перехода</ns0:t>
        </ns0:is>
      </ns0:c>
      <ns0:c r="C151" t="inlineStr">
        <ns0:is>
          <ns0:t>Средние биты адресного смещения</ns0:t>
        </ns0:is>
      </ns0:c>
      <ns0:c r="D151" t="inlineStr">
        <ns0:is>
          <ns0:t>Переставленный бит смещения</ns0:t>
        </ns0:is>
      </ns0:c>
      <ns0:c r="E151" t="inlineStr">
        <ns0:is>
          <ns0:t>Биты смещения перехода</ns0:t>
        </ns0:is>
      </ns0:c>
      <ns0:c r="F151" t="inlineStr">
        <ns0:is>
          <ns0:t>Приёмник адреса возврата: x1 = ra</ns0:t>
        </ns0:is>
      </ns0:c>
      <ns0:c r="G151" t="inlineStr">
        <ns0:is>
          <ns0:t>1101111: JAL</ns0:t>
        </ns0:is>
      </ns0:c>
    </ns0:row>
    <ns0:row r="152">
      <ns0:c r="B152" t="inlineStr">
        <ns0:is>
          <ns0:t>12-битная константа; в RV32I знаково расширяется</ns0:t>
        </ns0:is>
      </ns0:c>
      <ns0:c r="C152" t="inlineStr">
        <ns0:is>
          <ns0:t>Исходный регистр x0 = zero</ns0:t>
        </ns0:is>
      </ns0:c>
      <ns0:c r="D152" t="inlineStr">
        <ns0:is>
          <ns0:t>000=ADDI, 111=ANDI</ns0:t>
        </ns0:is>
      </ns0:c>
      <ns0:c r="E152" t="inlineStr">
        <ns0:is>
          <ns0:t>Приёмник x6 = t1</ns0:t>
        </ns0:is>
      </ns0:c>
      <ns0:c r="F152" t="inlineStr">
        <ns0:is>
          <ns0:t>0010011: OP-IMM</ns0:t>
        </ns0:is>
      </ns0:c>
    </ns0:row>
    <ns0:row r="153">
      <ns0:c r="B153" t="inlineStr">
        <ns0:is>
          <ns0:t>Знаковый бит PC-относительного перехода</ns0:t>
        </ns0:is>
      </ns0:c>
      <ns0:c r="C153" t="inlineStr">
        <ns0:is>
          <ns0:t>Средние биты адресного смещения</ns0:t>
        </ns0:is>
      </ns0:c>
      <ns0:c r="D153" t="inlineStr">
        <ns0:is>
          <ns0:t>Переставленный бит смещения</ns0:t>
        </ns0:is>
      </ns0:c>
      <ns0:c r="E153" t="inlineStr">
        <ns0:is>
          <ns0:t>Биты смещения перехода</ns0:t>
        </ns0:is>
      </ns0:c>
      <ns0:c r="F153" t="inlineStr">
        <ns0:is>
          <ns0:t>Приёмник адреса возврата: x1 = ra</ns0:t>
        </ns0:is>
      </ns0:c>
      <ns0:c r="G153" t="inlineStr">
        <ns0:is>
          <ns0:t>1101111: JAL</ns0:t>
        </ns0:is>
      </ns0:c>
    </ns0:row>
    <ns0:row r="154">
      <ns0:c r="B154" t="inlineStr">
        <ns0:is>
          <ns0:t>12-битная константа; в RV32I знаково расширяется</ns0:t>
        </ns0:is>
      </ns0:c>
      <ns0:c r="C154" t="inlineStr">
        <ns0:is>
          <ns0:t>Исходный регистр x9 = s1</ns0:t>
        </ns0:is>
      </ns0:c>
      <ns0:c r="D154" t="inlineStr">
        <ns0:is>
          <ns0:t>000=ADDI, 111=ANDI</ns0:t>
        </ns0:is>
      </ns0:c>
      <ns0:c r="E154" t="inlineStr">
        <ns0:is>
          <ns0:t>Приёмник x10 = a0</ns0:t>
        </ns0:is>
      </ns0:c>
      <ns0:c r="F154" t="inlineStr">
        <ns0:is>
          <ns0:t>0010011: OP-IMM</ns0:t>
        </ns0:is>
      </ns0:c>
    </ns0:row>
    <ns0:row r="155">
      <ns0:c r="B155" t="inlineStr">
        <ns0:is>
          <ns0:t>Знаковый бит PC-относительного перехода</ns0:t>
        </ns0:is>
      </ns0:c>
      <ns0:c r="C155" t="inlineStr">
        <ns0:is>
          <ns0:t>Средние биты адресного смещения</ns0:t>
        </ns0:is>
      </ns0:c>
      <ns0:c r="D155" t="inlineStr">
        <ns0:is>
          <ns0:t>Переставленный бит смещения</ns0:t>
        </ns0:is>
      </ns0:c>
      <ns0:c r="E155" t="inlineStr">
        <ns0:is>
          <ns0:t>Биты смещения перехода</ns0:t>
        </ns0:is>
      </ns0:c>
      <ns0:c r="F155" t="inlineStr">
        <ns0:is>
          <ns0:t>Приёмник адреса возврата: x1 = ra</ns0:t>
        </ns0:is>
      </ns0:c>
      <ns0:c r="G155" t="inlineStr">
        <ns0:is>
          <ns0:t>1101111: JAL</ns0:t>
        </ns0:is>
      </ns0:c>
    </ns0:row>
    <ns0:row r="156">
      <ns0:c r="B156" t="inlineStr">
        <ns0:is>
          <ns0:t>12-битная константа; в RV32I знаково расширяется</ns0:t>
        </ns0:is>
      </ns0:c>
      <ns0:c r="C156" t="inlineStr">
        <ns0:is>
          <ns0:t>Исходный регистр x0 = zero</ns0:t>
        </ns0:is>
      </ns0:c>
      <ns0:c r="D156" t="inlineStr">
        <ns0:is>
          <ns0:t>000=ADDI, 111=ANDI</ns0:t>
        </ns0:is>
      </ns0:c>
      <ns0:c r="E156" t="inlineStr">
        <ns0:is>
          <ns0:t>Приёмник x6 = t1</ns0:t>
        </ns0:is>
      </ns0:c>
      <ns0:c r="F156" t="inlineStr">
        <ns0:is>
          <ns0:t>0010011: OP-IMM</ns0:t>
        </ns0:is>
      </ns0:c>
    </ns0:row>
    <ns0:row r="157">
      <ns0:c r="B157" t="inlineStr">
        <ns0:is>
          <ns0:t>Знаковый бит PC-относительного перехода</ns0:t>
        </ns0:is>
      </ns0:c>
      <ns0:c r="C157" t="inlineStr">
        <ns0:is>
          <ns0:t>Средние биты адресного смещения</ns0:t>
        </ns0:is>
      </ns0:c>
      <ns0:c r="D157" t="inlineStr">
        <ns0:is>
          <ns0:t>Переставленный бит смещения</ns0:t>
        </ns0:is>
      </ns0:c>
      <ns0:c r="E157" t="inlineStr">
        <ns0:is>
          <ns0:t>Биты смещения перехода</ns0:t>
        </ns0:is>
      </ns0:c>
      <ns0:c r="F157" t="inlineStr">
        <ns0:is>
          <ns0:t>Приёмник адреса возврата: x1 = ra</ns0:t>
        </ns0:is>
      </ns0:c>
      <ns0:c r="G157" t="inlineStr">
        <ns0:is>
          <ns0:t>1101111: JAL</ns0:t>
        </ns0:is>
      </ns0:c>
    </ns0:row>
    <ns0:row r="158">
      <ns0:c r="B158" t="inlineStr">
        <ns0:is>
          <ns0:t>Знаковое 12-битное смещение от базового адреса</ns0:t>
        </ns0:is>
      </ns0:c>
      <ns0:c r="C158" t="inlineStr">
        <ns0:is>
          <ns0:t>Базовый регистр x5 = t0</ns0:t>
        </ns0:is>
      </ns0:c>
      <ns0:c r="D158" t="inlineStr">
        <ns0:is>
          <ns0:t>010 = LW: загрузка 32-битного слова</ns0:t>
        </ns0:is>
      </ns0:c>
      <ns0:c r="E158" t="inlineStr">
        <ns0:is>
          <ns0:t>Приёмник x10 = a0</ns0:t>
        </ns0:is>
      </ns0:c>
      <ns0:c r="F158" t="inlineStr">
        <ns0:is>
          <ns0:t>0000011: LOAD</ns0:t>
        </ns0:is>
      </ns0:c>
    </ns0:row>
    <ns0:row r="159">
      <ns0:c r="B159" t="inlineStr">
        <ns0:is>
          <ns0:t>Знаковый бит PC-относительного перехода</ns0:t>
        </ns0:is>
      </ns0:c>
      <ns0:c r="C159" t="inlineStr">
        <ns0:is>
          <ns0:t>Средние биты адресного смещения</ns0:t>
        </ns0:is>
      </ns0:c>
      <ns0:c r="D159" t="inlineStr">
        <ns0:is>
          <ns0:t>Переставленный бит смещения</ns0:t>
        </ns0:is>
      </ns0:c>
      <ns0:c r="E159" t="inlineStr">
        <ns0:is>
          <ns0:t>Биты смещения перехода</ns0:t>
        </ns0:is>
      </ns0:c>
      <ns0:c r="F159" t="inlineStr">
        <ns0:is>
          <ns0:t>Приёмник адреса возврата: x1 = ra</ns0:t>
        </ns0:is>
      </ns0:c>
      <ns0:c r="G159" t="inlineStr">
        <ns0:is>
          <ns0:t>1101111: JAL</ns0:t>
        </ns0:is>
      </ns0:c>
    </ns0:row>
    <ns0:row r="160">
      <ns0:c r="B160" t="inlineStr">
        <ns0:is>
          <ns0:t>12-битная константа; в RV32I знаково расширяется</ns0:t>
        </ns0:is>
      </ns0:c>
      <ns0:c r="C160" t="inlineStr">
        <ns0:is>
          <ns0:t>Исходный регистр x0 = zero</ns0:t>
        </ns0:is>
      </ns0:c>
      <ns0:c r="D160" t="inlineStr">
        <ns0:is>
          <ns0:t>000=ADDI, 111=ANDI</ns0:t>
        </ns0:is>
      </ns0:c>
      <ns0:c r="E160" t="inlineStr">
        <ns0:is>
          <ns0:t>Приёмник x6 = t1</ns0:t>
        </ns0:is>
      </ns0:c>
      <ns0:c r="F160" t="inlineStr">
        <ns0:is>
          <ns0:t>0010011: OP-IMM</ns0:t>
        </ns0:is>
      </ns0:c>
    </ns0:row>
    <ns0:row r="161">
      <ns0:c r="B161" t="inlineStr">
        <ns0:is>
          <ns0:t>Знаковый бит PC-относительного перехода</ns0:t>
        </ns0:is>
      </ns0:c>
      <ns0:c r="C161" t="inlineStr">
        <ns0:is>
          <ns0:t>Средние биты адресного смещения</ns0:t>
        </ns0:is>
      </ns0:c>
      <ns0:c r="D161" t="inlineStr">
        <ns0:is>
          <ns0:t>Переставленный бит смещения</ns0:t>
        </ns0:is>
      </ns0:c>
      <ns0:c r="E161" t="inlineStr">
        <ns0:is>
          <ns0:t>Биты смещения перехода</ns0:t>
        </ns0:is>
      </ns0:c>
      <ns0:c r="F161" t="inlineStr">
        <ns0:is>
          <ns0:t>Приёмник адреса возврата: x1 = ra</ns0:t>
        </ns0:is>
      </ns0:c>
      <ns0:c r="G161" t="inlineStr">
        <ns0:is>
          <ns0:t>1101111: JAL</ns0:t>
        </ns0:is>
      </ns0:c>
    </ns0:row>
    <ns0:row r="162">
      <ns0:c r="B162" t="inlineStr">
        <ns0:is>
          <ns0:t>Знаковое 12-битное смещение от базового адреса</ns0:t>
        </ns0:is>
      </ns0:c>
      <ns0:c r="C162" t="inlineStr">
        <ns0:is>
          <ns0:t>Базовый регистр x5 = t0</ns0:t>
        </ns0:is>
      </ns0:c>
      <ns0:c r="D162" t="inlineStr">
        <ns0:is>
          <ns0:t>010 = LW: загрузка 32-битного слова</ns0:t>
        </ns0:is>
      </ns0:c>
      <ns0:c r="E162" t="inlineStr">
        <ns0:is>
          <ns0:t>Приёмник x10 = a0</ns0:t>
        </ns0:is>
      </ns0:c>
      <ns0:c r="F162" t="inlineStr">
        <ns0:is>
          <ns0:t>0000011: LOAD</ns0:t>
        </ns0:is>
      </ns0:c>
    </ns0:row>
    <ns0:row r="163">
      <ns0:c r="B163" t="inlineStr">
        <ns0:is>
          <ns0:t>Знаковый бит PC-относительного перехода</ns0:t>
        </ns0:is>
      </ns0:c>
      <ns0:c r="C163" t="inlineStr">
        <ns0:is>
          <ns0:t>Средние биты адресного смещения</ns0:t>
        </ns0:is>
      </ns0:c>
      <ns0:c r="D163" t="inlineStr">
        <ns0:is>
          <ns0:t>Переставленный бит смещения</ns0:t>
        </ns0:is>
      </ns0:c>
      <ns0:c r="E163" t="inlineStr">
        <ns0:is>
          <ns0:t>Биты смещения перехода</ns0:t>
        </ns0:is>
      </ns0:c>
      <ns0:c r="F163" t="inlineStr">
        <ns0:is>
          <ns0:t>Приёмник адреса возврата: x1 = ra</ns0:t>
        </ns0:is>
      </ns0:c>
      <ns0:c r="G163" t="inlineStr">
        <ns0:is>
          <ns0:t>1101111: JAL</ns0:t>
        </ns0:is>
      </ns0:c>
    </ns0:row>
    <ns0:row r="164">
      <ns0:c r="B164" t="inlineStr">
        <ns0:is>
          <ns0:t>12-битная константа; в RV32I знаково расширяется</ns0:t>
        </ns0:is>
      </ns0:c>
      <ns0:c r="C164" t="inlineStr">
        <ns0:is>
          <ns0:t>Исходный регистр x0 = zero</ns0:t>
        </ns0:is>
      </ns0:c>
      <ns0:c r="D164" t="inlineStr">
        <ns0:is>
          <ns0:t>000=ADDI, 111=ANDI</ns0:t>
        </ns0:is>
      </ns0:c>
      <ns0:c r="E164" t="inlineStr">
        <ns0:is>
          <ns0:t>Приёмник x6 = t1</ns0:t>
        </ns0:is>
      </ns0:c>
      <ns0:c r="F164" t="inlineStr">
        <ns0:is>
          <ns0:t>0010011: OP-IMM</ns0:t>
        </ns0:is>
      </ns0:c>
    </ns0:row>
    <ns0:row r="165">
      <ns0:c r="B165" t="inlineStr">
        <ns0:is>
          <ns0:t>Знаковый бит PC-относительного перехода</ns0:t>
        </ns0:is>
      </ns0:c>
      <ns0:c r="C165" t="inlineStr">
        <ns0:is>
          <ns0:t>Средние биты адресного смещения</ns0:t>
        </ns0:is>
      </ns0:c>
      <ns0:c r="D165" t="inlineStr">
        <ns0:is>
          <ns0:t>Переставленный бит смещения</ns0:t>
        </ns0:is>
      </ns0:c>
      <ns0:c r="E165" t="inlineStr">
        <ns0:is>
          <ns0:t>Биты смещения перехода</ns0:t>
        </ns0:is>
      </ns0:c>
      <ns0:c r="F165" t="inlineStr">
        <ns0:is>
          <ns0:t>Приёмник адреса возврата: x1 = ra</ns0:t>
        </ns0:is>
      </ns0:c>
      <ns0:c r="G165" t="inlineStr">
        <ns0:is>
          <ns0:t>1101111: JAL</ns0:t>
        </ns0:is>
      </ns0:c>
    </ns0:row>
    <ns0:row r="166">
      <ns0:c r="B166" t="inlineStr">
        <ns0:is>
          <ns0:t>Знаковое 12-битное смещение от базового адреса</ns0:t>
        </ns0:is>
      </ns0:c>
      <ns0:c r="C166" t="inlineStr">
        <ns0:is>
          <ns0:t>Базовый регистр x5 = t0</ns0:t>
        </ns0:is>
      </ns0:c>
      <ns0:c r="D166" t="inlineStr">
        <ns0:is>
          <ns0:t>010 = LW: загрузка 32-битного слова</ns0:t>
        </ns0:is>
      </ns0:c>
      <ns0:c r="E166" t="inlineStr">
        <ns0:is>
          <ns0:t>Приёмник x10 = a0</ns0:t>
        </ns0:is>
      </ns0:c>
      <ns0:c r="F166" t="inlineStr">
        <ns0:is>
          <ns0:t>0000011: LOAD</ns0:t>
        </ns0:is>
      </ns0:c>
    </ns0:row>
    <ns0:row r="167">
      <ns0:c r="B167" t="inlineStr">
        <ns0:is>
          <ns0:t>Знаковый бит PC-относительного перехода</ns0:t>
        </ns0:is>
      </ns0:c>
      <ns0:c r="C167" t="inlineStr">
        <ns0:is>
          <ns0:t>Средние биты адресного смещения</ns0:t>
        </ns0:is>
      </ns0:c>
      <ns0:c r="D167" t="inlineStr">
        <ns0:is>
          <ns0:t>Переставленный бит смещения</ns0:t>
        </ns0:is>
      </ns0:c>
      <ns0:c r="E167" t="inlineStr">
        <ns0:is>
          <ns0:t>Биты смещения перехода</ns0:t>
        </ns0:is>
      </ns0:c>
      <ns0:c r="F167" t="inlineStr">
        <ns0:is>
          <ns0:t>Приёмник адреса возврата: x1 = ra</ns0:t>
        </ns0:is>
      </ns0:c>
      <ns0:c r="G167" t="inlineStr">
        <ns0:is>
          <ns0:t>1101111: JAL</ns0:t>
        </ns0:is>
      </ns0:c>
    </ns0:row>
    <ns0:row r="168">
      <ns0:c r="B168" t="inlineStr">
        <ns0:is>
          <ns0:t>12-битная константа; в RV32I знаково расширяется</ns0:t>
        </ns0:is>
      </ns0:c>
      <ns0:c r="C168" t="inlineStr">
        <ns0:is>
          <ns0:t>Исходный регистр x0 = zero</ns0:t>
        </ns0:is>
      </ns0:c>
      <ns0:c r="D168" t="inlineStr">
        <ns0:is>
          <ns0:t>000=ADDI, 111=ANDI</ns0:t>
        </ns0:is>
      </ns0:c>
      <ns0:c r="E168" t="inlineStr">
        <ns0:is>
          <ns0:t>Приёмник x6 = t1</ns0:t>
        </ns0:is>
      </ns0:c>
      <ns0:c r="F168" t="inlineStr">
        <ns0:is>
          <ns0:t>0010011: OP-IMM</ns0:t>
        </ns0:is>
      </ns0:c>
    </ns0:row>
    <ns0:row r="169">
      <ns0:c r="B169" t="inlineStr">
        <ns0:is>
          <ns0:t>Знаковый бит PC-относительного перехода</ns0:t>
        </ns0:is>
      </ns0:c>
      <ns0:c r="C169" t="inlineStr">
        <ns0:is>
          <ns0:t>Средние биты адресного смещения</ns0:t>
        </ns0:is>
      </ns0:c>
      <ns0:c r="D169" t="inlineStr">
        <ns0:is>
          <ns0:t>Переставленный бит смещения</ns0:t>
        </ns0:is>
      </ns0:c>
      <ns0:c r="E169" t="inlineStr">
        <ns0:is>
          <ns0:t>Биты смещения перехода</ns0:t>
        </ns0:is>
      </ns0:c>
      <ns0:c r="F169" t="inlineStr">
        <ns0:is>
          <ns0:t>Приёмник адреса возврата: x1 = ra</ns0:t>
        </ns0:is>
      </ns0:c>
      <ns0:c r="G169" t="inlineStr">
        <ns0:is>
          <ns0:t>1101111: JAL</ns0:t>
        </ns0:is>
      </ns0:c>
    </ns0:row>
    <ns0:row r="170">
      <ns0:c r="B170" t="inlineStr">
        <ns0:is>
          <ns0:t>12-битная константа; в RV32I знаково расширяется</ns0:t>
        </ns0:is>
      </ns0:c>
      <ns0:c r="C170" t="inlineStr">
        <ns0:is>
          <ns0:t>Исходный регистр x9 = s1</ns0:t>
        </ns0:is>
      </ns0:c>
      <ns0:c r="D170" t="inlineStr">
        <ns0:is>
          <ns0:t>000=ADDI, 111=ANDI</ns0:t>
        </ns0:is>
      </ns0:c>
      <ns0:c r="E170" t="inlineStr">
        <ns0:is>
          <ns0:t>Приёмник x9 = s1</ns0:t>
        </ns0:is>
      </ns0:c>
      <ns0:c r="F170" t="inlineStr">
        <ns0:is>
          <ns0:t>0010011: OP-IMM</ns0:t>
        </ns0:is>
      </ns0:c>
    </ns0:row>
    <ns0:row r="171">
      <ns0:c r="B171" t="inlineStr">
        <ns0:is>
          <ns0:t>Знаковый бит PC-относительного перехода</ns0:t>
        </ns0:is>
      </ns0:c>
      <ns0:c r="C171" t="inlineStr">
        <ns0:is>
          <ns0:t>Средние биты адресного смещения</ns0:t>
        </ns0:is>
      </ns0:c>
      <ns0:c r="D171" t="inlineStr">
        <ns0:is>
          <ns0:t>Переставленный бит смещения</ns0:t>
        </ns0:is>
      </ns0:c>
      <ns0:c r="E171" t="inlineStr">
        <ns0:is>
          <ns0:t>Биты смещения перехода</ns0:t>
        </ns0:is>
      </ns0:c>
      <ns0:c r="F171" t="inlineStr">
        <ns0:is>
          <ns0:t>Приёмник адреса возврата: x0 = zero</ns0:t>
        </ns0:is>
      </ns0:c>
      <ns0:c r="G171" t="inlineStr">
        <ns0:is>
          <ns0:t>1101111: JAL</ns0:t>
        </ns0:is>
      </ns0:c>
    </ns0:row>
    <ns0:row r="172">
      <ns0:c r="B172" t="inlineStr">
        <ns0:is>
          <ns0:t>12-битная константа; в RV32I знаково расширяется</ns0:t>
        </ns0:is>
      </ns0:c>
      <ns0:c r="C172" t="inlineStr">
        <ns0:is>
          <ns0:t>Исходный регистр x0 = zero</ns0:t>
        </ns0:is>
      </ns0:c>
      <ns0:c r="D172" t="inlineStr">
        <ns0:is>
          <ns0:t>000=ADDI, 111=ANDI</ns0:t>
        </ns0:is>
      </ns0:c>
      <ns0:c r="E172" t="inlineStr">
        <ns0:is>
          <ns0:t>Приёмник x6 = t1</ns0:t>
        </ns0:is>
      </ns0:c>
      <ns0:c r="F172" t="inlineStr">
        <ns0:is>
          <ns0:t>0010011: OP-IMM</ns0:t>
        </ns0:is>
      </ns0:c>
    </ns0:row>
    <ns0:row r="173">
      <ns0:c r="B173" t="inlineStr">
        <ns0:is>
          <ns0:t>Знаковый бит PC-относительного перехода</ns0:t>
        </ns0:is>
      </ns0:c>
      <ns0:c r="C173" t="inlineStr">
        <ns0:is>
          <ns0:t>Средние биты адресного смещения</ns0:t>
        </ns0:is>
      </ns0:c>
      <ns0:c r="D173" t="inlineStr">
        <ns0:is>
          <ns0:t>Переставленный бит смещения</ns0:t>
        </ns0:is>
      </ns0:c>
      <ns0:c r="E173" t="inlineStr">
        <ns0:is>
          <ns0:t>Биты смещения перехода</ns0:t>
        </ns0:is>
      </ns0:c>
      <ns0:c r="F173" t="inlineStr">
        <ns0:is>
          <ns0:t>Приёмник адреса возврата: x1 = ra</ns0:t>
        </ns0:is>
      </ns0:c>
      <ns0:c r="G173" t="inlineStr">
        <ns0:is>
          <ns0:t>1101111: JAL</ns0:t>
        </ns0:is>
      </ns0:c>
    </ns0:row>
    <ns0:row r="174">
      <ns0:c r="B174" t="inlineStr">
        <ns0:is>
          <ns0:t>12-битная константа; в RV32I знаково расширяется</ns0:t>
        </ns0:is>
      </ns0:c>
      <ns0:c r="C174" t="inlineStr">
        <ns0:is>
          <ns0:t>Исходный регистр x0 = zero</ns0:t>
        </ns0:is>
      </ns0:c>
      <ns0:c r="D174" t="inlineStr">
        <ns0:is>
          <ns0:t>000=ADDI, 111=ANDI</ns0:t>
        </ns0:is>
      </ns0:c>
      <ns0:c r="E174" t="inlineStr">
        <ns0:is>
          <ns0:t>Приёмник x6 = t1</ns0:t>
        </ns0:is>
      </ns0:c>
      <ns0:c r="F174" t="inlineStr">
        <ns0:is>
          <ns0:t>0010011: OP-IMM</ns0:t>
        </ns0:is>
      </ns0:c>
    </ns0:row>
    <ns0:row r="175">
      <ns0:c r="B175" t="inlineStr">
        <ns0:is>
          <ns0:t>Знаковый бит PC-относительного перехода</ns0:t>
        </ns0:is>
      </ns0:c>
      <ns0:c r="C175" t="inlineStr">
        <ns0:is>
          <ns0:t>Средние биты адресного смещения</ns0:t>
        </ns0:is>
      </ns0:c>
      <ns0:c r="D175" t="inlineStr">
        <ns0:is>
          <ns0:t>Переставленный бит смещения</ns0:t>
        </ns0:is>
      </ns0:c>
      <ns0:c r="E175" t="inlineStr">
        <ns0:is>
          <ns0:t>Биты смещения перехода</ns0:t>
        </ns0:is>
      </ns0:c>
      <ns0:c r="F175" t="inlineStr">
        <ns0:is>
          <ns0:t>Приёмник адреса возврата: x1 = ra</ns0:t>
        </ns0:is>
      </ns0:c>
      <ns0:c r="G175" t="inlineStr">
        <ns0:is>
          <ns0:t>1101111: JAL</ns0:t>
        </ns0:is>
      </ns0:c>
    </ns0:row>
    <ns0:row r="176">
      <ns0:c r="B176" t="inlineStr">
        <ns0:is>
          <ns0:t>Знаковый бит PC-относительного перехода</ns0:t>
        </ns0:is>
      </ns0:c>
      <ns0:c r="C176" t="inlineStr">
        <ns0:is>
          <ns0:t>Средние биты адресного смещения</ns0:t>
        </ns0:is>
      </ns0:c>
      <ns0:c r="D176" t="inlineStr">
        <ns0:is>
          <ns0:t>Переставленный бит смещения</ns0:t>
        </ns0:is>
      </ns0:c>
      <ns0:c r="E176" t="inlineStr">
        <ns0:is>
          <ns0:t>Биты смещения перехода</ns0:t>
        </ns0:is>
      </ns0:c>
      <ns0:c r="F176" t="inlineStr">
        <ns0:is>
          <ns0:t>Приёмник адреса возврата: x0 = zero</ns0:t>
        </ns0:is>
      </ns0:c>
      <ns0:c r="G176" t="inlineStr">
        <ns0:is>
          <ns0:t>1101111: JAL</ns0:t>
        </ns0:is>
      </ns0:c>
    </ns0:row>
    <ns0:row r="177">
      <ns0:c r="B177" t="inlineStr">
        <ns0:is>
          <ns0:t>12-битная константа; в RV32I знаково расширяется</ns0:t>
        </ns0:is>
      </ns0:c>
      <ns0:c r="C177" t="inlineStr">
        <ns0:is>
          <ns0:t>Исходный регистр x1 = ra</ns0:t>
        </ns0:is>
      </ns0:c>
      <ns0:c r="D177" t="inlineStr">
        <ns0:is>
          <ns0:t>000=ADDI, 111=ANDI</ns0:t>
        </ns0:is>
      </ns0:c>
      <ns0:c r="E177" t="inlineStr">
        <ns0:is>
          <ns0:t>Приёмник x23 = s7</ns0:t>
        </ns0:is>
      </ns0:c>
      <ns0:c r="F177" t="inlineStr">
        <ns0:is>
          <ns0:t>0010011: OP-IMM</ns0:t>
        </ns0:is>
      </ns0:c>
    </ns0:row>
    <ns0:row r="178">
      <ns0:c r="B178" t="inlineStr">
        <ns0:is>
          <ns0:t>0000000 — логический сдвиг вправо</ns0:t>
        </ns0:is>
      </ns0:c>
      <ns0:c r="C178" t="inlineStr">
        <ns0:is>
          <ns0:t>Сдвиг на 28 разрядов</ns0:t>
        </ns0:is>
      </ns0:c>
      <ns0:c r="D178" t="inlineStr">
        <ns0:is>
          <ns0:t>Источник x10 = a0</ns0:t>
        </ns0:is>
      </ns0:c>
      <ns0:c r="E178" t="inlineStr">
        <ns0:is>
          <ns0:t>101: сдвиг вправо</ns0:t>
        </ns0:is>
      </ns0:c>
      <ns0:c r="F178" t="inlineStr">
        <ns0:is>
          <ns0:t>Приёмник x6 = t1</ns0:t>
        </ns0:is>
      </ns0:c>
      <ns0:c r="G178" t="inlineStr">
        <ns0:is>
          <ns0:t>0010011: OP-IMM</ns0:t>
        </ns0:is>
      </ns0:c>
    </ns0:row>
    <ns0:row r="179">
      <ns0:c r="B179" t="inlineStr">
        <ns0:is>
          <ns0:t>Знаковый бит PC-относительного перехода</ns0:t>
        </ns0:is>
      </ns0:c>
      <ns0:c r="C179" t="inlineStr">
        <ns0:is>
          <ns0:t>Средние биты адресного смещения</ns0:t>
        </ns0:is>
      </ns0:c>
      <ns0:c r="D179" t="inlineStr">
        <ns0:is>
          <ns0:t>Переставленный бит смещения</ns0:t>
        </ns0:is>
      </ns0:c>
      <ns0:c r="E179" t="inlineStr">
        <ns0:is>
          <ns0:t>Биты смещения перехода</ns0:t>
        </ns0:is>
      </ns0:c>
      <ns0:c r="F179" t="inlineStr">
        <ns0:is>
          <ns0:t>Приёмник адреса возврата: x1 = ra</ns0:t>
        </ns0:is>
      </ns0:c>
      <ns0:c r="G179" t="inlineStr">
        <ns0:is>
          <ns0:t>1101111: JAL</ns0:t>
        </ns0:is>
      </ns0:c>
    </ns0:row>
    <ns0:row r="180">
      <ns0:c r="B180" t="inlineStr">
        <ns0:is>
          <ns0:t>0000000 — логический сдвиг вправо</ns0:t>
        </ns0:is>
      </ns0:c>
      <ns0:c r="C180" t="inlineStr">
        <ns0:is>
          <ns0:t>Сдвиг на 24 разрядов</ns0:t>
        </ns0:is>
      </ns0:c>
      <ns0:c r="D180" t="inlineStr">
        <ns0:is>
          <ns0:t>Источник x10 = a0</ns0:t>
        </ns0:is>
      </ns0:c>
      <ns0:c r="E180" t="inlineStr">
        <ns0:is>
          <ns0:t>101: сдвиг вправо</ns0:t>
        </ns0:is>
      </ns0:c>
      <ns0:c r="F180" t="inlineStr">
        <ns0:is>
          <ns0:t>Приёмник x6 = t1</ns0:t>
        </ns0:is>
      </ns0:c>
      <ns0:c r="G180" t="inlineStr">
        <ns0:is>
          <ns0:t>0010011: OP-IMM</ns0:t>
        </ns0:is>
      </ns0:c>
    </ns0:row>
    <ns0:row r="181">
      <ns0:c r="B181" t="inlineStr">
        <ns0:is>
          <ns0:t>Знаковый бит PC-относительного перехода</ns0:t>
        </ns0:is>
      </ns0:c>
      <ns0:c r="C181" t="inlineStr">
        <ns0:is>
          <ns0:t>Средние биты адресного смещения</ns0:t>
        </ns0:is>
      </ns0:c>
      <ns0:c r="D181" t="inlineStr">
        <ns0:is>
          <ns0:t>Переставленный бит смещения</ns0:t>
        </ns0:is>
      </ns0:c>
      <ns0:c r="E181" t="inlineStr">
        <ns0:is>
          <ns0:t>Биты смещения перехода</ns0:t>
        </ns0:is>
      </ns0:c>
      <ns0:c r="F181" t="inlineStr">
        <ns0:is>
          <ns0:t>Приёмник адреса возврата: x1 = ra</ns0:t>
        </ns0:is>
      </ns0:c>
      <ns0:c r="G181" t="inlineStr">
        <ns0:is>
          <ns0:t>1101111: JAL</ns0:t>
        </ns0:is>
      </ns0:c>
    </ns0:row>
    <ns0:row r="182">
      <ns0:c r="B182" t="inlineStr">
        <ns0:is>
          <ns0:t>0000000 — логический сдвиг вправо</ns0:t>
        </ns0:is>
      </ns0:c>
      <ns0:c r="C182" t="inlineStr">
        <ns0:is>
          <ns0:t>Сдвиг на 20 разрядов</ns0:t>
        </ns0:is>
      </ns0:c>
      <ns0:c r="D182" t="inlineStr">
        <ns0:is>
          <ns0:t>Источник x10 = a0</ns0:t>
        </ns0:is>
      </ns0:c>
      <ns0:c r="E182" t="inlineStr">
        <ns0:is>
          <ns0:t>101: сдвиг вправо</ns0:t>
        </ns0:is>
      </ns0:c>
      <ns0:c r="F182" t="inlineStr">
        <ns0:is>
          <ns0:t>Приёмник x6 = t1</ns0:t>
        </ns0:is>
      </ns0:c>
      <ns0:c r="G182" t="inlineStr">
        <ns0:is>
          <ns0:t>0010011: OP-IMM</ns0:t>
        </ns0:is>
      </ns0:c>
    </ns0:row>
    <ns0:row r="183">
      <ns0:c r="B183" t="inlineStr">
        <ns0:is>
          <ns0:t>Знаковый бит PC-относительного перехода</ns0:t>
        </ns0:is>
      </ns0:c>
      <ns0:c r="C183" t="inlineStr">
        <ns0:is>
          <ns0:t>Средние биты адресного смещения</ns0:t>
        </ns0:is>
      </ns0:c>
      <ns0:c r="D183" t="inlineStr">
        <ns0:is>
          <ns0:t>Переставленный бит смещения</ns0:t>
        </ns0:is>
      </ns0:c>
      <ns0:c r="E183" t="inlineStr">
        <ns0:is>
          <ns0:t>Биты смещения перехода</ns0:t>
        </ns0:is>
      </ns0:c>
      <ns0:c r="F183" t="inlineStr">
        <ns0:is>
          <ns0:t>Приёмник адреса возврата: x1 = ra</ns0:t>
        </ns0:is>
      </ns0:c>
      <ns0:c r="G183" t="inlineStr">
        <ns0:is>
          <ns0:t>1101111: JAL</ns0:t>
        </ns0:is>
      </ns0:c>
    </ns0:row>
    <ns0:row r="184">
      <ns0:c r="B184" t="inlineStr">
        <ns0:is>
          <ns0:t>0000000 — логический сдвиг вправо</ns0:t>
        </ns0:is>
      </ns0:c>
      <ns0:c r="C184" t="inlineStr">
        <ns0:is>
          <ns0:t>Сдвиг на 16 разрядов</ns0:t>
        </ns0:is>
      </ns0:c>
      <ns0:c r="D184" t="inlineStr">
        <ns0:is>
          <ns0:t>Источник x10 = a0</ns0:t>
        </ns0:is>
      </ns0:c>
      <ns0:c r="E184" t="inlineStr">
        <ns0:is>
          <ns0:t>101: сдвиг вправо</ns0:t>
        </ns0:is>
      </ns0:c>
      <ns0:c r="F184" t="inlineStr">
        <ns0:is>
          <ns0:t>Приёмник x6 = t1</ns0:t>
        </ns0:is>
      </ns0:c>
      <ns0:c r="G184" t="inlineStr">
        <ns0:is>
          <ns0:t>0010011: OP-IMM</ns0:t>
        </ns0:is>
      </ns0:c>
    </ns0:row>
    <ns0:row r="185">
      <ns0:c r="B185" t="inlineStr">
        <ns0:is>
          <ns0:t>Знаковый бит PC-относительного перехода</ns0:t>
        </ns0:is>
      </ns0:c>
      <ns0:c r="C185" t="inlineStr">
        <ns0:is>
          <ns0:t>Средние биты адресного смещения</ns0:t>
        </ns0:is>
      </ns0:c>
      <ns0:c r="D185" t="inlineStr">
        <ns0:is>
          <ns0:t>Переставленный бит смещения</ns0:t>
        </ns0:is>
      </ns0:c>
      <ns0:c r="E185" t="inlineStr">
        <ns0:is>
          <ns0:t>Биты смещения перехода</ns0:t>
        </ns0:is>
      </ns0:c>
      <ns0:c r="F185" t="inlineStr">
        <ns0:is>
          <ns0:t>Приёмник адреса возврата: x1 = ra</ns0:t>
        </ns0:is>
      </ns0:c>
      <ns0:c r="G185" t="inlineStr">
        <ns0:is>
          <ns0:t>1101111: JAL</ns0:t>
        </ns0:is>
      </ns0:c>
    </ns0:row>
    <ns0:row r="186">
      <ns0:c r="B186" t="inlineStr">
        <ns0:is>
          <ns0:t>0000000 — логический сдвиг вправо</ns0:t>
        </ns0:is>
      </ns0:c>
      <ns0:c r="C186" t="inlineStr">
        <ns0:is>
          <ns0:t>Сдвиг на 12 разрядов</ns0:t>
        </ns0:is>
      </ns0:c>
      <ns0:c r="D186" t="inlineStr">
        <ns0:is>
          <ns0:t>Источник x10 = a0</ns0:t>
        </ns0:is>
      </ns0:c>
      <ns0:c r="E186" t="inlineStr">
        <ns0:is>
          <ns0:t>101: сдвиг вправо</ns0:t>
        </ns0:is>
      </ns0:c>
      <ns0:c r="F186" t="inlineStr">
        <ns0:is>
          <ns0:t>Приёмник x6 = t1</ns0:t>
        </ns0:is>
      </ns0:c>
      <ns0:c r="G186" t="inlineStr">
        <ns0:is>
          <ns0:t>0010011: OP-IMM</ns0:t>
        </ns0:is>
      </ns0:c>
    </ns0:row>
    <ns0:row r="187">
      <ns0:c r="B187" t="inlineStr">
        <ns0:is>
          <ns0:t>Знаковый бит PC-относительного перехода</ns0:t>
        </ns0:is>
      </ns0:c>
      <ns0:c r="C187" t="inlineStr">
        <ns0:is>
          <ns0:t>Средние биты адресного смещения</ns0:t>
        </ns0:is>
      </ns0:c>
      <ns0:c r="D187" t="inlineStr">
        <ns0:is>
          <ns0:t>Переставленный бит смещения</ns0:t>
        </ns0:is>
      </ns0:c>
      <ns0:c r="E187" t="inlineStr">
        <ns0:is>
          <ns0:t>Биты смещения перехода</ns0:t>
        </ns0:is>
      </ns0:c>
      <ns0:c r="F187" t="inlineStr">
        <ns0:is>
          <ns0:t>Приёмник адреса возврата: x1 = ra</ns0:t>
        </ns0:is>
      </ns0:c>
      <ns0:c r="G187" t="inlineStr">
        <ns0:is>
          <ns0:t>1101111: JAL</ns0:t>
        </ns0:is>
      </ns0:c>
    </ns0:row>
    <ns0:row r="188">
      <ns0:c r="B188" t="inlineStr">
        <ns0:is>
          <ns0:t>0000000 — логический сдвиг вправо</ns0:t>
        </ns0:is>
      </ns0:c>
      <ns0:c r="C188" t="inlineStr">
        <ns0:is>
          <ns0:t>Сдвиг на 8 разрядов</ns0:t>
        </ns0:is>
      </ns0:c>
      <ns0:c r="D188" t="inlineStr">
        <ns0:is>
          <ns0:t>Источник x10 = a0</ns0:t>
        </ns0:is>
      </ns0:c>
      <ns0:c r="E188" t="inlineStr">
        <ns0:is>
          <ns0:t>101: сдвиг вправо</ns0:t>
        </ns0:is>
      </ns0:c>
      <ns0:c r="F188" t="inlineStr">
        <ns0:is>
          <ns0:t>Приёмник x6 = t1</ns0:t>
        </ns0:is>
      </ns0:c>
      <ns0:c r="G188" t="inlineStr">
        <ns0:is>
          <ns0:t>0010011: OP-IMM</ns0:t>
        </ns0:is>
      </ns0:c>
    </ns0:row>
    <ns0:row r="189">
      <ns0:c r="B189" t="inlineStr">
        <ns0:is>
          <ns0:t>Знаковый бит PC-относительного перехода</ns0:t>
        </ns0:is>
      </ns0:c>
      <ns0:c r="C189" t="inlineStr">
        <ns0:is>
          <ns0:t>Средние биты адресного смещения</ns0:t>
        </ns0:is>
      </ns0:c>
      <ns0:c r="D189" t="inlineStr">
        <ns0:is>
          <ns0:t>Переставленный бит смещения</ns0:t>
        </ns0:is>
      </ns0:c>
      <ns0:c r="E189" t="inlineStr">
        <ns0:is>
          <ns0:t>Биты смещения перехода</ns0:t>
        </ns0:is>
      </ns0:c>
      <ns0:c r="F189" t="inlineStr">
        <ns0:is>
          <ns0:t>Приёмник адреса возврата: x1 = ra</ns0:t>
        </ns0:is>
      </ns0:c>
      <ns0:c r="G189" t="inlineStr">
        <ns0:is>
          <ns0:t>1101111: JAL</ns0:t>
        </ns0:is>
      </ns0:c>
    </ns0:row>
    <ns0:row r="190">
      <ns0:c r="B190" t="inlineStr">
        <ns0:is>
          <ns0:t>0000000 — логический сдвиг вправо</ns0:t>
        </ns0:is>
      </ns0:c>
      <ns0:c r="C190" t="inlineStr">
        <ns0:is>
          <ns0:t>Сдвиг на 4 разрядов</ns0:t>
        </ns0:is>
      </ns0:c>
      <ns0:c r="D190" t="inlineStr">
        <ns0:is>
          <ns0:t>Источник x10 = a0</ns0:t>
        </ns0:is>
      </ns0:c>
      <ns0:c r="E190" t="inlineStr">
        <ns0:is>
          <ns0:t>101: сдвиг вправо</ns0:t>
        </ns0:is>
      </ns0:c>
      <ns0:c r="F190" t="inlineStr">
        <ns0:is>
          <ns0:t>Приёмник x6 = t1</ns0:t>
        </ns0:is>
      </ns0:c>
      <ns0:c r="G190" t="inlineStr">
        <ns0:is>
          <ns0:t>0010011: OP-IMM</ns0:t>
        </ns0:is>
      </ns0:c>
    </ns0:row>
    <ns0:row r="191">
      <ns0:c r="B191" t="inlineStr">
        <ns0:is>
          <ns0:t>Знаковый бит PC-относительного перехода</ns0:t>
        </ns0:is>
      </ns0:c>
      <ns0:c r="C191" t="inlineStr">
        <ns0:is>
          <ns0:t>Средние биты адресного смещения</ns0:t>
        </ns0:is>
      </ns0:c>
      <ns0:c r="D191" t="inlineStr">
        <ns0:is>
          <ns0:t>Переставленный бит смещения</ns0:t>
        </ns0:is>
      </ns0:c>
      <ns0:c r="E191" t="inlineStr">
        <ns0:is>
          <ns0:t>Биты смещения перехода</ns0:t>
        </ns0:is>
      </ns0:c>
      <ns0:c r="F191" t="inlineStr">
        <ns0:is>
          <ns0:t>Приёмник адреса возврата: x1 = ra</ns0:t>
        </ns0:is>
      </ns0:c>
      <ns0:c r="G191" t="inlineStr">
        <ns0:is>
          <ns0:t>1101111: JAL</ns0:t>
        </ns0:is>
      </ns0:c>
    </ns0:row>
    <ns0:row r="192">
      <ns0:c r="B192" t="inlineStr">
        <ns0:is>
          <ns0:t>12-битная константа; в RV32I знаково расширяется</ns0:t>
        </ns0:is>
      </ns0:c>
      <ns0:c r="C192" t="inlineStr">
        <ns0:is>
          <ns0:t>Исходный регистр x10 = a0</ns0:t>
        </ns0:is>
      </ns0:c>
      <ns0:c r="D192" t="inlineStr">
        <ns0:is>
          <ns0:t>000=ADDI, 111=ANDI</ns0:t>
        </ns0:is>
      </ns0:c>
      <ns0:c r="E192" t="inlineStr">
        <ns0:is>
          <ns0:t>Приёмник x6 = t1</ns0:t>
        </ns0:is>
      </ns0:c>
      <ns0:c r="F192" t="inlineStr">
        <ns0:is>
          <ns0:t>0010011: OP-IMM</ns0:t>
        </ns0:is>
      </ns0:c>
    </ns0:row>
    <ns0:row r="193">
      <ns0:c r="B193" t="inlineStr">
        <ns0:is>
          <ns0:t>Знаковый бит PC-относительного перехода</ns0:t>
        </ns0:is>
      </ns0:c>
      <ns0:c r="C193" t="inlineStr">
        <ns0:is>
          <ns0:t>Средние биты адресного смещения</ns0:t>
        </ns0:is>
      </ns0:c>
      <ns0:c r="D193" t="inlineStr">
        <ns0:is>
          <ns0:t>Переставленный бит смещения</ns0:t>
        </ns0:is>
      </ns0:c>
      <ns0:c r="E193" t="inlineStr">
        <ns0:is>
          <ns0:t>Биты смещения перехода</ns0:t>
        </ns0:is>
      </ns0:c>
      <ns0:c r="F193" t="inlineStr">
        <ns0:is>
          <ns0:t>Приёмник адреса возврата: x1 = ra</ns0:t>
        </ns0:is>
      </ns0:c>
      <ns0:c r="G193" t="inlineStr">
        <ns0:is>
          <ns0:t>1101111: JAL</ns0:t>
        </ns0:is>
      </ns0:c>
    </ns0:row>
    <ns0:row r="194">
      <ns0:c r="B194" t="inlineStr">
        <ns0:is>
          <ns0:t>12-битное знаковое смещение</ns0:t>
        </ns0:is>
      </ns0:c>
      <ns0:c r="C194" t="inlineStr">
        <ns0:is>
          <ns0:t>Базовый регистр перехода x23 = s7</ns0:t>
        </ns0:is>
      </ns0:c>
      <ns0:c r="D194" t="inlineStr">
        <ns0:is>
          <ns0:t>000: JALR</ns0:t>
        </ns0:is>
      </ns0:c>
      <ns0:c r="E194" t="inlineStr">
        <ns0:is>
          <ns0:t>Приёмник адреса возврата x0 = zero</ns0:t>
        </ns0:is>
      </ns0:c>
      <ns0:c r="F194" t="inlineStr">
        <ns0:is>
          <ns0:t>1100111: JALR</ns0:t>
        </ns0:is>
      </ns0:c>
    </ns0:row>
    <ns0:row r="195">
      <ns0:c r="B195" t="inlineStr">
        <ns0:is>
          <ns0:t>12-битная константа; в RV32I знаково расширяется</ns0:t>
        </ns0:is>
      </ns0:c>
      <ns0:c r="C195" t="inlineStr">
        <ns0:is>
          <ns0:t>Исходный регистр x1 = ra</ns0:t>
        </ns0:is>
      </ns0:c>
      <ns0:c r="D195" t="inlineStr">
        <ns0:is>
          <ns0:t>000=ADDI, 111=ANDI</ns0:t>
        </ns0:is>
      </ns0:c>
      <ns0:c r="E195" t="inlineStr">
        <ns0:is>
          <ns0:t>Приёмник x22 = s6</ns0:t>
        </ns0:is>
      </ns0:c>
      <ns0:c r="F195" t="inlineStr">
        <ns0:is>
          <ns0:t>0010011: OP-IMM</ns0:t>
        </ns0:is>
      </ns0:c>
    </ns0:row>
    <ns0:row r="196">
      <ns0:c r="B196" t="inlineStr">
        <ns0:is>
          <ns0:t>12-битная константа; в RV32I знаково расширяется</ns0:t>
        </ns0:is>
      </ns0:c>
      <ns0:c r="C196" t="inlineStr">
        <ns0:is>
          <ns0:t>Исходный регистр x6 = t1</ns0:t>
        </ns0:is>
      </ns0:c>
      <ns0:c r="D196" t="inlineStr">
        <ns0:is>
          <ns0:t>000=ADDI, 111=ANDI</ns0:t>
        </ns0:is>
      </ns0:c>
      <ns0:c r="E196" t="inlineStr">
        <ns0:is>
          <ns0:t>Приёмник x6 = t1</ns0:t>
        </ns0:is>
      </ns0:c>
      <ns0:c r="F196" t="inlineStr">
        <ns0:is>
          <ns0:t>0010011: OP-IMM</ns0:t>
        </ns0:is>
      </ns0:c>
    </ns0:row>
    <ns0:row r="197">
      <ns0:c r="B197" t="inlineStr">
        <ns0:is>
          <ns0:t>12-битная константа; в RV32I знаково расширяется</ns0:t>
        </ns0:is>
      </ns0:c>
      <ns0:c r="C197" t="inlineStr">
        <ns0:is>
          <ns0:t>Исходный регистр x6 = t1</ns0:t>
        </ns0:is>
      </ns0:c>
      <ns0:c r="D197" t="inlineStr">
        <ns0:is>
          <ns0:t>000=ADDI, 111=ANDI</ns0:t>
        </ns0:is>
      </ns0:c>
      <ns0:c r="E197" t="inlineStr">
        <ns0:is>
          <ns0:t>Приёмник x7 = t2</ns0:t>
        </ns0:is>
      </ns0:c>
      <ns0:c r="F197" t="inlineStr">
        <ns0:is>
          <ns0:t>0010011: OP-IMM</ns0:t>
        </ns0:is>
      </ns0:c>
    </ns0:row>
    <ns0:row r="198">
      <ns0:c r="B198" t="inlineStr">
        <ns0:is>
          <ns0:t>0000000 — логический сдвиг вправо</ns0:t>
        </ns0:is>
      </ns0:c>
      <ns0:c r="C198" t="inlineStr">
        <ns0:is>
          <ns0:t>Сдвиг на 31 разрядов</ns0:t>
        </ns0:is>
      </ns0:c>
      <ns0:c r="D198" t="inlineStr">
        <ns0:is>
          <ns0:t>Источник x7 = t2</ns0:t>
        </ns0:is>
      </ns0:c>
      <ns0:c r="E198" t="inlineStr">
        <ns0:is>
          <ns0:t>101: сдвиг вправо</ns0:t>
        </ns0:is>
      </ns0:c>
      <ns0:c r="F198" t="inlineStr">
        <ns0:is>
          <ns0:t>Приёмник x7 = t2</ns0:t>
        </ns0:is>
      </ns0:c>
      <ns0:c r="G198" t="inlineStr">
        <ns0:is>
          <ns0:t>0010011: OP-IMM</ns0:t>
        </ns0:is>
      </ns0:c>
    </ns0:row>
    <ns0:row r="199">
      <ns0:c r="B199" t="inlineStr">
        <ns0:is>
          <ns0:t>Знаковый бит ветвления</ns0:t>
        </ns0:is>
      </ns0:c>
      <ns0:c r="C199" t="inlineStr">
        <ns0:is>
          <ns0:t>Старшие биты смещения</ns0:t>
        </ns0:is>
      </ns0:c>
      <ns0:c r="D199" t="inlineStr">
        <ns0:is>
          <ns0:t>Второй сравниваемый регистр x0 = zero</ns0:t>
        </ns0:is>
      </ns0:c>
      <ns0:c r="E199" t="inlineStr">
        <ns0:is>
          <ns0:t>Первый сравниваемый регистр x7 = t2</ns0:t>
        </ns0:is>
      </ns0:c>
      <ns0:c r="F199" t="inlineStr">
        <ns0:is>
          <ns0:t>000=BEQ, 001=BNE</ns0:t>
        </ns0:is>
      </ns0:c>
      <ns0:c r="G199" t="inlineStr">
        <ns0:is>
          <ns0:t>Младшая группа байтового смещения; bit0=0</ns0:t>
        </ns0:is>
      </ns0:c>
      <ns0:c r="H199" t="inlineStr">
        <ns0:is>
          <ns0:t>Переставленный бит смещения</ns0:t>
        </ns0:is>
      </ns0:c>
      <ns0:c r="I199" t="inlineStr">
        <ns0:is>
          <ns0:t>1100011: BRANCH</ns0:t>
        </ns0:is>
      </ns0:c>
    </ns0:row>
    <ns0:row r="200">
      <ns0:c r="B200" t="inlineStr">
        <ns0:is>
          <ns0:t>12-битная константа; в RV32I знаково расширяется</ns0:t>
        </ns0:is>
      </ns0:c>
      <ns0:c r="C200" t="inlineStr">
        <ns0:is>
          <ns0:t>Исходный регистр x6 = t1</ns0:t>
        </ns0:is>
      </ns0:c>
      <ns0:c r="D200" t="inlineStr">
        <ns0:is>
          <ns0:t>000=ADDI, 111=ANDI</ns0:t>
        </ns0:is>
      </ns0:c>
      <ns0:c r="E200" t="inlineStr">
        <ns0:is>
          <ns0:t>Приёмник x6 = t1</ns0:t>
        </ns0:is>
      </ns0:c>
      <ns0:c r="F200" t="inlineStr">
        <ns0:is>
          <ns0:t>0010011: OP-IMM</ns0:t>
        </ns0:is>
      </ns0:c>
    </ns0:row>
    <ns0:row r="201">
      <ns0:c r="B201" t="inlineStr">
        <ns0:is>
          <ns0:t>Знаковый бит PC-относительного перехода</ns0:t>
        </ns0:is>
      </ns0:c>
      <ns0:c r="C201" t="inlineStr">
        <ns0:is>
          <ns0:t>Средние биты адресного смещения</ns0:t>
        </ns0:is>
      </ns0:c>
      <ns0:c r="D201" t="inlineStr">
        <ns0:is>
          <ns0:t>Переставленный бит смещения</ns0:t>
        </ns0:is>
      </ns0:c>
      <ns0:c r="E201" t="inlineStr">
        <ns0:is>
          <ns0:t>Биты смещения перехода</ns0:t>
        </ns0:is>
      </ns0:c>
      <ns0:c r="F201" t="inlineStr">
        <ns0:is>
          <ns0:t>Приёмник адреса возврата: x1 = ra</ns0:t>
        </ns0:is>
      </ns0:c>
      <ns0:c r="G201" t="inlineStr">
        <ns0:is>
          <ns0:t>1101111: JAL</ns0:t>
        </ns0:is>
      </ns0:c>
    </ns0:row>
    <ns0:row r="202">
      <ns0:c r="B202" t="inlineStr">
        <ns0:is>
          <ns0:t>12-битное знаковое смещение</ns0:t>
        </ns0:is>
      </ns0:c>
      <ns0:c r="C202" t="inlineStr">
        <ns0:is>
          <ns0:t>Базовый регистр перехода x22 = s6</ns0:t>
        </ns0:is>
      </ns0:c>
      <ns0:c r="D202" t="inlineStr">
        <ns0:is>
          <ns0:t>000: JALR</ns0:t>
        </ns0:is>
      </ns0:c>
      <ns0:c r="E202" t="inlineStr">
        <ns0:is>
          <ns0:t>Приёмник адреса возврата x0 = zero</ns0:t>
        </ns0:is>
      </ns0:c>
      <ns0:c r="F202" t="inlineStr">
        <ns0:is>
          <ns0:t>1100111: JALR</ns0:t>
        </ns0:is>
      </ns0:c>
    </ns0:row>
    <ns0:row r="203">
      <ns0:c r="B203" t="inlineStr">
        <ns0:is>
          <ns0:t>12-битная константа; в RV32I знаково расширяется</ns0:t>
        </ns0:is>
      </ns0:c>
      <ns0:c r="C203" t="inlineStr">
        <ns0:is>
          <ns0:t>Исходный регистр x6 = t1</ns0:t>
        </ns0:is>
      </ns0:c>
      <ns0:c r="D203" t="inlineStr">
        <ns0:is>
          <ns0:t>000=ADDI, 111=ANDI</ns0:t>
        </ns0:is>
      </ns0:c>
      <ns0:c r="E203" t="inlineStr">
        <ns0:is>
          <ns0:t>Приёмник x6 = t1</ns0:t>
        </ns0:is>
      </ns0:c>
      <ns0:c r="F203" t="inlineStr">
        <ns0:is>
          <ns0:t>0010011: OP-IMM</ns0:t>
        </ns0:is>
      </ns0:c>
    </ns0:row>
    <ns0:row r="204">
      <ns0:c r="B204" t="inlineStr">
        <ns0:is>
          <ns0:t>Знаковый бит PC-относительного перехода</ns0:t>
        </ns0:is>
      </ns0:c>
      <ns0:c r="C204" t="inlineStr">
        <ns0:is>
          <ns0:t>Средние биты адресного смещения</ns0:t>
        </ns0:is>
      </ns0:c>
      <ns0:c r="D204" t="inlineStr">
        <ns0:is>
          <ns0:t>Переставленный бит смещения</ns0:t>
        </ns0:is>
      </ns0:c>
      <ns0:c r="E204" t="inlineStr">
        <ns0:is>
          <ns0:t>Биты смещения перехода</ns0:t>
        </ns0:is>
      </ns0:c>
      <ns0:c r="F204" t="inlineStr">
        <ns0:is>
          <ns0:t>Приёмник адреса возврата: x1 = ra</ns0:t>
        </ns0:is>
      </ns0:c>
      <ns0:c r="G204" t="inlineStr">
        <ns0:is>
          <ns0:t>1101111: JAL</ns0:t>
        </ns0:is>
      </ns0:c>
    </ns0:row>
    <ns0:row r="205">
      <ns0:c r="B205" t="inlineStr">
        <ns0:is>
          <ns0:t>12-битное знаковое смещение</ns0:t>
        </ns0:is>
      </ns0:c>
      <ns0:c r="C205" t="inlineStr">
        <ns0:is>
          <ns0:t>Базовый регистр перехода x22 = s6</ns0:t>
        </ns0:is>
      </ns0:c>
      <ns0:c r="D205" t="inlineStr">
        <ns0:is>
          <ns0:t>000: JALR</ns0:t>
        </ns0:is>
      </ns0:c>
      <ns0:c r="E205" t="inlineStr">
        <ns0:is>
          <ns0:t>Приёмник адреса возврата x0 = zero</ns0:t>
        </ns0:is>
      </ns0:c>
      <ns0:c r="F205" t="inlineStr">
        <ns0:is>
          <ns0:t>1100111: JALR</ns0:t>
        </ns0:is>
      </ns0:c>
    </ns0:row>
    <ns0:row r="206">
      <ns0:c r="B206" t="inlineStr">
        <ns0:is>
          <ns0:t>Знаковое 12-битное смещение от базового адреса</ns0:t>
        </ns0:is>
      </ns0:c>
      <ns0:c r="C206" t="inlineStr">
        <ns0:is>
          <ns0:t>Базовый регистр x5 = t0</ns0:t>
        </ns0:is>
      </ns0:c>
      <ns0:c r="D206" t="inlineStr">
        <ns0:is>
          <ns0:t>010 = LW: загрузка 32-битного слова</ns0:t>
        </ns0:is>
      </ns0:c>
      <ns0:c r="E206" t="inlineStr">
        <ns0:is>
          <ns0:t>Приёмник x7 = t2</ns0:t>
        </ns0:is>
      </ns0:c>
      <ns0:c r="F206" t="inlineStr">
        <ns0:is>
          <ns0:t>0000011: LOAD</ns0:t>
        </ns0:is>
      </ns0:c>
    </ns0:row>
    <ns0:row r="207">
      <ns0:c r="B207" t="inlineStr">
        <ns0:is>
          <ns0:t>12-битная константа; в RV32I знаково расширяется</ns0:t>
        </ns0:is>
      </ns0:c>
      <ns0:c r="C207" t="inlineStr">
        <ns0:is>
          <ns0:t>Исходный регистр x7 = t2</ns0:t>
        </ns0:is>
      </ns0:c>
      <ns0:c r="D207" t="inlineStr">
        <ns0:is>
          <ns0:t>000=ADDI, 111=ANDI</ns0:t>
        </ns0:is>
      </ns0:c>
      <ns0:c r="E207" t="inlineStr">
        <ns0:is>
          <ns0:t>Приёмник x7 = t2</ns0:t>
        </ns0:is>
      </ns0:c>
      <ns0:c r="F207" t="inlineStr">
        <ns0:is>
          <ns0:t>0010011: OP-IMM</ns0:t>
        </ns0:is>
      </ns0:c>
    </ns0:row>
    <ns0:row r="208">
      <ns0:c r="B208" t="inlineStr">
        <ns0:is>
          <ns0:t>Знаковый бит ветвления</ns0:t>
        </ns0:is>
      </ns0:c>
      <ns0:c r="C208" t="inlineStr">
        <ns0:is>
          <ns0:t>Старшие биты смещения</ns0:t>
        </ns0:is>
      </ns0:c>
      <ns0:c r="D208" t="inlineStr">
        <ns0:is>
          <ns0:t>Второй сравниваемый регистр x0 = zero</ns0:t>
        </ns0:is>
      </ns0:c>
      <ns0:c r="E208" t="inlineStr">
        <ns0:is>
          <ns0:t>Первый сравниваемый регистр x7 = t2</ns0:t>
        </ns0:is>
      </ns0:c>
      <ns0:c r="F208" t="inlineStr">
        <ns0:is>
          <ns0:t>000=BEQ, 001=BNE</ns0:t>
        </ns0:is>
      </ns0:c>
      <ns0:c r="G208" t="inlineStr">
        <ns0:is>
          <ns0:t>Младшая группа байтового смещения; bit0=0</ns0:t>
        </ns0:is>
      </ns0:c>
      <ns0:c r="H208" t="inlineStr">
        <ns0:is>
          <ns0:t>Переставленный бит смещения</ns0:t>
        </ns0:is>
      </ns0:c>
      <ns0:c r="I208" t="inlineStr">
        <ns0:is>
          <ns0:t>1100011: BRANCH</ns0:t>
        </ns0:is>
      </ns0:c>
    </ns0:row>
    <ns0:row r="209">
      <ns0:c r="B209" t="inlineStr">
        <ns0:is>
          <ns0:t>Старшие биты смещения со знаком</ns0:t>
        </ns0:is>
      </ns0:c>
      <ns0:c r="C209" t="inlineStr">
        <ns0:is>
          <ns0:t>Источник записываемых данных: x6 = t1</ns0:t>
        </ns0:is>
      </ns0:c>
      <ns0:c r="D209" t="inlineStr">
        <ns0:is>
          <ns0:t>Базовый адрес: x5 = t0</ns0:t>
        </ns0:is>
      </ns0:c>
      <ns0:c r="E209" t="inlineStr">
        <ns0:is>
          <ns0:t>010 = SW: запись 32-битного слова</ns0:t>
        </ns0:is>
      </ns0:c>
      <ns0:c r="F209" t="inlineStr">
        <ns0:is>
          <ns0:t>Младшие биты смещения</ns0:t>
        </ns0:is>
      </ns0:c>
      <ns0:c r="G209" t="inlineStr">
        <ns0:is>
          <ns0:t>0100011: STORE</ns0:t>
        </ns0:is>
      </ns0:c>
    </ns0:row>
    <ns0:row r="210">
      <ns0:c r="B210" t="inlineStr">
        <ns0:is>
          <ns0:t>12-битное знаковое смещение</ns0:t>
        </ns0:is>
      </ns0:c>
      <ns0:c r="C210" t="inlineStr">
        <ns0:is>
          <ns0:t>Базовый регистр перехода x1 = ra</ns0:t>
        </ns0:is>
      </ns0:c>
      <ns0:c r="D210" t="inlineStr">
        <ns0:is>
          <ns0:t>000: JALR</ns0:t>
        </ns0:is>
      </ns0:c>
      <ns0:c r="E210" t="inlineStr">
        <ns0:is>
          <ns0:t>Приёмник адреса возврата x0 = zero</ns0:t>
        </ns0:is>
      </ns0:c>
      <ns0:c r="F210" t="inlineStr">
        <ns0:is>
          <ns0:t>1100111: JALR</ns0:t>
        </ns0:is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Sipeed-FPGA / LAB-03</dc:creator>
  <dc:title xmlns:dc="http://purl.org/dc/elements/1.1/">LAB-03: Excel PicoRV32 Trace Observatory</dc:title>
  <dc:description xmlns:dc="http://purl.org/dc/elements/1.1/">Offline educational demonstrator using 12 SHA-verified FPGA T3 traces, with formulas and no VBA</dc:description>
  <dc:subject xmlns:dc="http://purl.org/dc/elements/1.1/">Instruction fetch, LED MMIO, archived T3, RV32I education</dc:subject>
  <dcterms:created xmlns:dcterms="http://purl.org/dc/terms/" xmlns:xsi="http://www.w3.org/2001/XMLSchema-instance" xsi:type="dcterms:W3CDTF">2026-10-21T05:48:01Z</dcterms:created>
  <dcterms:modified xmlns:dcterms="http://purl.org/dc/terms/" xmlns:xsi="http://www.w3.org/2001/XMLSchema-instance" xsi:type="dcterms:W3CDTF">2026-10-21T06:35:04Z</dcterms:modified>
</cp:coreProperties>
</file>